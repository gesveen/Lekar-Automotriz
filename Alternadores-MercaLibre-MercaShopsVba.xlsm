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171936BA-13DC-4A63-A992-38623501846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extra info" sheetId="2" state="veryHidden" r:id="rId2"/>
    <sheet name="Alternadores" sheetId="3" r:id="rId3"/>
    <sheet name="DB" sheetId="4" r:id="rId4"/>
    <sheet name="Hoja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6" roundtripDataSignature="AMtx7mgsXKf0wswYk7R/pweK5bqvcpUL3A=="/>
    </ext>
  </extLst>
</workbook>
</file>

<file path=xl/calcChain.xml><?xml version="1.0" encoding="utf-8"?>
<calcChain xmlns="http://schemas.openxmlformats.org/spreadsheetml/2006/main">
  <c r="I46" i="1" l="1"/>
  <c r="I39" i="1"/>
  <c r="I32" i="1"/>
  <c r="I10" i="1"/>
  <c r="B999" i="3"/>
  <c r="B983" i="3"/>
  <c r="B967" i="3"/>
  <c r="B951" i="3"/>
  <c r="B935" i="3"/>
  <c r="B919" i="3"/>
  <c r="B903" i="3"/>
  <c r="B887" i="3"/>
  <c r="B871" i="3"/>
  <c r="B855" i="3"/>
  <c r="B839" i="3"/>
  <c r="B992" i="3"/>
  <c r="B976" i="3"/>
  <c r="B960" i="3"/>
  <c r="B944" i="3"/>
  <c r="B928" i="3"/>
  <c r="B912" i="3"/>
  <c r="B896" i="3"/>
  <c r="B880" i="3"/>
  <c r="B864" i="3"/>
  <c r="B848" i="3"/>
  <c r="B1001" i="3"/>
  <c r="B993" i="3"/>
  <c r="B985" i="3"/>
  <c r="B977" i="3"/>
  <c r="B969" i="3"/>
  <c r="B961" i="3"/>
  <c r="B953" i="3"/>
  <c r="B945" i="3"/>
  <c r="B937" i="3"/>
  <c r="B929" i="3"/>
  <c r="B921" i="3"/>
  <c r="B913" i="3"/>
  <c r="B905" i="3"/>
  <c r="B897" i="3"/>
  <c r="B889" i="3"/>
  <c r="B881" i="3"/>
  <c r="B873" i="3"/>
  <c r="B865" i="3"/>
  <c r="B857" i="3"/>
  <c r="B849" i="3"/>
  <c r="B841" i="3"/>
  <c r="B958" i="3"/>
  <c r="B894" i="3"/>
  <c r="B830" i="3"/>
  <c r="B814" i="3"/>
  <c r="B798" i="3"/>
  <c r="B782" i="3"/>
  <c r="B766" i="3"/>
  <c r="B750" i="3"/>
  <c r="B734" i="3"/>
  <c r="B718" i="3"/>
  <c r="B994" i="3"/>
  <c r="N951" i="3"/>
  <c r="B930" i="3"/>
  <c r="N887" i="3"/>
  <c r="B866" i="3"/>
  <c r="B827" i="3"/>
  <c r="B811" i="3"/>
  <c r="B795" i="3"/>
  <c r="B779" i="3"/>
  <c r="B763" i="3"/>
  <c r="B747" i="3"/>
  <c r="B731" i="3"/>
  <c r="O992" i="3"/>
  <c r="B950" i="3"/>
  <c r="O928" i="3"/>
  <c r="B886" i="3"/>
  <c r="O864" i="3"/>
  <c r="B828" i="3"/>
  <c r="B820" i="3"/>
  <c r="B812" i="3"/>
  <c r="B804" i="3"/>
  <c r="B796" i="3"/>
  <c r="B788" i="3"/>
  <c r="B780" i="3"/>
  <c r="B772" i="3"/>
  <c r="B764" i="3"/>
  <c r="B756" i="3"/>
  <c r="B748" i="3"/>
  <c r="B740" i="3"/>
  <c r="B732" i="3"/>
  <c r="B724" i="3"/>
  <c r="B716" i="3"/>
  <c r="B708" i="3"/>
  <c r="B773" i="3"/>
  <c r="B713" i="3"/>
  <c r="B695" i="3"/>
  <c r="B679" i="3"/>
  <c r="B663" i="3"/>
  <c r="B647" i="3"/>
  <c r="B631" i="3"/>
  <c r="B615" i="3"/>
  <c r="B599" i="3"/>
  <c r="B906" i="3"/>
  <c r="N830" i="3"/>
  <c r="B809" i="3"/>
  <c r="N766" i="3"/>
  <c r="B745" i="3"/>
  <c r="B707" i="3"/>
  <c r="B692" i="3"/>
  <c r="B676" i="3"/>
  <c r="B660" i="3"/>
  <c r="B644" i="3"/>
  <c r="B628" i="3"/>
  <c r="B612" i="3"/>
  <c r="B995" i="3"/>
  <c r="B979" i="3"/>
  <c r="N979" i="3" s="1"/>
  <c r="B963" i="3"/>
  <c r="B947" i="3"/>
  <c r="B931" i="3"/>
  <c r="B915" i="3"/>
  <c r="N915" i="3" s="1"/>
  <c r="B899" i="3"/>
  <c r="B883" i="3"/>
  <c r="B867" i="3"/>
  <c r="B851" i="3"/>
  <c r="N851" i="3" s="1"/>
  <c r="B835" i="3"/>
  <c r="B988" i="3"/>
  <c r="B972" i="3"/>
  <c r="B956" i="3"/>
  <c r="B940" i="3"/>
  <c r="B924" i="3"/>
  <c r="B908" i="3"/>
  <c r="B892" i="3"/>
  <c r="B876" i="3"/>
  <c r="B860" i="3"/>
  <c r="B844" i="3"/>
  <c r="O999" i="3"/>
  <c r="O983" i="3"/>
  <c r="O967" i="3"/>
  <c r="O951" i="3"/>
  <c r="O935" i="3"/>
  <c r="O919" i="3"/>
  <c r="O903" i="3"/>
  <c r="O887" i="3"/>
  <c r="O871" i="3"/>
  <c r="O855" i="3"/>
  <c r="O839" i="3"/>
  <c r="N995" i="3"/>
  <c r="B974" i="3"/>
  <c r="N931" i="3"/>
  <c r="B910" i="3"/>
  <c r="N867" i="3"/>
  <c r="B846" i="3"/>
  <c r="B826" i="3"/>
  <c r="B810" i="3"/>
  <c r="B794" i="3"/>
  <c r="N794" i="3" s="1"/>
  <c r="B778" i="3"/>
  <c r="B762" i="3"/>
  <c r="B746" i="3"/>
  <c r="B730" i="3"/>
  <c r="N730" i="3" s="1"/>
  <c r="B714" i="3"/>
  <c r="O988" i="3"/>
  <c r="N967" i="3"/>
  <c r="B946" i="3"/>
  <c r="O924" i="3"/>
  <c r="N903" i="3"/>
  <c r="B882" i="3"/>
  <c r="O860" i="3"/>
  <c r="N839" i="3"/>
  <c r="B823" i="3"/>
  <c r="B807" i="3"/>
  <c r="B791" i="3"/>
  <c r="B775" i="3"/>
  <c r="B759" i="3"/>
  <c r="B743" i="3"/>
  <c r="B727" i="3"/>
  <c r="B966" i="3"/>
  <c r="O944" i="3"/>
  <c r="B902" i="3"/>
  <c r="O880" i="3"/>
  <c r="B838" i="3"/>
  <c r="O826" i="3"/>
  <c r="O810" i="3"/>
  <c r="O794" i="3"/>
  <c r="O778" i="3"/>
  <c r="O762" i="3"/>
  <c r="O746" i="3"/>
  <c r="O730" i="3"/>
  <c r="O714" i="3"/>
  <c r="N810" i="3"/>
  <c r="B789" i="3"/>
  <c r="N746" i="3"/>
  <c r="B725" i="3"/>
  <c r="B691" i="3"/>
  <c r="B675" i="3"/>
  <c r="B659" i="3"/>
  <c r="B643" i="3"/>
  <c r="B627" i="3"/>
  <c r="B611" i="3"/>
  <c r="B595" i="3"/>
  <c r="B970" i="3"/>
  <c r="B825" i="3"/>
  <c r="N782" i="3"/>
  <c r="B761" i="3"/>
  <c r="B704" i="3"/>
  <c r="B688" i="3"/>
  <c r="B672" i="3"/>
  <c r="B656" i="3"/>
  <c r="B991" i="3"/>
  <c r="B975" i="3"/>
  <c r="O975" i="3" s="1"/>
  <c r="B959" i="3"/>
  <c r="O959" i="3" s="1"/>
  <c r="B943" i="3"/>
  <c r="O943" i="3" s="1"/>
  <c r="B927" i="3"/>
  <c r="O927" i="3" s="1"/>
  <c r="B911" i="3"/>
  <c r="B895" i="3"/>
  <c r="O895" i="3" s="1"/>
  <c r="B879" i="3"/>
  <c r="O879" i="3" s="1"/>
  <c r="B863" i="3"/>
  <c r="O863" i="3" s="1"/>
  <c r="B847" i="3"/>
  <c r="B1000" i="3"/>
  <c r="B984" i="3"/>
  <c r="B968" i="3"/>
  <c r="B952" i="3"/>
  <c r="B936" i="3"/>
  <c r="B920" i="3"/>
  <c r="B904" i="3"/>
  <c r="B888" i="3"/>
  <c r="B872" i="3"/>
  <c r="B856" i="3"/>
  <c r="B840" i="3"/>
  <c r="B997" i="3"/>
  <c r="B989" i="3"/>
  <c r="B981" i="3"/>
  <c r="B973" i="3"/>
  <c r="B965" i="3"/>
  <c r="B957" i="3"/>
  <c r="B949" i="3"/>
  <c r="B941" i="3"/>
  <c r="B933" i="3"/>
  <c r="B925" i="3"/>
  <c r="B917" i="3"/>
  <c r="B909" i="3"/>
  <c r="B901" i="3"/>
  <c r="B893" i="3"/>
  <c r="B885" i="3"/>
  <c r="B877" i="3"/>
  <c r="B869" i="3"/>
  <c r="B861" i="3"/>
  <c r="B853" i="3"/>
  <c r="B845" i="3"/>
  <c r="B837" i="3"/>
  <c r="B990" i="3"/>
  <c r="O968" i="3"/>
  <c r="N947" i="3"/>
  <c r="B926" i="3"/>
  <c r="O904" i="3"/>
  <c r="N883" i="3"/>
  <c r="B862" i="3"/>
  <c r="O840" i="3"/>
  <c r="B822" i="3"/>
  <c r="B806" i="3"/>
  <c r="B790" i="3"/>
  <c r="B774" i="3"/>
  <c r="B758" i="3"/>
  <c r="B742" i="3"/>
  <c r="B726" i="3"/>
  <c r="B710" i="3"/>
  <c r="N710" i="3" s="1"/>
  <c r="N983" i="3"/>
  <c r="B962" i="3"/>
  <c r="O940" i="3"/>
  <c r="N919" i="3"/>
  <c r="B898" i="3"/>
  <c r="O876" i="3"/>
  <c r="N855" i="3"/>
  <c r="B834" i="3"/>
  <c r="B819" i="3"/>
  <c r="B803" i="3"/>
  <c r="B787" i="3"/>
  <c r="B771" i="3"/>
  <c r="B755" i="3"/>
  <c r="B739" i="3"/>
  <c r="B723" i="3"/>
  <c r="B982" i="3"/>
  <c r="O960" i="3"/>
  <c r="B918" i="3"/>
  <c r="O896" i="3"/>
  <c r="B854" i="3"/>
  <c r="B832" i="3"/>
  <c r="B824" i="3"/>
  <c r="B816" i="3"/>
  <c r="B808" i="3"/>
  <c r="B800" i="3"/>
  <c r="B792" i="3"/>
  <c r="B784" i="3"/>
  <c r="B776" i="3"/>
  <c r="B768" i="3"/>
  <c r="B760" i="3"/>
  <c r="B752" i="3"/>
  <c r="B744" i="3"/>
  <c r="B736" i="3"/>
  <c r="B728" i="3"/>
  <c r="B720" i="3"/>
  <c r="B712" i="3"/>
  <c r="N975" i="3"/>
  <c r="B890" i="3"/>
  <c r="N826" i="3"/>
  <c r="B805" i="3"/>
  <c r="N762" i="3"/>
  <c r="B741" i="3"/>
  <c r="B721" i="3"/>
  <c r="B703" i="3"/>
  <c r="B687" i="3"/>
  <c r="B671" i="3"/>
  <c r="B655" i="3"/>
  <c r="B639" i="3"/>
  <c r="B623" i="3"/>
  <c r="B607" i="3"/>
  <c r="B591" i="3"/>
  <c r="N863" i="3"/>
  <c r="O819" i="3"/>
  <c r="N798" i="3"/>
  <c r="B777" i="3"/>
  <c r="O755" i="3"/>
  <c r="N734" i="3"/>
  <c r="B715" i="3"/>
  <c r="B700" i="3"/>
  <c r="B684" i="3"/>
  <c r="B668" i="3"/>
  <c r="B652" i="3"/>
  <c r="B636" i="3"/>
  <c r="B620" i="3"/>
  <c r="B604" i="3"/>
  <c r="B939" i="3"/>
  <c r="N939" i="3" s="1"/>
  <c r="B875" i="3"/>
  <c r="N875" i="3" s="1"/>
  <c r="B980" i="3"/>
  <c r="B916" i="3"/>
  <c r="B852" i="3"/>
  <c r="O979" i="3"/>
  <c r="O947" i="3"/>
  <c r="O915" i="3"/>
  <c r="O883" i="3"/>
  <c r="O851" i="3"/>
  <c r="N963" i="3"/>
  <c r="B878" i="3"/>
  <c r="B802" i="3"/>
  <c r="O802" i="3" s="1"/>
  <c r="B738" i="3"/>
  <c r="O738" i="3" s="1"/>
  <c r="O956" i="3"/>
  <c r="N871" i="3"/>
  <c r="B799" i="3"/>
  <c r="B735" i="3"/>
  <c r="B934" i="3"/>
  <c r="O848" i="3"/>
  <c r="O806" i="3"/>
  <c r="O774" i="3"/>
  <c r="O742" i="3"/>
  <c r="O710" i="3"/>
  <c r="O799" i="3"/>
  <c r="N718" i="3"/>
  <c r="B651" i="3"/>
  <c r="B587" i="3"/>
  <c r="B793" i="3"/>
  <c r="N712" i="3"/>
  <c r="B648" i="3"/>
  <c r="B616" i="3"/>
  <c r="B592" i="3"/>
  <c r="N879" i="3"/>
  <c r="O823" i="3"/>
  <c r="N802" i="3"/>
  <c r="B781" i="3"/>
  <c r="O759" i="3"/>
  <c r="N738" i="3"/>
  <c r="B717" i="3"/>
  <c r="O703" i="3"/>
  <c r="O695" i="3"/>
  <c r="O687" i="3"/>
  <c r="O679" i="3"/>
  <c r="O671" i="3"/>
  <c r="O663" i="3"/>
  <c r="O655" i="3"/>
  <c r="O647" i="3"/>
  <c r="O639" i="3"/>
  <c r="O631" i="3"/>
  <c r="O623" i="3"/>
  <c r="O615" i="3"/>
  <c r="O607" i="3"/>
  <c r="O980" i="3"/>
  <c r="B785" i="3"/>
  <c r="B711" i="3"/>
  <c r="N687" i="3"/>
  <c r="B666" i="3"/>
  <c r="O644" i="3"/>
  <c r="N623" i="3"/>
  <c r="B602" i="3"/>
  <c r="B585" i="3"/>
  <c r="B572" i="3"/>
  <c r="B556" i="3"/>
  <c r="B540" i="3"/>
  <c r="B524" i="3"/>
  <c r="B508" i="3"/>
  <c r="B492" i="3"/>
  <c r="B476" i="3"/>
  <c r="B460" i="3"/>
  <c r="B444" i="3"/>
  <c r="B428" i="3"/>
  <c r="B412" i="3"/>
  <c r="B396" i="3"/>
  <c r="B380" i="3"/>
  <c r="B364" i="3"/>
  <c r="N822" i="3"/>
  <c r="B737" i="3"/>
  <c r="N675" i="3"/>
  <c r="B654" i="3"/>
  <c r="N611" i="3"/>
  <c r="N595" i="3"/>
  <c r="B569" i="3"/>
  <c r="B553" i="3"/>
  <c r="B537" i="3"/>
  <c r="B521" i="3"/>
  <c r="B505" i="3"/>
  <c r="B489" i="3"/>
  <c r="B473" i="3"/>
  <c r="B457" i="3"/>
  <c r="B441" i="3"/>
  <c r="B425" i="3"/>
  <c r="B409" i="3"/>
  <c r="B393" i="3"/>
  <c r="B377" i="3"/>
  <c r="B361" i="3"/>
  <c r="B345" i="3"/>
  <c r="B329" i="3"/>
  <c r="B313" i="3"/>
  <c r="B297" i="3"/>
  <c r="B817" i="3"/>
  <c r="O731" i="3"/>
  <c r="N695" i="3"/>
  <c r="B674" i="3"/>
  <c r="O652" i="3"/>
  <c r="N631" i="3"/>
  <c r="B610" i="3"/>
  <c r="O591" i="3"/>
  <c r="O572" i="3"/>
  <c r="O556" i="3"/>
  <c r="B987" i="3"/>
  <c r="N987" i="3" s="1"/>
  <c r="B923" i="3"/>
  <c r="N923" i="3" s="1"/>
  <c r="B859" i="3"/>
  <c r="N859" i="3" s="1"/>
  <c r="B964" i="3"/>
  <c r="B900" i="3"/>
  <c r="B836" i="3"/>
  <c r="O939" i="3"/>
  <c r="O875" i="3"/>
  <c r="B942" i="3"/>
  <c r="O856" i="3"/>
  <c r="B786" i="3"/>
  <c r="O786" i="3" s="1"/>
  <c r="B722" i="3"/>
  <c r="O722" i="3" s="1"/>
  <c r="N935" i="3"/>
  <c r="B850" i="3"/>
  <c r="B783" i="3"/>
  <c r="B998" i="3"/>
  <c r="O912" i="3"/>
  <c r="O830" i="3"/>
  <c r="O798" i="3"/>
  <c r="O766" i="3"/>
  <c r="O734" i="3"/>
  <c r="B954" i="3"/>
  <c r="N778" i="3"/>
  <c r="B699" i="3"/>
  <c r="B635" i="3"/>
  <c r="N927" i="3"/>
  <c r="O771" i="3"/>
  <c r="B696" i="3"/>
  <c r="B640" i="3"/>
  <c r="B608" i="3"/>
  <c r="B588" i="3"/>
  <c r="N943" i="3"/>
  <c r="B858" i="3"/>
  <c r="B797" i="3"/>
  <c r="O775" i="3"/>
  <c r="B733" i="3"/>
  <c r="N714" i="3"/>
  <c r="B701" i="3"/>
  <c r="B693" i="3"/>
  <c r="B685" i="3"/>
  <c r="B677" i="3"/>
  <c r="B669" i="3"/>
  <c r="B661" i="3"/>
  <c r="B653" i="3"/>
  <c r="B645" i="3"/>
  <c r="B637" i="3"/>
  <c r="B629" i="3"/>
  <c r="B621" i="3"/>
  <c r="B613" i="3"/>
  <c r="B605" i="3"/>
  <c r="N895" i="3"/>
  <c r="O763" i="3"/>
  <c r="N703" i="3"/>
  <c r="B682" i="3"/>
  <c r="O660" i="3"/>
  <c r="N639" i="3"/>
  <c r="B618" i="3"/>
  <c r="O595" i="3"/>
  <c r="B583" i="3"/>
  <c r="B568" i="3"/>
  <c r="B552" i="3"/>
  <c r="B536" i="3"/>
  <c r="B520" i="3"/>
  <c r="B504" i="3"/>
  <c r="B488" i="3"/>
  <c r="B472" i="3"/>
  <c r="B456" i="3"/>
  <c r="B440" i="3"/>
  <c r="B424" i="3"/>
  <c r="B408" i="3"/>
  <c r="B392" i="3"/>
  <c r="B376" i="3"/>
  <c r="B360" i="3"/>
  <c r="B801" i="3"/>
  <c r="B719" i="3"/>
  <c r="N691" i="3"/>
  <c r="B670" i="3"/>
  <c r="O648" i="3"/>
  <c r="N627" i="3"/>
  <c r="B606" i="3"/>
  <c r="O592" i="3"/>
  <c r="B581" i="3"/>
  <c r="B565" i="3"/>
  <c r="B549" i="3"/>
  <c r="B533" i="3"/>
  <c r="B517" i="3"/>
  <c r="B501" i="3"/>
  <c r="B485" i="3"/>
  <c r="B469" i="3"/>
  <c r="B453" i="3"/>
  <c r="B437" i="3"/>
  <c r="B421" i="3"/>
  <c r="B405" i="3"/>
  <c r="B389" i="3"/>
  <c r="B373" i="3"/>
  <c r="B357" i="3"/>
  <c r="B341" i="3"/>
  <c r="B325" i="3"/>
  <c r="B309" i="3"/>
  <c r="B293" i="3"/>
  <c r="O795" i="3"/>
  <c r="N716" i="3"/>
  <c r="B690" i="3"/>
  <c r="O668" i="3"/>
  <c r="N647" i="3"/>
  <c r="B626" i="3"/>
  <c r="O604" i="3"/>
  <c r="B589" i="3"/>
  <c r="B578" i="3"/>
  <c r="B570" i="3"/>
  <c r="B562" i="3"/>
  <c r="B554" i="3"/>
  <c r="B546" i="3"/>
  <c r="B538" i="3"/>
  <c r="B530" i="3"/>
  <c r="B522" i="3"/>
  <c r="B514" i="3"/>
  <c r="B506" i="3"/>
  <c r="B498" i="3"/>
  <c r="B490" i="3"/>
  <c r="B482" i="3"/>
  <c r="B474" i="3"/>
  <c r="B971" i="3"/>
  <c r="B907" i="3"/>
  <c r="B843" i="3"/>
  <c r="B948" i="3"/>
  <c r="B884" i="3"/>
  <c r="O995" i="3"/>
  <c r="O963" i="3"/>
  <c r="O931" i="3"/>
  <c r="O899" i="3"/>
  <c r="O867" i="3"/>
  <c r="O835" i="3"/>
  <c r="O920" i="3"/>
  <c r="N835" i="3"/>
  <c r="B770" i="3"/>
  <c r="O770" i="3" s="1"/>
  <c r="N999" i="3"/>
  <c r="B914" i="3"/>
  <c r="B831" i="3"/>
  <c r="B767" i="3"/>
  <c r="O976" i="3"/>
  <c r="O822" i="3"/>
  <c r="O790" i="3"/>
  <c r="O758" i="3"/>
  <c r="O726" i="3"/>
  <c r="B757" i="3"/>
  <c r="B683" i="3"/>
  <c r="B619" i="3"/>
  <c r="B842" i="3"/>
  <c r="N750" i="3"/>
  <c r="B680" i="3"/>
  <c r="B632" i="3"/>
  <c r="B600" i="3"/>
  <c r="B584" i="3"/>
  <c r="B922" i="3"/>
  <c r="O836" i="3"/>
  <c r="B813" i="3"/>
  <c r="O791" i="3"/>
  <c r="N770" i="3"/>
  <c r="B749" i="3"/>
  <c r="O727" i="3"/>
  <c r="B709" i="3"/>
  <c r="O699" i="3"/>
  <c r="O691" i="3"/>
  <c r="O683" i="3"/>
  <c r="O675" i="3"/>
  <c r="O659" i="3"/>
  <c r="O651" i="3"/>
  <c r="O643" i="3"/>
  <c r="O635" i="3"/>
  <c r="O627" i="3"/>
  <c r="O619" i="3"/>
  <c r="O611" i="3"/>
  <c r="O827" i="3"/>
  <c r="N742" i="3"/>
  <c r="B698" i="3"/>
  <c r="O676" i="3"/>
  <c r="N655" i="3"/>
  <c r="B634" i="3"/>
  <c r="O612" i="3"/>
  <c r="B593" i="3"/>
  <c r="B580" i="3"/>
  <c r="O580" i="3" s="1"/>
  <c r="B564" i="3"/>
  <c r="O564" i="3" s="1"/>
  <c r="B548" i="3"/>
  <c r="O548" i="3" s="1"/>
  <c r="B532" i="3"/>
  <c r="B516" i="3"/>
  <c r="B500" i="3"/>
  <c r="B484" i="3"/>
  <c r="B468" i="3"/>
  <c r="B452" i="3"/>
  <c r="B436" i="3"/>
  <c r="B420" i="3"/>
  <c r="B404" i="3"/>
  <c r="B388" i="3"/>
  <c r="B372" i="3"/>
  <c r="N959" i="3"/>
  <c r="O779" i="3"/>
  <c r="N708" i="3"/>
  <c r="B686" i="3"/>
  <c r="N643" i="3"/>
  <c r="B622" i="3"/>
  <c r="O600" i="3"/>
  <c r="B590" i="3"/>
  <c r="B577" i="3"/>
  <c r="B561" i="3"/>
  <c r="B545" i="3"/>
  <c r="B529" i="3"/>
  <c r="B513" i="3"/>
  <c r="B497" i="3"/>
  <c r="B481" i="3"/>
  <c r="B465" i="3"/>
  <c r="B449" i="3"/>
  <c r="B433" i="3"/>
  <c r="B417" i="3"/>
  <c r="B401" i="3"/>
  <c r="B385" i="3"/>
  <c r="B369" i="3"/>
  <c r="B353" i="3"/>
  <c r="B337" i="3"/>
  <c r="B321" i="3"/>
  <c r="B305" i="3"/>
  <c r="B938" i="3"/>
  <c r="N774" i="3"/>
  <c r="B706" i="3"/>
  <c r="O684" i="3"/>
  <c r="N663" i="3"/>
  <c r="B642" i="3"/>
  <c r="O620" i="3"/>
  <c r="O599" i="3"/>
  <c r="O583" i="3"/>
  <c r="O568" i="3"/>
  <c r="O552" i="3"/>
  <c r="O536" i="3"/>
  <c r="B955" i="3"/>
  <c r="B868" i="3"/>
  <c r="B818" i="3"/>
  <c r="B815" i="3"/>
  <c r="O814" i="3"/>
  <c r="B821" i="3"/>
  <c r="N814" i="3"/>
  <c r="B596" i="3"/>
  <c r="O807" i="3"/>
  <c r="N722" i="3"/>
  <c r="B681" i="3"/>
  <c r="B649" i="3"/>
  <c r="B617" i="3"/>
  <c r="O721" i="3"/>
  <c r="O628" i="3"/>
  <c r="B560" i="3"/>
  <c r="O560" i="3" s="1"/>
  <c r="B496" i="3"/>
  <c r="B432" i="3"/>
  <c r="B368" i="3"/>
  <c r="O680" i="3"/>
  <c r="B598" i="3"/>
  <c r="B541" i="3"/>
  <c r="B477" i="3"/>
  <c r="B413" i="3"/>
  <c r="B349" i="3"/>
  <c r="O852" i="3"/>
  <c r="B658" i="3"/>
  <c r="B582" i="3"/>
  <c r="B550" i="3"/>
  <c r="O532" i="3"/>
  <c r="O520" i="3"/>
  <c r="B510" i="3"/>
  <c r="O500" i="3"/>
  <c r="O488" i="3"/>
  <c r="B478" i="3"/>
  <c r="O468" i="3"/>
  <c r="O460" i="3"/>
  <c r="O452" i="3"/>
  <c r="O444" i="3"/>
  <c r="O436" i="3"/>
  <c r="O428" i="3"/>
  <c r="O420" i="3"/>
  <c r="O412" i="3"/>
  <c r="O404" i="3"/>
  <c r="O396" i="3"/>
  <c r="O388" i="3"/>
  <c r="O380" i="3"/>
  <c r="O372" i="3"/>
  <c r="O364" i="3"/>
  <c r="B354" i="3"/>
  <c r="B338" i="3"/>
  <c r="B322" i="3"/>
  <c r="O916" i="3"/>
  <c r="B662" i="3"/>
  <c r="O588" i="3"/>
  <c r="N564" i="3"/>
  <c r="B543" i="3"/>
  <c r="O521" i="3"/>
  <c r="N500" i="3"/>
  <c r="B479" i="3"/>
  <c r="O457" i="3"/>
  <c r="N436" i="3"/>
  <c r="B415" i="3"/>
  <c r="O393" i="3"/>
  <c r="N372" i="3"/>
  <c r="B355" i="3"/>
  <c r="B339" i="3"/>
  <c r="B323" i="3"/>
  <c r="O305" i="3"/>
  <c r="N293" i="3"/>
  <c r="B275" i="3"/>
  <c r="B259" i="3"/>
  <c r="B243" i="3"/>
  <c r="B227" i="3"/>
  <c r="B211" i="3"/>
  <c r="B195" i="3"/>
  <c r="B179" i="3"/>
  <c r="B163" i="3"/>
  <c r="B147" i="3"/>
  <c r="B131" i="3"/>
  <c r="B115" i="3"/>
  <c r="B99" i="3"/>
  <c r="B83" i="3"/>
  <c r="B67" i="3"/>
  <c r="O747" i="3"/>
  <c r="N635" i="3"/>
  <c r="B579" i="3"/>
  <c r="N536" i="3"/>
  <c r="B515" i="3"/>
  <c r="N472" i="3"/>
  <c r="B451" i="3"/>
  <c r="N408" i="3"/>
  <c r="B387" i="3"/>
  <c r="B352" i="3"/>
  <c r="N341" i="3"/>
  <c r="B320" i="3"/>
  <c r="N309" i="3"/>
  <c r="B300" i="3"/>
  <c r="B284" i="3"/>
  <c r="B268" i="3"/>
  <c r="B252" i="3"/>
  <c r="B236" i="3"/>
  <c r="B220" i="3"/>
  <c r="B204" i="3"/>
  <c r="B188" i="3"/>
  <c r="B172" i="3"/>
  <c r="B156" i="3"/>
  <c r="B140" i="3"/>
  <c r="B124" i="3"/>
  <c r="B108" i="3"/>
  <c r="B92" i="3"/>
  <c r="B76" i="3"/>
  <c r="B60" i="3"/>
  <c r="B44" i="3"/>
  <c r="B28" i="3"/>
  <c r="B12" i="3"/>
  <c r="N651" i="3"/>
  <c r="O561" i="3"/>
  <c r="B519" i="3"/>
  <c r="N476" i="3"/>
  <c r="O433" i="3"/>
  <c r="B391" i="3"/>
  <c r="O353" i="3"/>
  <c r="O321" i="3"/>
  <c r="B891" i="3"/>
  <c r="O987" i="3"/>
  <c r="O859" i="3"/>
  <c r="B754" i="3"/>
  <c r="B751" i="3"/>
  <c r="O782" i="3"/>
  <c r="O735" i="3"/>
  <c r="B729" i="3"/>
  <c r="B986" i="3"/>
  <c r="N786" i="3"/>
  <c r="B705" i="3"/>
  <c r="B673" i="3"/>
  <c r="B641" i="3"/>
  <c r="B609" i="3"/>
  <c r="O692" i="3"/>
  <c r="N607" i="3"/>
  <c r="B544" i="3"/>
  <c r="O544" i="3" s="1"/>
  <c r="B480" i="3"/>
  <c r="B416" i="3"/>
  <c r="B874" i="3"/>
  <c r="N659" i="3"/>
  <c r="N587" i="3"/>
  <c r="B525" i="3"/>
  <c r="B461" i="3"/>
  <c r="B397" i="3"/>
  <c r="B333" i="3"/>
  <c r="B753" i="3"/>
  <c r="O636" i="3"/>
  <c r="B574" i="3"/>
  <c r="B542" i="3"/>
  <c r="B518" i="3"/>
  <c r="O508" i="3"/>
  <c r="O496" i="3"/>
  <c r="B486" i="3"/>
  <c r="O476" i="3"/>
  <c r="B466" i="3"/>
  <c r="B458" i="3"/>
  <c r="B450" i="3"/>
  <c r="B442" i="3"/>
  <c r="B434" i="3"/>
  <c r="B426" i="3"/>
  <c r="B418" i="3"/>
  <c r="B410" i="3"/>
  <c r="B402" i="3"/>
  <c r="B394" i="3"/>
  <c r="B386" i="3"/>
  <c r="B378" i="3"/>
  <c r="B370" i="3"/>
  <c r="B362" i="3"/>
  <c r="B350" i="3"/>
  <c r="B334" i="3"/>
  <c r="B318" i="3"/>
  <c r="B769" i="3"/>
  <c r="O640" i="3"/>
  <c r="N580" i="3"/>
  <c r="B559" i="3"/>
  <c r="O537" i="3"/>
  <c r="N516" i="3"/>
  <c r="B495" i="3"/>
  <c r="O473" i="3"/>
  <c r="N452" i="3"/>
  <c r="B431" i="3"/>
  <c r="O409" i="3"/>
  <c r="N388" i="3"/>
  <c r="B367" i="3"/>
  <c r="O349" i="3"/>
  <c r="O333" i="3"/>
  <c r="B304" i="3"/>
  <c r="B287" i="3"/>
  <c r="B271" i="3"/>
  <c r="B255" i="3"/>
  <c r="B239" i="3"/>
  <c r="B223" i="3"/>
  <c r="B207" i="3"/>
  <c r="B191" i="3"/>
  <c r="B175" i="3"/>
  <c r="B159" i="3"/>
  <c r="B143" i="3"/>
  <c r="B127" i="3"/>
  <c r="B111" i="3"/>
  <c r="B95" i="3"/>
  <c r="B79" i="3"/>
  <c r="B63" i="3"/>
  <c r="N699" i="3"/>
  <c r="B614" i="3"/>
  <c r="N552" i="3"/>
  <c r="B531" i="3"/>
  <c r="N488" i="3"/>
  <c r="B467" i="3"/>
  <c r="N424" i="3"/>
  <c r="B403" i="3"/>
  <c r="N360" i="3"/>
  <c r="N349" i="3"/>
  <c r="O338" i="3"/>
  <c r="B328" i="3"/>
  <c r="B307" i="3"/>
  <c r="B298" i="3"/>
  <c r="B280" i="3"/>
  <c r="B264" i="3"/>
  <c r="B248" i="3"/>
  <c r="B232" i="3"/>
  <c r="B216" i="3"/>
  <c r="B200" i="3"/>
  <c r="B184" i="3"/>
  <c r="B168" i="3"/>
  <c r="B152" i="3"/>
  <c r="B136" i="3"/>
  <c r="B120" i="3"/>
  <c r="B104" i="3"/>
  <c r="B88" i="3"/>
  <c r="B72" i="3"/>
  <c r="B56" i="3"/>
  <c r="B40" i="3"/>
  <c r="B24" i="3"/>
  <c r="B8" i="3"/>
  <c r="O608" i="3"/>
  <c r="B551" i="3"/>
  <c r="N508" i="3"/>
  <c r="O465" i="3"/>
  <c r="B423" i="3"/>
  <c r="N380" i="3"/>
  <c r="B343" i="3"/>
  <c r="B311" i="3"/>
  <c r="B996" i="3"/>
  <c r="O955" i="3"/>
  <c r="O984" i="3"/>
  <c r="B978" i="3"/>
  <c r="N955" i="3"/>
  <c r="O750" i="3"/>
  <c r="B667" i="3"/>
  <c r="O667" i="3" s="1"/>
  <c r="B664" i="3"/>
  <c r="O900" i="3"/>
  <c r="B765" i="3"/>
  <c r="B697" i="3"/>
  <c r="B665" i="3"/>
  <c r="B633" i="3"/>
  <c r="B601" i="3"/>
  <c r="N671" i="3"/>
  <c r="O587" i="3"/>
  <c r="B528" i="3"/>
  <c r="O528" i="3" s="1"/>
  <c r="B464" i="3"/>
  <c r="B400" i="3"/>
  <c r="N758" i="3"/>
  <c r="B638" i="3"/>
  <c r="B573" i="3"/>
  <c r="B509" i="3"/>
  <c r="B445" i="3"/>
  <c r="B381" i="3"/>
  <c r="B317" i="3"/>
  <c r="O700" i="3"/>
  <c r="N615" i="3"/>
  <c r="B566" i="3"/>
  <c r="O540" i="3"/>
  <c r="B526" i="3"/>
  <c r="O516" i="3"/>
  <c r="O504" i="3"/>
  <c r="B494" i="3"/>
  <c r="O484" i="3"/>
  <c r="O472" i="3"/>
  <c r="O464" i="3"/>
  <c r="O456" i="3"/>
  <c r="O440" i="3"/>
  <c r="O432" i="3"/>
  <c r="O424" i="3"/>
  <c r="O416" i="3"/>
  <c r="O408" i="3"/>
  <c r="O400" i="3"/>
  <c r="O392" i="3"/>
  <c r="O376" i="3"/>
  <c r="O368" i="3"/>
  <c r="O360" i="3"/>
  <c r="B346" i="3"/>
  <c r="B330" i="3"/>
  <c r="B314" i="3"/>
  <c r="O704" i="3"/>
  <c r="N619" i="3"/>
  <c r="B575" i="3"/>
  <c r="O553" i="3"/>
  <c r="N532" i="3"/>
  <c r="B511" i="3"/>
  <c r="O489" i="3"/>
  <c r="N468" i="3"/>
  <c r="B447" i="3"/>
  <c r="O425" i="3"/>
  <c r="N404" i="3"/>
  <c r="B383" i="3"/>
  <c r="O361" i="3"/>
  <c r="B347" i="3"/>
  <c r="B331" i="3"/>
  <c r="B315" i="3"/>
  <c r="B302" i="3"/>
  <c r="B283" i="3"/>
  <c r="O283" i="3" s="1"/>
  <c r="B267" i="3"/>
  <c r="O267" i="3" s="1"/>
  <c r="B251" i="3"/>
  <c r="O251" i="3" s="1"/>
  <c r="B235" i="3"/>
  <c r="O235" i="3" s="1"/>
  <c r="B219" i="3"/>
  <c r="O219" i="3" s="1"/>
  <c r="B203" i="3"/>
  <c r="O203" i="3" s="1"/>
  <c r="B187" i="3"/>
  <c r="O187" i="3" s="1"/>
  <c r="B171" i="3"/>
  <c r="O171" i="3" s="1"/>
  <c r="B155" i="3"/>
  <c r="O155" i="3" s="1"/>
  <c r="B139" i="3"/>
  <c r="O139" i="3" s="1"/>
  <c r="B123" i="3"/>
  <c r="O123" i="3" s="1"/>
  <c r="B107" i="3"/>
  <c r="O107" i="3" s="1"/>
  <c r="B91" i="3"/>
  <c r="O91" i="3" s="1"/>
  <c r="B75" i="3"/>
  <c r="O75" i="3" s="1"/>
  <c r="B59" i="3"/>
  <c r="B678" i="3"/>
  <c r="O596" i="3"/>
  <c r="N568" i="3"/>
  <c r="B547" i="3"/>
  <c r="O525" i="3"/>
  <c r="N504" i="3"/>
  <c r="B483" i="3"/>
  <c r="O461" i="3"/>
  <c r="N440" i="3"/>
  <c r="B419" i="3"/>
  <c r="O397" i="3"/>
  <c r="N376" i="3"/>
  <c r="N357" i="3"/>
  <c r="O346" i="3"/>
  <c r="B336" i="3"/>
  <c r="N325" i="3"/>
  <c r="O314" i="3"/>
  <c r="N305" i="3"/>
  <c r="B291" i="3"/>
  <c r="B276" i="3"/>
  <c r="B260" i="3"/>
  <c r="B244" i="3"/>
  <c r="B228" i="3"/>
  <c r="B212" i="3"/>
  <c r="B196" i="3"/>
  <c r="B180" i="3"/>
  <c r="B164" i="3"/>
  <c r="B148" i="3"/>
  <c r="B132" i="3"/>
  <c r="B116" i="3"/>
  <c r="B100" i="3"/>
  <c r="B84" i="3"/>
  <c r="B68" i="3"/>
  <c r="B52" i="3"/>
  <c r="B36" i="3"/>
  <c r="B20" i="3"/>
  <c r="O811" i="3"/>
  <c r="N583" i="3"/>
  <c r="N540" i="3"/>
  <c r="O497" i="3"/>
  <c r="B455" i="3"/>
  <c r="N412" i="3"/>
  <c r="B932" i="3"/>
  <c r="B870" i="3"/>
  <c r="B829" i="3"/>
  <c r="B625" i="3"/>
  <c r="B512" i="3"/>
  <c r="O616" i="3"/>
  <c r="B365" i="3"/>
  <c r="B558" i="3"/>
  <c r="B502" i="3"/>
  <c r="B462" i="3"/>
  <c r="B430" i="3"/>
  <c r="B398" i="3"/>
  <c r="B366" i="3"/>
  <c r="B310" i="3"/>
  <c r="N548" i="3"/>
  <c r="B463" i="3"/>
  <c r="O377" i="3"/>
  <c r="O309" i="3"/>
  <c r="B247" i="3"/>
  <c r="B183" i="3"/>
  <c r="B119" i="3"/>
  <c r="B833" i="3"/>
  <c r="O541" i="3"/>
  <c r="N456" i="3"/>
  <c r="B371" i="3"/>
  <c r="O322" i="3"/>
  <c r="B272" i="3"/>
  <c r="B208" i="3"/>
  <c r="B144" i="3"/>
  <c r="B80" i="3"/>
  <c r="B16" i="3"/>
  <c r="B487" i="3"/>
  <c r="B359" i="3"/>
  <c r="B296" i="3"/>
  <c r="B273" i="3"/>
  <c r="B249" i="3"/>
  <c r="O227" i="3"/>
  <c r="B209" i="3"/>
  <c r="B185" i="3"/>
  <c r="O163" i="3"/>
  <c r="B145" i="3"/>
  <c r="B121" i="3"/>
  <c r="O99" i="3"/>
  <c r="B81" i="3"/>
  <c r="O59" i="3"/>
  <c r="O44" i="3"/>
  <c r="B18" i="3"/>
  <c r="B9" i="3"/>
  <c r="N492" i="3"/>
  <c r="B407" i="3"/>
  <c r="O329" i="3"/>
  <c r="B285" i="3"/>
  <c r="B253" i="3"/>
  <c r="O223" i="3"/>
  <c r="O183" i="3"/>
  <c r="O119" i="3"/>
  <c r="O95" i="3"/>
  <c r="O63" i="3"/>
  <c r="O36" i="3"/>
  <c r="B17" i="3"/>
  <c r="O565" i="3"/>
  <c r="O469" i="3"/>
  <c r="B395" i="3"/>
  <c r="O334" i="3"/>
  <c r="N297" i="3"/>
  <c r="B274" i="3"/>
  <c r="O252" i="3"/>
  <c r="B234" i="3"/>
  <c r="O212" i="3"/>
  <c r="N191" i="3"/>
  <c r="B170" i="3"/>
  <c r="O148" i="3"/>
  <c r="O124" i="3"/>
  <c r="B82" i="3"/>
  <c r="O60" i="3"/>
  <c r="B47" i="3"/>
  <c r="B29" i="3"/>
  <c r="B15" i="3"/>
  <c r="O688" i="3"/>
  <c r="B571" i="3"/>
  <c r="N528" i="3"/>
  <c r="O485" i="3"/>
  <c r="B443" i="3"/>
  <c r="N400" i="3"/>
  <c r="N337" i="3"/>
  <c r="B316" i="3"/>
  <c r="B299" i="3"/>
  <c r="B286" i="3"/>
  <c r="N275" i="3"/>
  <c r="O264" i="3"/>
  <c r="B254" i="3"/>
  <c r="N243" i="3"/>
  <c r="O232" i="3"/>
  <c r="B222" i="3"/>
  <c r="N211" i="3"/>
  <c r="O200" i="3"/>
  <c r="B190" i="3"/>
  <c r="N179" i="3"/>
  <c r="O168" i="3"/>
  <c r="B158" i="3"/>
  <c r="N147" i="3"/>
  <c r="O136" i="3"/>
  <c r="B126" i="3"/>
  <c r="N115" i="3"/>
  <c r="O104" i="3"/>
  <c r="B94" i="3"/>
  <c r="N83" i="3"/>
  <c r="O72" i="3"/>
  <c r="B62" i="3"/>
  <c r="B53" i="3"/>
  <c r="N44" i="3"/>
  <c r="O24" i="3"/>
  <c r="O17" i="3"/>
  <c r="B630" i="3"/>
  <c r="N556" i="3"/>
  <c r="O481" i="3"/>
  <c r="N396" i="3"/>
  <c r="B335" i="3"/>
  <c r="O297" i="3"/>
  <c r="B261" i="3"/>
  <c r="B237" i="3"/>
  <c r="O207" i="3"/>
  <c r="B165" i="3"/>
  <c r="O143" i="3"/>
  <c r="B109" i="3"/>
  <c r="B49" i="3"/>
  <c r="N24" i="3"/>
  <c r="N8" i="3"/>
  <c r="B555" i="3"/>
  <c r="N480" i="3"/>
  <c r="N329" i="3"/>
  <c r="O293" i="3"/>
  <c r="N271" i="3"/>
  <c r="B250" i="3"/>
  <c r="B226" i="3"/>
  <c r="O204" i="3"/>
  <c r="N183" i="3"/>
  <c r="B162" i="3"/>
  <c r="N143" i="3"/>
  <c r="B122" i="3"/>
  <c r="O100" i="3"/>
  <c r="N79" i="3"/>
  <c r="N997" i="3"/>
  <c r="N989" i="3"/>
  <c r="N981" i="3"/>
  <c r="N973" i="3"/>
  <c r="N965" i="3"/>
  <c r="N957" i="3"/>
  <c r="N949" i="3"/>
  <c r="N941" i="3"/>
  <c r="N933" i="3"/>
  <c r="N925" i="3"/>
  <c r="N917" i="3"/>
  <c r="N909" i="3"/>
  <c r="N901" i="3"/>
  <c r="N893" i="3"/>
  <c r="N885" i="3"/>
  <c r="N877" i="3"/>
  <c r="N869" i="3"/>
  <c r="N861" i="3"/>
  <c r="N853" i="3"/>
  <c r="N845" i="3"/>
  <c r="N837" i="3"/>
  <c r="N974" i="3"/>
  <c r="N942" i="3"/>
  <c r="N910" i="3"/>
  <c r="N878" i="3"/>
  <c r="N846" i="3"/>
  <c r="N978" i="3"/>
  <c r="N946" i="3"/>
  <c r="N914" i="3"/>
  <c r="N882" i="3"/>
  <c r="N850" i="3"/>
  <c r="N998" i="3"/>
  <c r="N966" i="3"/>
  <c r="N934" i="3"/>
  <c r="N902" i="3"/>
  <c r="N870" i="3"/>
  <c r="N838" i="3"/>
  <c r="N828" i="3"/>
  <c r="N820" i="3"/>
  <c r="N812" i="3"/>
  <c r="N804" i="3"/>
  <c r="N796" i="3"/>
  <c r="N788" i="3"/>
  <c r="N780" i="3"/>
  <c r="N772" i="3"/>
  <c r="N764" i="3"/>
  <c r="N756" i="3"/>
  <c r="N748" i="3"/>
  <c r="N740" i="3"/>
  <c r="N732" i="3"/>
  <c r="N724" i="3"/>
  <c r="N890" i="3"/>
  <c r="N805" i="3"/>
  <c r="N773" i="3"/>
  <c r="N741" i="3"/>
  <c r="N970" i="3"/>
  <c r="N842" i="3"/>
  <c r="N809" i="3"/>
  <c r="N777" i="3"/>
  <c r="N745" i="3"/>
  <c r="O715" i="3"/>
  <c r="N986" i="3"/>
  <c r="N858" i="3"/>
  <c r="N813" i="3"/>
  <c r="N781" i="3"/>
  <c r="N749" i="3"/>
  <c r="O717" i="3"/>
  <c r="N705" i="3"/>
  <c r="N697" i="3"/>
  <c r="N681" i="3"/>
  <c r="N673" i="3"/>
  <c r="N665" i="3"/>
  <c r="N649" i="3"/>
  <c r="N641" i="3"/>
  <c r="N633" i="3"/>
  <c r="N625" i="3"/>
  <c r="N617" i="3"/>
  <c r="N609" i="3"/>
  <c r="N601" i="3"/>
  <c r="O711" i="3"/>
  <c r="N682" i="3"/>
  <c r="N618" i="3"/>
  <c r="N593" i="3"/>
  <c r="N874" i="3"/>
  <c r="N737" i="3"/>
  <c r="N670" i="3"/>
  <c r="N638" i="3"/>
  <c r="N606" i="3"/>
  <c r="N590" i="3"/>
  <c r="N817" i="3"/>
  <c r="N706" i="3"/>
  <c r="O923" i="3"/>
  <c r="O718" i="3"/>
  <c r="O743" i="3"/>
  <c r="N806" i="3"/>
  <c r="B448" i="3"/>
  <c r="O448" i="3" s="1"/>
  <c r="B557" i="3"/>
  <c r="B301" i="3"/>
  <c r="B534" i="3"/>
  <c r="O492" i="3"/>
  <c r="B454" i="3"/>
  <c r="B422" i="3"/>
  <c r="B390" i="3"/>
  <c r="B358" i="3"/>
  <c r="N683" i="3"/>
  <c r="B527" i="3"/>
  <c r="O441" i="3"/>
  <c r="O357" i="3"/>
  <c r="B295" i="3"/>
  <c r="B231" i="3"/>
  <c r="B167" i="3"/>
  <c r="B103" i="3"/>
  <c r="N103" i="3" s="1"/>
  <c r="O656" i="3"/>
  <c r="N520" i="3"/>
  <c r="B435" i="3"/>
  <c r="O354" i="3"/>
  <c r="B312" i="3"/>
  <c r="B256" i="3"/>
  <c r="B192" i="3"/>
  <c r="B128" i="3"/>
  <c r="B64" i="3"/>
  <c r="B694" i="3"/>
  <c r="N444" i="3"/>
  <c r="O337" i="3"/>
  <c r="B289" i="3"/>
  <c r="B265" i="3"/>
  <c r="O243" i="3"/>
  <c r="B225" i="3"/>
  <c r="B201" i="3"/>
  <c r="O179" i="3"/>
  <c r="B161" i="3"/>
  <c r="B137" i="3"/>
  <c r="O115" i="3"/>
  <c r="B97" i="3"/>
  <c r="B73" i="3"/>
  <c r="B57" i="3"/>
  <c r="B43" i="3"/>
  <c r="O28" i="3"/>
  <c r="N16" i="3"/>
  <c r="N726" i="3"/>
  <c r="B471" i="3"/>
  <c r="O385" i="3"/>
  <c r="B319" i="3"/>
  <c r="O247" i="3"/>
  <c r="B213" i="3"/>
  <c r="B173" i="3"/>
  <c r="B141" i="3"/>
  <c r="B117" i="3"/>
  <c r="B85" i="3"/>
  <c r="B51" i="3"/>
  <c r="B33" i="3"/>
  <c r="B10" i="3"/>
  <c r="O533" i="3"/>
  <c r="N448" i="3"/>
  <c r="O373" i="3"/>
  <c r="B324" i="3"/>
  <c r="B290" i="3"/>
  <c r="O268" i="3"/>
  <c r="N247" i="3"/>
  <c r="O228" i="3"/>
  <c r="N207" i="3"/>
  <c r="B186" i="3"/>
  <c r="O164" i="3"/>
  <c r="O140" i="3"/>
  <c r="N119" i="3"/>
  <c r="B98" i="3"/>
  <c r="O76" i="3"/>
  <c r="B58" i="3"/>
  <c r="N43" i="3"/>
  <c r="B13" i="3"/>
  <c r="B646" i="3"/>
  <c r="N560" i="3"/>
  <c r="O517" i="3"/>
  <c r="B475" i="3"/>
  <c r="N432" i="3"/>
  <c r="O389" i="3"/>
  <c r="N353" i="3"/>
  <c r="B332" i="3"/>
  <c r="O310" i="3"/>
  <c r="N295" i="3"/>
  <c r="N283" i="3"/>
  <c r="O272" i="3"/>
  <c r="B262" i="3"/>
  <c r="N251" i="3"/>
  <c r="B230" i="3"/>
  <c r="N219" i="3"/>
  <c r="O208" i="3"/>
  <c r="B198" i="3"/>
  <c r="N187" i="3"/>
  <c r="B166" i="3"/>
  <c r="N155" i="3"/>
  <c r="O144" i="3"/>
  <c r="B134" i="3"/>
  <c r="N123" i="3"/>
  <c r="B102" i="3"/>
  <c r="N91" i="3"/>
  <c r="O80" i="3"/>
  <c r="B70" i="3"/>
  <c r="N59" i="3"/>
  <c r="N51" i="3"/>
  <c r="O40" i="3"/>
  <c r="B30" i="3"/>
  <c r="B23" i="3"/>
  <c r="O15" i="3"/>
  <c r="O8" i="3"/>
  <c r="B594" i="3"/>
  <c r="O545" i="3"/>
  <c r="N460" i="3"/>
  <c r="B375" i="3"/>
  <c r="N324" i="3"/>
  <c r="O287" i="3"/>
  <c r="O255" i="3"/>
  <c r="O231" i="3"/>
  <c r="B205" i="3"/>
  <c r="B181" i="3"/>
  <c r="O159" i="3"/>
  <c r="B133" i="3"/>
  <c r="O103" i="3"/>
  <c r="N82" i="3"/>
  <c r="B61" i="3"/>
  <c r="B42" i="3"/>
  <c r="O20" i="3"/>
  <c r="N667" i="3"/>
  <c r="N544" i="3"/>
  <c r="B459" i="3"/>
  <c r="B363" i="3"/>
  <c r="O318" i="3"/>
  <c r="N287" i="3"/>
  <c r="B266" i="3"/>
  <c r="O244" i="3"/>
  <c r="O220" i="3"/>
  <c r="B178" i="3"/>
  <c r="O156" i="3"/>
  <c r="B138" i="3"/>
  <c r="O116" i="3"/>
  <c r="N95" i="3"/>
  <c r="B74" i="3"/>
  <c r="N52" i="3"/>
  <c r="B38" i="3"/>
  <c r="O23" i="3"/>
  <c r="O997" i="3"/>
  <c r="O989" i="3"/>
  <c r="O981" i="3"/>
  <c r="O973" i="3"/>
  <c r="O965" i="3"/>
  <c r="O957" i="3"/>
  <c r="O949" i="3"/>
  <c r="O941" i="3"/>
  <c r="O933" i="3"/>
  <c r="O925" i="3"/>
  <c r="O917" i="3"/>
  <c r="O909" i="3"/>
  <c r="O901" i="3"/>
  <c r="O893" i="3"/>
  <c r="O885" i="3"/>
  <c r="O877" i="3"/>
  <c r="O869" i="3"/>
  <c r="O861" i="3"/>
  <c r="O853" i="3"/>
  <c r="O845" i="3"/>
  <c r="O837" i="3"/>
  <c r="O974" i="3"/>
  <c r="O942" i="3"/>
  <c r="O910" i="3"/>
  <c r="O878" i="3"/>
  <c r="O846" i="3"/>
  <c r="O978" i="3"/>
  <c r="O946" i="3"/>
  <c r="O914" i="3"/>
  <c r="O882" i="3"/>
  <c r="O850" i="3"/>
  <c r="O998" i="3"/>
  <c r="O966" i="3"/>
  <c r="O934" i="3"/>
  <c r="O902" i="3"/>
  <c r="O870" i="3"/>
  <c r="O838" i="3"/>
  <c r="O828" i="3"/>
  <c r="O820" i="3"/>
  <c r="O812" i="3"/>
  <c r="O804" i="3"/>
  <c r="O796" i="3"/>
  <c r="O788" i="3"/>
  <c r="O780" i="3"/>
  <c r="O772" i="3"/>
  <c r="O764" i="3"/>
  <c r="O756" i="3"/>
  <c r="O748" i="3"/>
  <c r="O740" i="3"/>
  <c r="O732" i="3"/>
  <c r="O724" i="3"/>
  <c r="O890" i="3"/>
  <c r="O805" i="3"/>
  <c r="O773" i="3"/>
  <c r="O741" i="3"/>
  <c r="O970" i="3"/>
  <c r="O842" i="3"/>
  <c r="O809" i="3"/>
  <c r="O777" i="3"/>
  <c r="O745" i="3"/>
  <c r="N715" i="3"/>
  <c r="O986" i="3"/>
  <c r="O858" i="3"/>
  <c r="O813" i="3"/>
  <c r="O781" i="3"/>
  <c r="O749" i="3"/>
  <c r="N717" i="3"/>
  <c r="O705" i="3"/>
  <c r="O697" i="3"/>
  <c r="O681" i="3"/>
  <c r="O673" i="3"/>
  <c r="O665" i="3"/>
  <c r="O649" i="3"/>
  <c r="O641" i="3"/>
  <c r="O633" i="3"/>
  <c r="O625" i="3"/>
  <c r="O617" i="3"/>
  <c r="O609" i="3"/>
  <c r="O601" i="3"/>
  <c r="N711" i="3"/>
  <c r="O682" i="3"/>
  <c r="O618" i="3"/>
  <c r="O593" i="3"/>
  <c r="O874" i="3"/>
  <c r="O737" i="3"/>
  <c r="O670" i="3"/>
  <c r="O638" i="3"/>
  <c r="O606" i="3"/>
  <c r="O590" i="3"/>
  <c r="O817" i="3"/>
  <c r="O706" i="3"/>
  <c r="O674" i="3"/>
  <c r="O642" i="3"/>
  <c r="O610" i="3"/>
  <c r="O589" i="3"/>
  <c r="N899" i="3"/>
  <c r="B603" i="3"/>
  <c r="O603" i="3" s="1"/>
  <c r="B689" i="3"/>
  <c r="B650" i="3"/>
  <c r="B384" i="3"/>
  <c r="B493" i="3"/>
  <c r="N679" i="3"/>
  <c r="O524" i="3"/>
  <c r="O480" i="3"/>
  <c r="B446" i="3"/>
  <c r="B414" i="3"/>
  <c r="B382" i="3"/>
  <c r="B342" i="3"/>
  <c r="N599" i="3"/>
  <c r="O505" i="3"/>
  <c r="N420" i="3"/>
  <c r="O341" i="3"/>
  <c r="B279" i="3"/>
  <c r="O279" i="3" s="1"/>
  <c r="B215" i="3"/>
  <c r="B151" i="3"/>
  <c r="O151" i="3" s="1"/>
  <c r="B87" i="3"/>
  <c r="O87" i="3" s="1"/>
  <c r="B586" i="3"/>
  <c r="B499" i="3"/>
  <c r="O413" i="3"/>
  <c r="B344" i="3"/>
  <c r="O301" i="3"/>
  <c r="B240" i="3"/>
  <c r="B176" i="3"/>
  <c r="B112" i="3"/>
  <c r="B48" i="3"/>
  <c r="N572" i="3"/>
  <c r="O401" i="3"/>
  <c r="B327" i="3"/>
  <c r="B281" i="3"/>
  <c r="O259" i="3"/>
  <c r="B241" i="3"/>
  <c r="B217" i="3"/>
  <c r="O195" i="3"/>
  <c r="B177" i="3"/>
  <c r="B153" i="3"/>
  <c r="O131" i="3"/>
  <c r="B113" i="3"/>
  <c r="B89" i="3"/>
  <c r="O67" i="3"/>
  <c r="B50" i="3"/>
  <c r="B41" i="3"/>
  <c r="B27" i="3"/>
  <c r="N27" i="3" s="1"/>
  <c r="O12" i="3"/>
  <c r="B535" i="3"/>
  <c r="O449" i="3"/>
  <c r="N364" i="3"/>
  <c r="N301" i="3"/>
  <c r="B269" i="3"/>
  <c r="O239" i="3"/>
  <c r="B197" i="3"/>
  <c r="O167" i="3"/>
  <c r="O111" i="3"/>
  <c r="O79" i="3"/>
  <c r="O43" i="3"/>
  <c r="B26" i="3"/>
  <c r="O713" i="3"/>
  <c r="N512" i="3"/>
  <c r="B427" i="3"/>
  <c r="B356" i="3"/>
  <c r="N313" i="3"/>
  <c r="O284" i="3"/>
  <c r="B242" i="3"/>
  <c r="N223" i="3"/>
  <c r="B202" i="3"/>
  <c r="O180" i="3"/>
  <c r="N159" i="3"/>
  <c r="B114" i="3"/>
  <c r="O92" i="3"/>
  <c r="B54" i="3"/>
  <c r="N36" i="3"/>
  <c r="B22" i="3"/>
  <c r="O9" i="3"/>
  <c r="N603" i="3"/>
  <c r="O549" i="3"/>
  <c r="B507" i="3"/>
  <c r="N464" i="3"/>
  <c r="O421" i="3"/>
  <c r="B379" i="3"/>
  <c r="B348" i="3"/>
  <c r="B306" i="3"/>
  <c r="B292" i="3"/>
  <c r="O280" i="3"/>
  <c r="B270" i="3"/>
  <c r="N259" i="3"/>
  <c r="O248" i="3"/>
  <c r="B238" i="3"/>
  <c r="N227" i="3"/>
  <c r="O216" i="3"/>
  <c r="B206" i="3"/>
  <c r="N195" i="3"/>
  <c r="O184" i="3"/>
  <c r="B174" i="3"/>
  <c r="N163" i="3"/>
  <c r="O152" i="3"/>
  <c r="B142" i="3"/>
  <c r="N131" i="3"/>
  <c r="O120" i="3"/>
  <c r="B110" i="3"/>
  <c r="N99" i="3"/>
  <c r="O88" i="3"/>
  <c r="B78" i="3"/>
  <c r="N67" i="3"/>
  <c r="O56" i="3"/>
  <c r="O47" i="3"/>
  <c r="B39" i="3"/>
  <c r="N28" i="3"/>
  <c r="B21" i="3"/>
  <c r="B14" i="3"/>
  <c r="B7" i="3"/>
  <c r="O577" i="3"/>
  <c r="N524" i="3"/>
  <c r="B439" i="3"/>
  <c r="N356" i="3"/>
  <c r="O313" i="3"/>
  <c r="B277" i="3"/>
  <c r="B245" i="3"/>
  <c r="B221" i="3"/>
  <c r="O175" i="3"/>
  <c r="O127" i="3"/>
  <c r="N98" i="3"/>
  <c r="B77" i="3"/>
  <c r="N56" i="3"/>
  <c r="B35" i="3"/>
  <c r="N15" i="3"/>
  <c r="B523" i="3"/>
  <c r="O437" i="3"/>
  <c r="O350" i="3"/>
  <c r="B308" i="3"/>
  <c r="B282" i="3"/>
  <c r="O260" i="3"/>
  <c r="O236" i="3"/>
  <c r="N215" i="3"/>
  <c r="B194" i="3"/>
  <c r="O172" i="3"/>
  <c r="N151" i="3"/>
  <c r="O132" i="3"/>
  <c r="N111" i="3"/>
  <c r="B90" i="3"/>
  <c r="O68" i="3"/>
  <c r="O48" i="3"/>
  <c r="N20" i="3"/>
  <c r="N1001" i="3"/>
  <c r="N993" i="3"/>
  <c r="N985" i="3"/>
  <c r="N977" i="3"/>
  <c r="N969" i="3"/>
  <c r="N961" i="3"/>
  <c r="N953" i="3"/>
  <c r="N945" i="3"/>
  <c r="N937" i="3"/>
  <c r="N929" i="3"/>
  <c r="N921" i="3"/>
  <c r="N913" i="3"/>
  <c r="N905" i="3"/>
  <c r="N897" i="3"/>
  <c r="N889" i="3"/>
  <c r="N881" i="3"/>
  <c r="N873" i="3"/>
  <c r="N865" i="3"/>
  <c r="N857" i="3"/>
  <c r="N849" i="3"/>
  <c r="N841" i="3"/>
  <c r="N990" i="3"/>
  <c r="N958" i="3"/>
  <c r="N926" i="3"/>
  <c r="N894" i="3"/>
  <c r="N862" i="3"/>
  <c r="N994" i="3"/>
  <c r="N962" i="3"/>
  <c r="N930" i="3"/>
  <c r="N898" i="3"/>
  <c r="N866" i="3"/>
  <c r="N834" i="3"/>
  <c r="N982" i="3"/>
  <c r="N950" i="3"/>
  <c r="N918" i="3"/>
  <c r="N886" i="3"/>
  <c r="N854" i="3"/>
  <c r="N832" i="3"/>
  <c r="N824" i="3"/>
  <c r="N816" i="3"/>
  <c r="N808" i="3"/>
  <c r="N800" i="3"/>
  <c r="N792" i="3"/>
  <c r="N784" i="3"/>
  <c r="N776" i="3"/>
  <c r="N768" i="3"/>
  <c r="N760" i="3"/>
  <c r="N752" i="3"/>
  <c r="N744" i="3"/>
  <c r="N736" i="3"/>
  <c r="N728" i="3"/>
  <c r="N954" i="3"/>
  <c r="N821" i="3"/>
  <c r="N789" i="3"/>
  <c r="N757" i="3"/>
  <c r="N725" i="3"/>
  <c r="N906" i="3"/>
  <c r="N825" i="3"/>
  <c r="N793" i="3"/>
  <c r="N761" i="3"/>
  <c r="N729" i="3"/>
  <c r="O707" i="3"/>
  <c r="N922" i="3"/>
  <c r="N829" i="3"/>
  <c r="N797" i="3"/>
  <c r="N765" i="3"/>
  <c r="N733" i="3"/>
  <c r="O709" i="3"/>
  <c r="N701" i="3"/>
  <c r="N693" i="3"/>
  <c r="N685" i="3"/>
  <c r="N677" i="3"/>
  <c r="N669" i="3"/>
  <c r="N661" i="3"/>
  <c r="N653" i="3"/>
  <c r="N645" i="3"/>
  <c r="N637" i="3"/>
  <c r="N629" i="3"/>
  <c r="N621" i="3"/>
  <c r="N613" i="3"/>
  <c r="N605" i="3"/>
  <c r="N785" i="3"/>
  <c r="N698" i="3"/>
  <c r="N666" i="3"/>
  <c r="N634" i="3"/>
  <c r="N602" i="3"/>
  <c r="N585" i="3"/>
  <c r="O892" i="3"/>
  <c r="B702" i="3"/>
  <c r="B470" i="3"/>
  <c r="B326" i="3"/>
  <c r="O325" i="3"/>
  <c r="B71" i="3"/>
  <c r="N71" i="3" s="1"/>
  <c r="N333" i="3"/>
  <c r="B96" i="3"/>
  <c r="B303" i="3"/>
  <c r="O211" i="3"/>
  <c r="B129" i="3"/>
  <c r="N48" i="3"/>
  <c r="O513" i="3"/>
  <c r="B125" i="3"/>
  <c r="B19" i="3"/>
  <c r="N345" i="3"/>
  <c r="N239" i="3"/>
  <c r="B154" i="3"/>
  <c r="B66" i="3"/>
  <c r="N790" i="3"/>
  <c r="O453" i="3"/>
  <c r="N321" i="3"/>
  <c r="N267" i="3"/>
  <c r="B182" i="3"/>
  <c r="N139" i="3"/>
  <c r="O96" i="3"/>
  <c r="B55" i="3"/>
  <c r="N19" i="3"/>
  <c r="B503" i="3"/>
  <c r="O271" i="3"/>
  <c r="N170" i="3"/>
  <c r="O71" i="3"/>
  <c r="O300" i="3"/>
  <c r="B210" i="3"/>
  <c r="N127" i="3"/>
  <c r="B45" i="3"/>
  <c r="O993" i="3"/>
  <c r="O961" i="3"/>
  <c r="O929" i="3"/>
  <c r="O897" i="3"/>
  <c r="O865" i="3"/>
  <c r="O990" i="3"/>
  <c r="O862" i="3"/>
  <c r="O898" i="3"/>
  <c r="O950" i="3"/>
  <c r="O832" i="3"/>
  <c r="O800" i="3"/>
  <c r="O768" i="3"/>
  <c r="O736" i="3"/>
  <c r="O789" i="3"/>
  <c r="O825" i="3"/>
  <c r="N707" i="3"/>
  <c r="O765" i="3"/>
  <c r="O693" i="3"/>
  <c r="O661" i="3"/>
  <c r="O629" i="3"/>
  <c r="O785" i="3"/>
  <c r="O602" i="3"/>
  <c r="O719" i="3"/>
  <c r="N654" i="3"/>
  <c r="N598" i="3"/>
  <c r="N753" i="3"/>
  <c r="N674" i="3"/>
  <c r="N626" i="3"/>
  <c r="N578" i="3"/>
  <c r="N570" i="3"/>
  <c r="N562" i="3"/>
  <c r="N554" i="3"/>
  <c r="N546" i="3"/>
  <c r="N538" i="3"/>
  <c r="N530" i="3"/>
  <c r="N522" i="3"/>
  <c r="N514" i="3"/>
  <c r="N506" i="3"/>
  <c r="N498" i="3"/>
  <c r="N490" i="3"/>
  <c r="N482" i="3"/>
  <c r="N474" i="3"/>
  <c r="N466" i="3"/>
  <c r="N458" i="3"/>
  <c r="N450" i="3"/>
  <c r="N442" i="3"/>
  <c r="N434" i="3"/>
  <c r="N426" i="3"/>
  <c r="N418" i="3"/>
  <c r="N410" i="3"/>
  <c r="N402" i="3"/>
  <c r="N394" i="3"/>
  <c r="N386" i="3"/>
  <c r="N378" i="3"/>
  <c r="N370" i="3"/>
  <c r="N362" i="3"/>
  <c r="N662" i="3"/>
  <c r="N559" i="3"/>
  <c r="N527" i="3"/>
  <c r="N495" i="3"/>
  <c r="N463" i="3"/>
  <c r="N431" i="3"/>
  <c r="N367" i="3"/>
  <c r="N347" i="3"/>
  <c r="N331" i="3"/>
  <c r="N315" i="3"/>
  <c r="N678" i="3"/>
  <c r="N586" i="3"/>
  <c r="N531" i="3"/>
  <c r="N499" i="3"/>
  <c r="N467" i="3"/>
  <c r="N435" i="3"/>
  <c r="N403" i="3"/>
  <c r="N371" i="3"/>
  <c r="N344" i="3"/>
  <c r="N328" i="3"/>
  <c r="N312" i="3"/>
  <c r="O298" i="3"/>
  <c r="N694" i="3"/>
  <c r="N519" i="3"/>
  <c r="N455" i="3"/>
  <c r="N391" i="3"/>
  <c r="N343" i="3"/>
  <c r="N311" i="3"/>
  <c r="N296" i="3"/>
  <c r="N281" i="3"/>
  <c r="N265" i="3"/>
  <c r="N249" i="3"/>
  <c r="N217" i="3"/>
  <c r="N201" i="3"/>
  <c r="N185" i="3"/>
  <c r="N153" i="3"/>
  <c r="N137" i="3"/>
  <c r="N121" i="3"/>
  <c r="N89" i="3"/>
  <c r="N73" i="3"/>
  <c r="N57" i="3"/>
  <c r="N471" i="3"/>
  <c r="N269" i="3"/>
  <c r="N197" i="3"/>
  <c r="N173" i="3"/>
  <c r="N141" i="3"/>
  <c r="N117" i="3"/>
  <c r="N85" i="3"/>
  <c r="N395" i="3"/>
  <c r="N274" i="3"/>
  <c r="N234" i="3"/>
  <c r="N202" i="3"/>
  <c r="N58" i="3"/>
  <c r="O29" i="3"/>
  <c r="O13" i="3"/>
  <c r="N571" i="3"/>
  <c r="N507" i="3"/>
  <c r="N443" i="3"/>
  <c r="N379" i="3"/>
  <c r="N332" i="3"/>
  <c r="O306" i="3"/>
  <c r="N292" i="3"/>
  <c r="N262" i="3"/>
  <c r="N230" i="3"/>
  <c r="N198" i="3"/>
  <c r="N182" i="3"/>
  <c r="N166" i="3"/>
  <c r="N134" i="3"/>
  <c r="N102" i="3"/>
  <c r="N70" i="3"/>
  <c r="O53" i="3"/>
  <c r="O39" i="3"/>
  <c r="N30" i="3"/>
  <c r="N14" i="3"/>
  <c r="N594" i="3"/>
  <c r="N503" i="3"/>
  <c r="N375" i="3"/>
  <c r="N277" i="3"/>
  <c r="N245" i="3"/>
  <c r="N221" i="3"/>
  <c r="N181" i="3"/>
  <c r="N109" i="3"/>
  <c r="N77" i="3"/>
  <c r="O49" i="3"/>
  <c r="N35" i="3"/>
  <c r="N523" i="3"/>
  <c r="N363" i="3"/>
  <c r="N308" i="3"/>
  <c r="N266" i="3"/>
  <c r="N226" i="3"/>
  <c r="N194" i="3"/>
  <c r="N162" i="3"/>
  <c r="N138" i="3"/>
  <c r="N74" i="3"/>
  <c r="N38" i="3"/>
  <c r="O138" i="3"/>
  <c r="O74" i="3"/>
  <c r="N178" i="3"/>
  <c r="N90" i="3"/>
  <c r="B374" i="3"/>
  <c r="B233" i="3"/>
  <c r="N233" i="3" s="1"/>
  <c r="B11" i="3"/>
  <c r="N11" i="3" s="1"/>
  <c r="N40" i="3"/>
  <c r="N175" i="3"/>
  <c r="O342" i="3"/>
  <c r="O192" i="3"/>
  <c r="O64" i="3"/>
  <c r="B567" i="3"/>
  <c r="B93" i="3"/>
  <c r="N231" i="3"/>
  <c r="O1001" i="3"/>
  <c r="O905" i="3"/>
  <c r="O894" i="3"/>
  <c r="O854" i="3"/>
  <c r="O776" i="3"/>
  <c r="O906" i="3"/>
  <c r="O701" i="3"/>
  <c r="O605" i="3"/>
  <c r="O801" i="3"/>
  <c r="O938" i="3"/>
  <c r="O574" i="3"/>
  <c r="O550" i="3"/>
  <c r="O526" i="3"/>
  <c r="O494" i="3"/>
  <c r="O470" i="3"/>
  <c r="O446" i="3"/>
  <c r="O430" i="3"/>
  <c r="O414" i="3"/>
  <c r="O390" i="3"/>
  <c r="O366" i="3"/>
  <c r="O543" i="3"/>
  <c r="O447" i="3"/>
  <c r="O355" i="3"/>
  <c r="O614" i="3"/>
  <c r="O579" i="3"/>
  <c r="O483" i="3"/>
  <c r="O387" i="3"/>
  <c r="O320" i="3"/>
  <c r="O551" i="3"/>
  <c r="O359" i="3"/>
  <c r="B624" i="3"/>
  <c r="B429" i="3"/>
  <c r="B438" i="3"/>
  <c r="O569" i="3"/>
  <c r="B263" i="3"/>
  <c r="B563" i="3"/>
  <c r="N563" i="3" s="1"/>
  <c r="B288" i="3"/>
  <c r="B32" i="3"/>
  <c r="N32" i="3" s="1"/>
  <c r="O275" i="3"/>
  <c r="B193" i="3"/>
  <c r="B105" i="3"/>
  <c r="N105" i="3" s="1"/>
  <c r="B34" i="3"/>
  <c r="N428" i="3"/>
  <c r="B229" i="3"/>
  <c r="N229" i="3" s="1"/>
  <c r="B101" i="3"/>
  <c r="N591" i="3"/>
  <c r="N304" i="3"/>
  <c r="B218" i="3"/>
  <c r="B130" i="3"/>
  <c r="N50" i="3"/>
  <c r="O581" i="3"/>
  <c r="B411" i="3"/>
  <c r="O302" i="3"/>
  <c r="O256" i="3"/>
  <c r="B214" i="3"/>
  <c r="N214" i="3" s="1"/>
  <c r="N171" i="3"/>
  <c r="O128" i="3"/>
  <c r="B86" i="3"/>
  <c r="N86" i="3" s="1"/>
  <c r="B46" i="3"/>
  <c r="N12" i="3"/>
  <c r="O417" i="3"/>
  <c r="N242" i="3"/>
  <c r="B149" i="3"/>
  <c r="N149" i="3" s="1"/>
  <c r="O52" i="3"/>
  <c r="O501" i="3"/>
  <c r="O276" i="3"/>
  <c r="O188" i="3"/>
  <c r="B106" i="3"/>
  <c r="N106" i="3" s="1"/>
  <c r="B31" i="3"/>
  <c r="N31" i="3" s="1"/>
  <c r="O985" i="3"/>
  <c r="O953" i="3"/>
  <c r="O921" i="3"/>
  <c r="O889" i="3"/>
  <c r="O857" i="3"/>
  <c r="O958" i="3"/>
  <c r="O994" i="3"/>
  <c r="O866" i="3"/>
  <c r="O918" i="3"/>
  <c r="O824" i="3"/>
  <c r="O792" i="3"/>
  <c r="O760" i="3"/>
  <c r="O728" i="3"/>
  <c r="O757" i="3"/>
  <c r="O793" i="3"/>
  <c r="O922" i="3"/>
  <c r="O733" i="3"/>
  <c r="O685" i="3"/>
  <c r="O653" i="3"/>
  <c r="O621" i="3"/>
  <c r="O698" i="3"/>
  <c r="O585" i="3"/>
  <c r="N719" i="3"/>
  <c r="O654" i="3"/>
  <c r="O598" i="3"/>
  <c r="O753" i="3"/>
  <c r="N658" i="3"/>
  <c r="O626" i="3"/>
  <c r="N589" i="3"/>
  <c r="O578" i="3"/>
  <c r="O570" i="3"/>
  <c r="O562" i="3"/>
  <c r="O554" i="3"/>
  <c r="O546" i="3"/>
  <c r="O538" i="3"/>
  <c r="O530" i="3"/>
  <c r="O522" i="3"/>
  <c r="O514" i="3"/>
  <c r="O506" i="3"/>
  <c r="O498" i="3"/>
  <c r="O490" i="3"/>
  <c r="O482" i="3"/>
  <c r="O474" i="3"/>
  <c r="O466" i="3"/>
  <c r="O458" i="3"/>
  <c r="O450" i="3"/>
  <c r="O442" i="3"/>
  <c r="O434" i="3"/>
  <c r="O426" i="3"/>
  <c r="O418" i="3"/>
  <c r="O410" i="3"/>
  <c r="O402" i="3"/>
  <c r="O394" i="3"/>
  <c r="O386" i="3"/>
  <c r="O378" i="3"/>
  <c r="O370" i="3"/>
  <c r="O362" i="3"/>
  <c r="O662" i="3"/>
  <c r="O559" i="3"/>
  <c r="O527" i="3"/>
  <c r="O495" i="3"/>
  <c r="O463" i="3"/>
  <c r="O431" i="3"/>
  <c r="O367" i="3"/>
  <c r="O347" i="3"/>
  <c r="O331" i="3"/>
  <c r="O315" i="3"/>
  <c r="O678" i="3"/>
  <c r="O586" i="3"/>
  <c r="O563" i="3"/>
  <c r="O531" i="3"/>
  <c r="O499" i="3"/>
  <c r="O467" i="3"/>
  <c r="O435" i="3"/>
  <c r="O403" i="3"/>
  <c r="O371" i="3"/>
  <c r="O344" i="3"/>
  <c r="O328" i="3"/>
  <c r="O312" i="3"/>
  <c r="N298" i="3"/>
  <c r="O694" i="3"/>
  <c r="O519" i="3"/>
  <c r="O455" i="3"/>
  <c r="O391" i="3"/>
  <c r="O343" i="3"/>
  <c r="O311" i="3"/>
  <c r="O296" i="3"/>
  <c r="O281" i="3"/>
  <c r="O265" i="3"/>
  <c r="O249" i="3"/>
  <c r="O233" i="3"/>
  <c r="O217" i="3"/>
  <c r="O201" i="3"/>
  <c r="O185" i="3"/>
  <c r="O153" i="3"/>
  <c r="O137" i="3"/>
  <c r="O121" i="3"/>
  <c r="O105" i="3"/>
  <c r="O89" i="3"/>
  <c r="O73" i="3"/>
  <c r="O57" i="3"/>
  <c r="O471" i="3"/>
  <c r="O269" i="3"/>
  <c r="O229" i="3"/>
  <c r="O197" i="3"/>
  <c r="O173" i="3"/>
  <c r="O141" i="3"/>
  <c r="O117" i="3"/>
  <c r="O85" i="3"/>
  <c r="O395" i="3"/>
  <c r="O274" i="3"/>
  <c r="O234" i="3"/>
  <c r="O202" i="3"/>
  <c r="O58" i="3"/>
  <c r="N29" i="3"/>
  <c r="N13" i="3"/>
  <c r="O571" i="3"/>
  <c r="O507" i="3"/>
  <c r="O443" i="3"/>
  <c r="O379" i="3"/>
  <c r="O332" i="3"/>
  <c r="N306" i="3"/>
  <c r="O292" i="3"/>
  <c r="O262" i="3"/>
  <c r="O230" i="3"/>
  <c r="O214" i="3"/>
  <c r="O198" i="3"/>
  <c r="O182" i="3"/>
  <c r="O166" i="3"/>
  <c r="O134" i="3"/>
  <c r="O102" i="3"/>
  <c r="O86" i="3"/>
  <c r="O70" i="3"/>
  <c r="N53" i="3"/>
  <c r="N39" i="3"/>
  <c r="O30" i="3"/>
  <c r="O14" i="3"/>
  <c r="O594" i="3"/>
  <c r="O503" i="3"/>
  <c r="O375" i="3"/>
  <c r="O277" i="3"/>
  <c r="O245" i="3"/>
  <c r="O221" i="3"/>
  <c r="O181" i="3"/>
  <c r="O149" i="3"/>
  <c r="O109" i="3"/>
  <c r="O77" i="3"/>
  <c r="N49" i="3"/>
  <c r="O35" i="3"/>
  <c r="O523" i="3"/>
  <c r="O363" i="3"/>
  <c r="O308" i="3"/>
  <c r="O266" i="3"/>
  <c r="O226" i="3"/>
  <c r="O194" i="3"/>
  <c r="O162" i="3"/>
  <c r="O106" i="3"/>
  <c r="O38" i="3"/>
  <c r="O45" i="3"/>
  <c r="O512" i="3"/>
  <c r="B65" i="3"/>
  <c r="B294" i="3"/>
  <c r="N416" i="3"/>
  <c r="N87" i="3"/>
  <c r="N496" i="3"/>
  <c r="N235" i="3"/>
  <c r="N107" i="3"/>
  <c r="O304" i="3"/>
  <c r="O11" i="3"/>
  <c r="N63" i="3"/>
  <c r="O937" i="3"/>
  <c r="O841" i="3"/>
  <c r="O982" i="3"/>
  <c r="O808" i="3"/>
  <c r="O821" i="3"/>
  <c r="O797" i="3"/>
  <c r="O637" i="3"/>
  <c r="O686" i="3"/>
  <c r="O690" i="3"/>
  <c r="O582" i="3"/>
  <c r="O558" i="3"/>
  <c r="O542" i="3"/>
  <c r="O518" i="3"/>
  <c r="O502" i="3"/>
  <c r="O478" i="3"/>
  <c r="O454" i="3"/>
  <c r="O422" i="3"/>
  <c r="O398" i="3"/>
  <c r="O382" i="3"/>
  <c r="O769" i="3"/>
  <c r="O511" i="3"/>
  <c r="O415" i="3"/>
  <c r="O339" i="3"/>
  <c r="N833" i="3"/>
  <c r="O547" i="3"/>
  <c r="O451" i="3"/>
  <c r="O352" i="3"/>
  <c r="O307" i="3"/>
  <c r="O487" i="3"/>
  <c r="O327" i="3"/>
  <c r="B657" i="3"/>
  <c r="B597" i="3"/>
  <c r="B406" i="3"/>
  <c r="N484" i="3"/>
  <c r="B199" i="3"/>
  <c r="O477" i="3"/>
  <c r="B224" i="3"/>
  <c r="O529" i="3"/>
  <c r="B257" i="3"/>
  <c r="B169" i="3"/>
  <c r="O83" i="3"/>
  <c r="B25" i="3"/>
  <c r="B351" i="3"/>
  <c r="B189" i="3"/>
  <c r="B69" i="3"/>
  <c r="B491" i="3"/>
  <c r="N279" i="3"/>
  <c r="O196" i="3"/>
  <c r="O108" i="3"/>
  <c r="O32" i="3"/>
  <c r="B539" i="3"/>
  <c r="N368" i="3"/>
  <c r="O288" i="3"/>
  <c r="B246" i="3"/>
  <c r="N203" i="3"/>
  <c r="B118" i="3"/>
  <c r="N75" i="3"/>
  <c r="B37" i="3"/>
  <c r="O672" i="3"/>
  <c r="O345" i="3"/>
  <c r="O215" i="3"/>
  <c r="N114" i="3"/>
  <c r="O27" i="3"/>
  <c r="O405" i="3"/>
  <c r="N255" i="3"/>
  <c r="N167" i="3"/>
  <c r="O84" i="3"/>
  <c r="O16" i="3"/>
  <c r="O977" i="3"/>
  <c r="O945" i="3"/>
  <c r="O913" i="3"/>
  <c r="O881" i="3"/>
  <c r="O849" i="3"/>
  <c r="O926" i="3"/>
  <c r="O962" i="3"/>
  <c r="O834" i="3"/>
  <c r="O886" i="3"/>
  <c r="O816" i="3"/>
  <c r="O784" i="3"/>
  <c r="O752" i="3"/>
  <c r="O954" i="3"/>
  <c r="O725" i="3"/>
  <c r="O761" i="3"/>
  <c r="O829" i="3"/>
  <c r="N709" i="3"/>
  <c r="O677" i="3"/>
  <c r="O645" i="3"/>
  <c r="O613" i="3"/>
  <c r="O666" i="3"/>
  <c r="N801" i="3"/>
  <c r="N686" i="3"/>
  <c r="N622" i="3"/>
  <c r="N938" i="3"/>
  <c r="N690" i="3"/>
  <c r="O658" i="3"/>
  <c r="N610" i="3"/>
  <c r="N582" i="3"/>
  <c r="N574" i="3"/>
  <c r="N566" i="3"/>
  <c r="N558" i="3"/>
  <c r="N550" i="3"/>
  <c r="N542" i="3"/>
  <c r="N534" i="3"/>
  <c r="N526" i="3"/>
  <c r="N518" i="3"/>
  <c r="N510" i="3"/>
  <c r="N502" i="3"/>
  <c r="N494" i="3"/>
  <c r="N486" i="3"/>
  <c r="N478" i="3"/>
  <c r="N470" i="3"/>
  <c r="N462" i="3"/>
  <c r="N454" i="3"/>
  <c r="N446" i="3"/>
  <c r="N438" i="3"/>
  <c r="N430" i="3"/>
  <c r="N422" i="3"/>
  <c r="N414" i="3"/>
  <c r="N406" i="3"/>
  <c r="N398" i="3"/>
  <c r="N390" i="3"/>
  <c r="N382" i="3"/>
  <c r="N374" i="3"/>
  <c r="N366" i="3"/>
  <c r="N769" i="3"/>
  <c r="N575" i="3"/>
  <c r="N543" i="3"/>
  <c r="N511" i="3"/>
  <c r="N479" i="3"/>
  <c r="N447" i="3"/>
  <c r="N415" i="3"/>
  <c r="N383" i="3"/>
  <c r="N355" i="3"/>
  <c r="N339" i="3"/>
  <c r="N323" i="3"/>
  <c r="O833" i="3"/>
  <c r="N614" i="3"/>
  <c r="N579" i="3"/>
  <c r="N547" i="3"/>
  <c r="N515" i="3"/>
  <c r="N483" i="3"/>
  <c r="N451" i="3"/>
  <c r="N419" i="3"/>
  <c r="N387" i="3"/>
  <c r="N352" i="3"/>
  <c r="N336" i="3"/>
  <c r="N320" i="3"/>
  <c r="N307" i="3"/>
  <c r="N291" i="3"/>
  <c r="N551" i="3"/>
  <c r="N487" i="3"/>
  <c r="N423" i="3"/>
  <c r="N359" i="3"/>
  <c r="N327" i="3"/>
  <c r="N303" i="3"/>
  <c r="N289" i="3"/>
  <c r="N273" i="3"/>
  <c r="N257" i="3"/>
  <c r="N241" i="3"/>
  <c r="N225" i="3"/>
  <c r="N209" i="3"/>
  <c r="N193" i="3"/>
  <c r="N177" i="3"/>
  <c r="N161" i="3"/>
  <c r="N145" i="3"/>
  <c r="N129" i="3"/>
  <c r="N113" i="3"/>
  <c r="N97" i="3"/>
  <c r="N81" i="3"/>
  <c r="N65" i="3"/>
  <c r="N535" i="3"/>
  <c r="N407" i="3"/>
  <c r="N319" i="3"/>
  <c r="N285" i="3"/>
  <c r="N253" i="3"/>
  <c r="N213" i="3"/>
  <c r="N189" i="3"/>
  <c r="N125" i="3"/>
  <c r="N101" i="3"/>
  <c r="N69" i="3"/>
  <c r="N427" i="3"/>
  <c r="O290" i="3"/>
  <c r="N218" i="3"/>
  <c r="N130" i="3"/>
  <c r="N54" i="3"/>
  <c r="N22" i="3"/>
  <c r="N646" i="3"/>
  <c r="N539" i="3"/>
  <c r="N475" i="3"/>
  <c r="N411" i="3"/>
  <c r="N348" i="3"/>
  <c r="N316" i="3"/>
  <c r="N299" i="3"/>
  <c r="N286" i="3"/>
  <c r="N270" i="3"/>
  <c r="N254" i="3"/>
  <c r="N238" i="3"/>
  <c r="N222" i="3"/>
  <c r="N206" i="3"/>
  <c r="N190" i="3"/>
  <c r="N174" i="3"/>
  <c r="N158" i="3"/>
  <c r="N142" i="3"/>
  <c r="N126" i="3"/>
  <c r="N110" i="3"/>
  <c r="N94" i="3"/>
  <c r="N78" i="3"/>
  <c r="N62" i="3"/>
  <c r="N46" i="3"/>
  <c r="O37" i="3"/>
  <c r="O21" i="3"/>
  <c r="N630" i="3"/>
  <c r="N567" i="3"/>
  <c r="N439" i="3"/>
  <c r="N335" i="3"/>
  <c r="N261" i="3"/>
  <c r="N237" i="3"/>
  <c r="N205" i="3"/>
  <c r="N165" i="3"/>
  <c r="N133" i="3"/>
  <c r="N93" i="3"/>
  <c r="N61" i="3"/>
  <c r="N42" i="3"/>
  <c r="N555" i="3"/>
  <c r="N459" i="3"/>
  <c r="N282" i="3"/>
  <c r="N250" i="3"/>
  <c r="N210" i="3"/>
  <c r="N122" i="3"/>
  <c r="B576" i="3"/>
  <c r="B399" i="3"/>
  <c r="B135" i="3"/>
  <c r="N392" i="3"/>
  <c r="B160" i="3"/>
  <c r="O369" i="3"/>
  <c r="O147" i="3"/>
  <c r="B157" i="3"/>
  <c r="N157" i="3" s="1"/>
  <c r="B258" i="3"/>
  <c r="N258" i="3" s="1"/>
  <c r="N18" i="3"/>
  <c r="B278" i="3"/>
  <c r="B150" i="3"/>
  <c r="N26" i="3"/>
  <c r="O191" i="3"/>
  <c r="B340" i="3"/>
  <c r="N340" i="3" s="1"/>
  <c r="B146" i="3"/>
  <c r="N146" i="3" s="1"/>
  <c r="O969" i="3"/>
  <c r="O873" i="3"/>
  <c r="O930" i="3"/>
  <c r="O744" i="3"/>
  <c r="O729" i="3"/>
  <c r="O669" i="3"/>
  <c r="O634" i="3"/>
  <c r="O622" i="3"/>
  <c r="N642" i="3"/>
  <c r="O566" i="3"/>
  <c r="O534" i="3"/>
  <c r="O510" i="3"/>
  <c r="O486" i="3"/>
  <c r="O462" i="3"/>
  <c r="O438" i="3"/>
  <c r="O406" i="3"/>
  <c r="O374" i="3"/>
  <c r="O575" i="3"/>
  <c r="O479" i="3"/>
  <c r="O383" i="3"/>
  <c r="O323" i="3"/>
  <c r="O515" i="3"/>
  <c r="O419" i="3"/>
  <c r="O336" i="3"/>
  <c r="O291" i="3"/>
  <c r="O423" i="3"/>
  <c r="O303" i="3"/>
  <c r="O241" i="3"/>
  <c r="O177" i="3"/>
  <c r="O113" i="3"/>
  <c r="O535" i="3"/>
  <c r="O253" i="3"/>
  <c r="O125" i="3"/>
  <c r="N290" i="3"/>
  <c r="O54" i="3"/>
  <c r="O475" i="3"/>
  <c r="O299" i="3"/>
  <c r="O238" i="3"/>
  <c r="O174" i="3"/>
  <c r="O110" i="3"/>
  <c r="O46" i="3"/>
  <c r="O567" i="3"/>
  <c r="O237" i="3"/>
  <c r="O93" i="3"/>
  <c r="O459" i="3"/>
  <c r="O210" i="3"/>
  <c r="O90" i="3"/>
  <c r="O129" i="3"/>
  <c r="O130" i="3"/>
  <c r="O254" i="3"/>
  <c r="O62" i="3"/>
  <c r="O133" i="3"/>
  <c r="O289" i="3"/>
  <c r="O225" i="3"/>
  <c r="O161" i="3"/>
  <c r="O97" i="3"/>
  <c r="O407" i="3"/>
  <c r="O213" i="3"/>
  <c r="O101" i="3"/>
  <c r="O258" i="3"/>
  <c r="O22" i="3"/>
  <c r="O411" i="3"/>
  <c r="O286" i="3"/>
  <c r="O222" i="3"/>
  <c r="O158" i="3"/>
  <c r="O94" i="3"/>
  <c r="N37" i="3"/>
  <c r="O439" i="3"/>
  <c r="O205" i="3"/>
  <c r="O61" i="3"/>
  <c r="O340" i="3"/>
  <c r="O178" i="3"/>
  <c r="N45" i="3"/>
  <c r="O146" i="3"/>
  <c r="O257" i="3"/>
  <c r="O285" i="3"/>
  <c r="O427" i="3"/>
  <c r="O316" i="3"/>
  <c r="O190" i="3"/>
  <c r="O630" i="3"/>
  <c r="O555" i="3"/>
  <c r="O122" i="3"/>
  <c r="O273" i="3"/>
  <c r="O209" i="3"/>
  <c r="O145" i="3"/>
  <c r="O81" i="3"/>
  <c r="O319" i="3"/>
  <c r="O189" i="3"/>
  <c r="O69" i="3"/>
  <c r="O218" i="3"/>
  <c r="O646" i="3"/>
  <c r="O348" i="3"/>
  <c r="O270" i="3"/>
  <c r="O206" i="3"/>
  <c r="O142" i="3"/>
  <c r="O78" i="3"/>
  <c r="N21" i="3"/>
  <c r="O335" i="3"/>
  <c r="O165" i="3"/>
  <c r="O42" i="3"/>
  <c r="O282" i="3"/>
  <c r="O31" i="3"/>
  <c r="O193" i="3"/>
  <c r="O65" i="3"/>
  <c r="O157" i="3"/>
  <c r="O539" i="3"/>
  <c r="O126" i="3"/>
  <c r="O261" i="3"/>
  <c r="O250" i="3"/>
  <c r="O972" i="3"/>
  <c r="O908" i="3"/>
  <c r="O844" i="3"/>
  <c r="O991" i="3"/>
  <c r="N991" i="3"/>
  <c r="N911" i="3"/>
  <c r="O911" i="3"/>
  <c r="O847" i="3"/>
  <c r="N847" i="3"/>
  <c r="O1000" i="3"/>
  <c r="O952" i="3"/>
  <c r="O936" i="3"/>
  <c r="O888" i="3"/>
  <c r="O872" i="3"/>
  <c r="O803" i="3"/>
  <c r="O787" i="3"/>
  <c r="O739" i="3"/>
  <c r="O723" i="3"/>
  <c r="N720" i="3"/>
  <c r="O964" i="3"/>
  <c r="O783" i="3"/>
  <c r="O696" i="3"/>
  <c r="O971" i="3"/>
  <c r="N971" i="3"/>
  <c r="O907" i="3"/>
  <c r="N907" i="3"/>
  <c r="O843" i="3"/>
  <c r="N843" i="3"/>
  <c r="O948" i="3"/>
  <c r="O884" i="3"/>
  <c r="O831" i="3"/>
  <c r="O767" i="3"/>
  <c r="O632" i="3"/>
  <c r="O584" i="3"/>
  <c r="O868" i="3"/>
  <c r="N818" i="3"/>
  <c r="O818" i="3"/>
  <c r="O815" i="3"/>
  <c r="O891" i="3"/>
  <c r="N891" i="3"/>
  <c r="N754" i="3"/>
  <c r="O754" i="3"/>
  <c r="O751" i="3"/>
  <c r="O996" i="3"/>
  <c r="O664" i="3"/>
  <c r="O573" i="3"/>
  <c r="O509" i="3"/>
  <c r="O445" i="3"/>
  <c r="O381" i="3"/>
  <c r="N317" i="3"/>
  <c r="O317" i="3"/>
  <c r="O330" i="3"/>
  <c r="O932" i="3"/>
  <c r="O365" i="3"/>
  <c r="O557" i="3"/>
  <c r="O358" i="3"/>
  <c r="O33" i="3"/>
  <c r="N10" i="3"/>
  <c r="N186" i="3"/>
  <c r="O689" i="3"/>
  <c r="N689" i="3"/>
  <c r="O650" i="3"/>
  <c r="N650" i="3"/>
  <c r="N384" i="3"/>
  <c r="O384" i="3"/>
  <c r="O493" i="3"/>
  <c r="O240" i="3"/>
  <c r="O176" i="3"/>
  <c r="O112" i="3"/>
  <c r="O41" i="3"/>
  <c r="O7" i="3"/>
  <c r="O702" i="3"/>
  <c r="N702" i="3"/>
  <c r="O326" i="3"/>
  <c r="N154" i="3"/>
  <c r="N66" i="3"/>
  <c r="O55" i="3"/>
  <c r="O624" i="3"/>
  <c r="O429" i="3"/>
  <c r="O263" i="3"/>
  <c r="N263" i="3"/>
  <c r="N34" i="3"/>
  <c r="N294" i="3"/>
  <c r="O294" i="3"/>
  <c r="O657" i="3"/>
  <c r="N657" i="3"/>
  <c r="N597" i="3"/>
  <c r="O597" i="3"/>
  <c r="O199" i="3"/>
  <c r="N199" i="3"/>
  <c r="O224" i="3"/>
  <c r="O169" i="3"/>
  <c r="N169" i="3"/>
  <c r="O25" i="3"/>
  <c r="O351" i="3"/>
  <c r="N351" i="3"/>
  <c r="O491" i="3"/>
  <c r="N491" i="3"/>
  <c r="O246" i="3"/>
  <c r="N246" i="3"/>
  <c r="O118" i="3"/>
  <c r="N118" i="3"/>
  <c r="N576" i="3"/>
  <c r="O576" i="3"/>
  <c r="O399" i="3"/>
  <c r="N399" i="3"/>
  <c r="N135" i="3"/>
  <c r="O135" i="3"/>
  <c r="O160" i="3"/>
  <c r="O278" i="3"/>
  <c r="N278" i="3"/>
  <c r="O150" i="3"/>
  <c r="N150" i="3"/>
  <c r="N160" i="3"/>
  <c r="N288" i="3"/>
  <c r="O66" i="3"/>
  <c r="N326" i="3"/>
  <c r="O356" i="3"/>
  <c r="N112" i="3"/>
  <c r="N493" i="3"/>
  <c r="O324" i="3"/>
  <c r="N64" i="3"/>
  <c r="O295" i="3"/>
  <c r="O82" i="3"/>
  <c r="O18" i="3"/>
  <c r="N272" i="3"/>
  <c r="N68" i="3"/>
  <c r="N132" i="3"/>
  <c r="N196" i="3"/>
  <c r="N260" i="3"/>
  <c r="N330" i="3"/>
  <c r="N509" i="3"/>
  <c r="N72" i="3"/>
  <c r="N136" i="3"/>
  <c r="N200" i="3"/>
  <c r="N264" i="3"/>
  <c r="N350" i="3"/>
  <c r="N751" i="3"/>
  <c r="N108" i="3"/>
  <c r="N172" i="3"/>
  <c r="N236" i="3"/>
  <c r="N300" i="3"/>
  <c r="N413" i="3"/>
  <c r="N815" i="3"/>
  <c r="N401" i="3"/>
  <c r="N465" i="3"/>
  <c r="N529" i="3"/>
  <c r="N584" i="3"/>
  <c r="N767" i="3"/>
  <c r="N373" i="3"/>
  <c r="N437" i="3"/>
  <c r="N501" i="3"/>
  <c r="N565" i="3"/>
  <c r="N640" i="3"/>
  <c r="N900" i="3"/>
  <c r="N393" i="3"/>
  <c r="N457" i="3"/>
  <c r="N521" i="3"/>
  <c r="N592" i="3"/>
  <c r="N799" i="3"/>
  <c r="N604" i="3"/>
  <c r="N668" i="3"/>
  <c r="O712" i="3"/>
  <c r="N755" i="3"/>
  <c r="N819" i="3"/>
  <c r="N888" i="3"/>
  <c r="N952" i="3"/>
  <c r="N656" i="3"/>
  <c r="N727" i="3"/>
  <c r="N791" i="3"/>
  <c r="N860" i="3"/>
  <c r="N924" i="3"/>
  <c r="N988" i="3"/>
  <c r="N660" i="3"/>
  <c r="O708" i="3"/>
  <c r="N763" i="3"/>
  <c r="N827" i="3"/>
  <c r="N896" i="3"/>
  <c r="N960" i="3"/>
  <c r="N25" i="3"/>
  <c r="N429" i="3"/>
  <c r="O154" i="3"/>
  <c r="N7" i="3"/>
  <c r="O26" i="3"/>
  <c r="N176" i="3"/>
  <c r="N23" i="3"/>
  <c r="O10" i="3"/>
  <c r="N128" i="3"/>
  <c r="N358" i="3"/>
  <c r="O170" i="3"/>
  <c r="N80" i="3"/>
  <c r="N310" i="3"/>
  <c r="N84" i="3"/>
  <c r="N148" i="3"/>
  <c r="N212" i="3"/>
  <c r="N276" i="3"/>
  <c r="N346" i="3"/>
  <c r="N573" i="3"/>
  <c r="N88" i="3"/>
  <c r="N152" i="3"/>
  <c r="N216" i="3"/>
  <c r="N280" i="3"/>
  <c r="N397" i="3"/>
  <c r="N60" i="3"/>
  <c r="N124" i="3"/>
  <c r="N188" i="3"/>
  <c r="N252" i="3"/>
  <c r="N322" i="3"/>
  <c r="N477" i="3"/>
  <c r="N868" i="3"/>
  <c r="N417" i="3"/>
  <c r="N481" i="3"/>
  <c r="N545" i="3"/>
  <c r="N600" i="3"/>
  <c r="N831" i="3"/>
  <c r="N389" i="3"/>
  <c r="N453" i="3"/>
  <c r="N517" i="3"/>
  <c r="N581" i="3"/>
  <c r="N696" i="3"/>
  <c r="N964" i="3"/>
  <c r="N409" i="3"/>
  <c r="N473" i="3"/>
  <c r="N537" i="3"/>
  <c r="N616" i="3"/>
  <c r="N852" i="3"/>
  <c r="N620" i="3"/>
  <c r="N684" i="3"/>
  <c r="O720" i="3"/>
  <c r="N771" i="3"/>
  <c r="N840" i="3"/>
  <c r="N904" i="3"/>
  <c r="N968" i="3"/>
  <c r="N672" i="3"/>
  <c r="N743" i="3"/>
  <c r="N807" i="3"/>
  <c r="N876" i="3"/>
  <c r="N940" i="3"/>
  <c r="N612" i="3"/>
  <c r="N676" i="3"/>
  <c r="O716" i="3"/>
  <c r="N779" i="3"/>
  <c r="N848" i="3"/>
  <c r="N912" i="3"/>
  <c r="N976" i="3"/>
  <c r="N224" i="3"/>
  <c r="N624" i="3"/>
  <c r="O19" i="3"/>
  <c r="O114" i="3"/>
  <c r="N41" i="3"/>
  <c r="N240" i="3"/>
  <c r="O98" i="3"/>
  <c r="N33" i="3"/>
  <c r="N192" i="3"/>
  <c r="N557" i="3"/>
  <c r="N17" i="3"/>
  <c r="N144" i="3"/>
  <c r="N365" i="3"/>
  <c r="N100" i="3"/>
  <c r="N164" i="3"/>
  <c r="N228" i="3"/>
  <c r="N302" i="3"/>
  <c r="N381" i="3"/>
  <c r="N664" i="3"/>
  <c r="N104" i="3"/>
  <c r="N168" i="3"/>
  <c r="N232" i="3"/>
  <c r="N318" i="3"/>
  <c r="N461" i="3"/>
  <c r="N76" i="3"/>
  <c r="N140" i="3"/>
  <c r="N204" i="3"/>
  <c r="N268" i="3"/>
  <c r="N338" i="3"/>
  <c r="N541" i="3"/>
  <c r="N369" i="3"/>
  <c r="N433" i="3"/>
  <c r="N497" i="3"/>
  <c r="N561" i="3"/>
  <c r="N632" i="3"/>
  <c r="N884" i="3"/>
  <c r="N405" i="3"/>
  <c r="N469" i="3"/>
  <c r="N533" i="3"/>
  <c r="N588" i="3"/>
  <c r="N783" i="3"/>
  <c r="N361" i="3"/>
  <c r="N425" i="3"/>
  <c r="N489" i="3"/>
  <c r="N553" i="3"/>
  <c r="N648" i="3"/>
  <c r="N916" i="3"/>
  <c r="N636" i="3"/>
  <c r="N700" i="3"/>
  <c r="N723" i="3"/>
  <c r="N787" i="3"/>
  <c r="N856" i="3"/>
  <c r="N920" i="3"/>
  <c r="N984" i="3"/>
  <c r="N688" i="3"/>
  <c r="N759" i="3"/>
  <c r="N823" i="3"/>
  <c r="N892" i="3"/>
  <c r="N956" i="3"/>
  <c r="N628" i="3"/>
  <c r="N692" i="3"/>
  <c r="N731" i="3"/>
  <c r="N795" i="3"/>
  <c r="N864" i="3"/>
  <c r="N928" i="3"/>
  <c r="N992" i="3"/>
  <c r="O34" i="3"/>
  <c r="N55" i="3"/>
  <c r="N96" i="3"/>
  <c r="O242" i="3"/>
  <c r="O50" i="3"/>
  <c r="N342" i="3"/>
  <c r="O186" i="3"/>
  <c r="O51" i="3"/>
  <c r="N256" i="3"/>
  <c r="N47" i="3"/>
  <c r="N9" i="3"/>
  <c r="N208" i="3"/>
  <c r="N932" i="3"/>
  <c r="N116" i="3"/>
  <c r="N180" i="3"/>
  <c r="N244" i="3"/>
  <c r="N314" i="3"/>
  <c r="N445" i="3"/>
  <c r="N996" i="3"/>
  <c r="N120" i="3"/>
  <c r="N184" i="3"/>
  <c r="N248" i="3"/>
  <c r="N334" i="3"/>
  <c r="N525" i="3"/>
  <c r="N92" i="3"/>
  <c r="N156" i="3"/>
  <c r="N220" i="3"/>
  <c r="N284" i="3"/>
  <c r="N354" i="3"/>
  <c r="N596" i="3"/>
  <c r="N385" i="3"/>
  <c r="N449" i="3"/>
  <c r="N513" i="3"/>
  <c r="N577" i="3"/>
  <c r="N680" i="3"/>
  <c r="N948" i="3"/>
  <c r="N421" i="3"/>
  <c r="N485" i="3"/>
  <c r="N549" i="3"/>
  <c r="N608" i="3"/>
  <c r="N836" i="3"/>
  <c r="N377" i="3"/>
  <c r="N441" i="3"/>
  <c r="N505" i="3"/>
  <c r="N569" i="3"/>
  <c r="N735" i="3"/>
  <c r="N980" i="3"/>
  <c r="N652" i="3"/>
  <c r="N721" i="3"/>
  <c r="N739" i="3"/>
  <c r="N803" i="3"/>
  <c r="N872" i="3"/>
  <c r="N936" i="3"/>
  <c r="N1000" i="3"/>
  <c r="N704" i="3"/>
  <c r="N775" i="3"/>
  <c r="N844" i="3"/>
  <c r="N908" i="3"/>
  <c r="N972" i="3"/>
  <c r="N644" i="3"/>
  <c r="N713" i="3"/>
  <c r="N747" i="3"/>
  <c r="N811" i="3"/>
  <c r="N880" i="3"/>
  <c r="N944" i="3"/>
</calcChain>
</file>

<file path=xl/sharedStrings.xml><?xml version="1.0" encoding="utf-8"?>
<sst xmlns="http://schemas.openxmlformats.org/spreadsheetml/2006/main" count="26392" uniqueCount="3456">
  <si>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</si>
  <si>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</si>
  <si>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</si>
  <si>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</si>
  <si>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</si>
  <si>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</si>
  <si>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</si>
  <si>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</si>
  <si>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</si>
  <si>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</si>
  <si>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</si>
  <si>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</si>
  <si>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</si>
  <si>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</si>
  <si>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</si>
  <si>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313950353-bulk-sell-598473a9f496</t>
  </si>
  <si>
    <t>2022-03-18</t>
  </si>
  <si>
    <t>b45b2cdd-5a25-45f3-865d-0bc7b0e18332</t>
  </si>
  <si>
    <t>Hazlo antes del 18 de marzo.</t>
  </si>
  <si>
    <r>
      <t>Título: ingresa solo producto, marca y modelo*</t>
    </r>
    <r>
      <rPr>
        <i/>
        <sz val="8"/>
        <rFont val="Arial"/>
        <family val="2"/>
      </rPr>
      <t xml:space="preserve"> 
(*Obligatorio)</t>
    </r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</si>
  <si>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</si>
  <si>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</si>
  <si>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</si>
  <si>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Alternadores y Piezas &gt; Alternadores</t>
  </si>
  <si>
    <t>Alternadores</t>
  </si>
  <si>
    <r>
      <t>Alternadores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</si>
  <si>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</si>
  <si>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</si>
  <si>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</si>
  <si>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</si>
  <si>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</si>
  <si>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</si>
  <si>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t>Mercado Libre y Mercado Shops</t>
  </si>
  <si>
    <t>Mercado Libre</t>
  </si>
  <si>
    <t>Mercado Shops</t>
  </si>
  <si>
    <r>
      <t>Canal de venta*</t>
    </r>
    <r>
      <rPr>
        <i/>
        <sz val="8"/>
        <rFont val="Arial"/>
        <family val="2"/>
      </rPr>
      <t xml:space="preserve"> 
(*Obligatorio)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</si>
  <si>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</si>
  <si>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Completa solo los precios que corresponden a tus canales de venta.</t>
    </r>
    <r>
      <rPr>
        <sz val="10"/>
        <rFont val="Arial"/>
        <family val="2"/>
      </rPr>
      <t xml:space="preserve"> Máximo 2 decimales.</t>
    </r>
  </si>
  <si>
    <t>Si quieres crear variantes, recuerda que deben tener el mismo precio.</t>
  </si>
  <si>
    <t>Vincular</t>
  </si>
  <si>
    <t>No vincular</t>
  </si>
  <si>
    <t>Vincular precio con Mercado Libre</t>
  </si>
  <si>
    <t>Cuando indiques que quieres vincular los precios, tomaremos en cuenta tu precio para el canal Mercado Libre.</t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</si>
  <si>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</si>
  <si>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</si>
  <si>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</si>
  <si>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</si>
  <si>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</si>
  <si>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</si>
  <si>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</si>
  <si>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</si>
  <si>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</si>
  <si>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</si>
  <si>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</si>
  <si>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</si>
  <si>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</si>
  <si>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Cargo por venta</t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</si>
  <si>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</si>
  <si>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</si>
  <si>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</si>
  <si>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</si>
  <si>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</si>
  <si>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</si>
  <si>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Completa solo las formas de envío que corresponden a tus canales de venta.</t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</si>
  <si>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</si>
  <si>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</si>
  <si>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</si>
  <si>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</si>
  <si>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</si>
  <si>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</si>
  <si>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</si>
  <si>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</si>
  <si>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</si>
  <si>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</si>
  <si>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</si>
  <si>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</si>
  <si>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</si>
  <si>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</si>
  <si>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</si>
  <si>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</si>
  <si>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Escribe o elige un valor</t>
  </si>
  <si>
    <t>Bosch</t>
  </si>
  <si>
    <t>Denso</t>
  </si>
  <si>
    <t>Indiel</t>
  </si>
  <si>
    <t>Magneti Marelli</t>
  </si>
  <si>
    <t>Valeo</t>
  </si>
  <si>
    <t>Para evitar infracciones de propiedad intelectual y reclamos de tus compradores, siempre escribe aquí la marca real del producto o "genérico" si no tiene marca.</t>
  </si>
  <si>
    <t>Número de pieza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</si>
  <si>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</si>
  <si>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</si>
  <si>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</si>
  <si>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</si>
  <si>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</si>
  <si>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</si>
  <si>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</si>
  <si>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</si>
  <si>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</si>
  <si>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</si>
  <si>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</si>
  <si>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</si>
  <si>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</si>
  <si>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</si>
  <si>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</si>
  <si>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</si>
  <si>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</si>
  <si>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</si>
  <si>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</si>
  <si>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</si>
  <si>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</si>
  <si>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</si>
  <si>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</si>
  <si>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</si>
  <si>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</si>
  <si>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</si>
  <si>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</si>
  <si>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</si>
  <si>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0006</t>
  </si>
  <si>
    <t>ALTERNADOR MERCEDES VOLVO BOSH N 24V 100A</t>
  </si>
  <si>
    <t>01</t>
  </si>
  <si>
    <t>1</t>
  </si>
  <si>
    <t>0102</t>
  </si>
  <si>
    <t>54</t>
  </si>
  <si>
    <t>BOSCH</t>
  </si>
  <si>
    <t>0124655047</t>
  </si>
  <si>
    <t>1,534,117.65</t>
  </si>
  <si>
    <t>1.0</t>
  </si>
  <si>
    <t>0.0</t>
  </si>
  <si>
    <t>1,825,600.0</t>
  </si>
  <si>
    <t>0054</t>
  </si>
  <si>
    <t>ALTERNADOR CHEVROLET NPR 2C B/50cc IH252V N 12V 075A</t>
  </si>
  <si>
    <t>18</t>
  </si>
  <si>
    <t>TAIWAN</t>
  </si>
  <si>
    <t>1-2271TW-75A</t>
  </si>
  <si>
    <t>352,941.18</t>
  </si>
  <si>
    <t>321,008.4</t>
  </si>
  <si>
    <t>420,000.0</t>
  </si>
  <si>
    <t>382,000.0</t>
  </si>
  <si>
    <t>0055</t>
  </si>
  <si>
    <t>ALTERNADOR CHEVROLET NPR 2C 41431 1J-0003A N 12V 075A</t>
  </si>
  <si>
    <t>03</t>
  </si>
  <si>
    <t>TOTAL PARTS</t>
  </si>
  <si>
    <t>1-2271N-75A</t>
  </si>
  <si>
    <t>478,991.6</t>
  </si>
  <si>
    <t>432,773.11</t>
  </si>
  <si>
    <t>10.0</t>
  </si>
  <si>
    <t>570,000.0</t>
  </si>
  <si>
    <t>515,000.0</t>
  </si>
  <si>
    <t>0056</t>
  </si>
  <si>
    <t>ALTERNADOR DODGE JOURNEY JEEP 12V 160A</t>
  </si>
  <si>
    <t>08</t>
  </si>
  <si>
    <t>JL</t>
  </si>
  <si>
    <t>ALT-11440N</t>
  </si>
  <si>
    <t>756,302.52</t>
  </si>
  <si>
    <t>672,268.91</t>
  </si>
  <si>
    <t>900,000.0</t>
  </si>
  <si>
    <t>800,000.0</t>
  </si>
  <si>
    <t>0057</t>
  </si>
  <si>
    <t>ALTERNADOR ISUZU 40A 24V 3C NIKKO CATERPILLAR N 24V 040A</t>
  </si>
  <si>
    <t>05</t>
  </si>
  <si>
    <t>MOLPOWER</t>
  </si>
  <si>
    <t>1-8120-296-0</t>
  </si>
  <si>
    <t>517,647.06</t>
  </si>
  <si>
    <t>470,588.24</t>
  </si>
  <si>
    <t>616,000.0</t>
  </si>
  <si>
    <t>560,000.0</t>
  </si>
  <si>
    <t>0081</t>
  </si>
  <si>
    <t>ALTERNADOR CHINO JAC TAXI VELOCE N 12V 090A</t>
  </si>
  <si>
    <t>1025100GG010</t>
  </si>
  <si>
    <t>394,957.98</t>
  </si>
  <si>
    <t>3.0</t>
  </si>
  <si>
    <t>470,000.0</t>
  </si>
  <si>
    <t>0116</t>
  </si>
  <si>
    <t>ALTERNADOR HONDA CIVIC 2007 12V 80AMP</t>
  </si>
  <si>
    <t>04</t>
  </si>
  <si>
    <t>WAI</t>
  </si>
  <si>
    <t>ALT-11176N</t>
  </si>
  <si>
    <t>655,462.18</t>
  </si>
  <si>
    <t>621,848.74</t>
  </si>
  <si>
    <t>780,000.0</t>
  </si>
  <si>
    <t>740,000.0</t>
  </si>
  <si>
    <t>0245</t>
  </si>
  <si>
    <t>ALTERNADOR AGRALE HINO MERCEDES BOSCH 0124355001 N 24V 050A</t>
  </si>
  <si>
    <t>12</t>
  </si>
  <si>
    <t>VULKO</t>
  </si>
  <si>
    <t>124325067-24V-TW</t>
  </si>
  <si>
    <t>924,369.75</t>
  </si>
  <si>
    <t>831,932.77</t>
  </si>
  <si>
    <t>1,100,000.0</t>
  </si>
  <si>
    <t>990,000.0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</si>
  <si>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</si>
  <si>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</si>
  <si>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</si>
  <si>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</si>
  <si>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</si>
  <si>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</si>
  <si>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1,107,000.0</t>
  </si>
  <si>
    <t>0247</t>
  </si>
  <si>
    <t>ALTERNADOR AGRALE MERCED BOSCH TW N 12V 90A</t>
  </si>
  <si>
    <t>124325067-TW</t>
  </si>
  <si>
    <t>436,974.79</t>
  </si>
  <si>
    <t>2.0</t>
  </si>
  <si>
    <t>520,000.0</t>
  </si>
  <si>
    <t>0260</t>
  </si>
  <si>
    <t>ALTERNADOR CHEVROLET SWIFT 1.3 SPRINT SUZUKI 92/89=5025UNP N 12V 065A</t>
  </si>
  <si>
    <t>35</t>
  </si>
  <si>
    <t>GAMMA</t>
  </si>
  <si>
    <t>13214N</t>
  </si>
  <si>
    <t>545,882.35</t>
  </si>
  <si>
    <t>480,000.0</t>
  </si>
  <si>
    <t>649,600.0</t>
  </si>
  <si>
    <t>571,200.0</t>
  </si>
  <si>
    <t>0269</t>
  </si>
  <si>
    <t>ALTERNADOR CHEVROLET SONIC AUTOMATICO DFM 21514N N 12V 100A</t>
  </si>
  <si>
    <t>ALT-13500577</t>
  </si>
  <si>
    <t>521,008.4</t>
  </si>
  <si>
    <t>620,000.0</t>
  </si>
  <si>
    <t>0373</t>
  </si>
  <si>
    <t>ALTERNADOR CHEVROLET FTR N 24V 60A</t>
  </si>
  <si>
    <t>181200-4845</t>
  </si>
  <si>
    <t>489,411.76</t>
  </si>
  <si>
    <t>442,352.94</t>
  </si>
  <si>
    <t>582,400.0</t>
  </si>
  <si>
    <t>526,400.0</t>
  </si>
  <si>
    <t>0394</t>
  </si>
  <si>
    <t>ALTERNADOR VOLVO MERCEDES 3H BOSCH N 12V 055A 9120080113</t>
  </si>
  <si>
    <t>1B-0002-12V</t>
  </si>
  <si>
    <t>336,134.45</t>
  </si>
  <si>
    <t>310,924.37</t>
  </si>
  <si>
    <t>400,000.0</t>
  </si>
  <si>
    <t>370,000.0</t>
  </si>
  <si>
    <t>0395</t>
  </si>
  <si>
    <t>ALTERNADOR VOLVO MERCEDES BO S/POL 3H N 24V 080A</t>
  </si>
  <si>
    <t>29</t>
  </si>
  <si>
    <t>DAYNAMO</t>
  </si>
  <si>
    <t>1B-0002-24V</t>
  </si>
  <si>
    <t>327,731.09</t>
  </si>
  <si>
    <t>294,117.65</t>
  </si>
  <si>
    <t>390,000.0</t>
  </si>
  <si>
    <t>350,000.0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</si>
  <si>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</si>
  <si>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</si>
  <si>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</si>
  <si>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</si>
  <si>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</si>
  <si>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</si>
  <si>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336,000.0</t>
  </si>
  <si>
    <t>0397</t>
  </si>
  <si>
    <t>ALTERNADOR RENAULT MEGAN I II CLIO 1B-0011 7700101274</t>
  </si>
  <si>
    <t>ALT-23751N</t>
  </si>
  <si>
    <t>378,151.26</t>
  </si>
  <si>
    <t>450,000.0</t>
  </si>
  <si>
    <t>0398</t>
  </si>
  <si>
    <t>ALTERNADOR CHEVROLET BLAZER 88/93 GMC 2H CS130 UNV N 12V 105A</t>
  </si>
  <si>
    <t>1D-0006N</t>
  </si>
  <si>
    <t>0399</t>
  </si>
  <si>
    <t>ALTERNADOR CHEVROLET BLAZER 88/93 GMC 3H CS130 7933N 12V 105A</t>
  </si>
  <si>
    <t>1D-0007N</t>
  </si>
  <si>
    <t>319,327.73</t>
  </si>
  <si>
    <t>380,000.0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</si>
  <si>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</si>
  <si>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</si>
  <si>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</si>
  <si>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</si>
  <si>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</si>
  <si>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</si>
  <si>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</si>
  <si>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310,000.0</t>
  </si>
  <si>
    <t>0401</t>
  </si>
  <si>
    <t>ALTERNADOR CHEVROLET BLAZER 96/00 GMC 2H 8206N 12V 105A</t>
  </si>
  <si>
    <t>1D-0009</t>
  </si>
  <si>
    <t>0402</t>
  </si>
  <si>
    <t>ALTERNADOR CATERPILLAR FREIGHTLINER 24V 95A ND</t>
  </si>
  <si>
    <t>ALT-12670N</t>
  </si>
  <si>
    <t>966,386.55</t>
  </si>
  <si>
    <t>840,336.13</t>
  </si>
  <si>
    <t>1,150,000.0</t>
  </si>
  <si>
    <t>1,000,000.0</t>
  </si>
  <si>
    <t>0403</t>
  </si>
  <si>
    <t>ALTERNADOR CHEVROLET CAVALIER CS130 6C N 12V 105A</t>
  </si>
  <si>
    <t>1D-0013</t>
  </si>
  <si>
    <t>268,907.56</t>
  </si>
  <si>
    <t>243,697.48</t>
  </si>
  <si>
    <t>320,000.0</t>
  </si>
  <si>
    <t>290,000.0</t>
  </si>
  <si>
    <t>0404</t>
  </si>
  <si>
    <t>ALTERNADOR VOLKSWAGEN GOLF JETTA SKODA 12V 120AMP 0124515010</t>
  </si>
  <si>
    <t>ALT-13853N</t>
  </si>
  <si>
    <t>504,201.68</t>
  </si>
  <si>
    <t>600,000.0</t>
  </si>
  <si>
    <t>0405</t>
  </si>
  <si>
    <t>ALTERNADOR 24SI FREIGHTLINER KENWOR IVECO N 12V 145A</t>
  </si>
  <si>
    <t>33</t>
  </si>
  <si>
    <t>WPS</t>
  </si>
  <si>
    <t>1D-0034</t>
  </si>
  <si>
    <t>423,529.41</t>
  </si>
  <si>
    <t>504,000.0</t>
  </si>
  <si>
    <t>0406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</si>
  <si>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</si>
  <si>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</si>
  <si>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</si>
  <si>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</si>
  <si>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</si>
  <si>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</si>
  <si>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460,000.0</t>
  </si>
  <si>
    <t>0407</t>
  </si>
  <si>
    <t>ALTERNADOR CHEVROLET OPTRA 1.8 ZAFIRA 8484N 12V 105A</t>
  </si>
  <si>
    <t>1D-0039N</t>
  </si>
  <si>
    <t>453,781.51</t>
  </si>
  <si>
    <t>411,764.71</t>
  </si>
  <si>
    <t>540,000.0</t>
  </si>
  <si>
    <t>490,000.0</t>
  </si>
  <si>
    <t>0408</t>
  </si>
  <si>
    <t>ALTERNADOR CHEVROLET OPTRA 1.8 ZAFIRA P/ACANA R 12V 105A</t>
  </si>
  <si>
    <t>1D-0039R</t>
  </si>
  <si>
    <t>344,537.82</t>
  </si>
  <si>
    <t>410,000.0</t>
  </si>
  <si>
    <t>0409</t>
  </si>
  <si>
    <t>ALTERNADOR 7SI MONTACARGA HYSTER 8469N N 12V 070A</t>
  </si>
  <si>
    <t>1D-0041</t>
  </si>
  <si>
    <t>0410</t>
  </si>
  <si>
    <t>ALTERNADOR 28SI CUMMIS F/LINER IHC B/MESA N 12V 200A</t>
  </si>
  <si>
    <t>1D-0051</t>
  </si>
  <si>
    <t>546,218.49</t>
  </si>
  <si>
    <t>487,394.96</t>
  </si>
  <si>
    <t>650,000.0</t>
  </si>
  <si>
    <t>580,000.0</t>
  </si>
  <si>
    <t>0411</t>
  </si>
  <si>
    <t>ALTERNADOR 28SI CUNMIS F/LINER BASE KODIAK N 12V 200A</t>
  </si>
  <si>
    <t>1D-0054</t>
  </si>
  <si>
    <t>563,025.21</t>
  </si>
  <si>
    <t>670,000.0</t>
  </si>
  <si>
    <t>0000</t>
  </si>
  <si>
    <t>NO TIENE MVTO</t>
  </si>
  <si>
    <t>0413</t>
  </si>
  <si>
    <t>ALTERNADOR IVECO BOSCH REG 5P 24V 090A</t>
  </si>
  <si>
    <t>ALT-12594N</t>
  </si>
  <si>
    <t>731,092.44</t>
  </si>
  <si>
    <t>663,865.55</t>
  </si>
  <si>
    <t>870,000.0</t>
  </si>
  <si>
    <t>790,000.0</t>
  </si>
  <si>
    <t>0414</t>
  </si>
  <si>
    <t>ALTERNADOR CHINO CHANA 70A 12V</t>
  </si>
  <si>
    <t>1E-0003N</t>
  </si>
  <si>
    <t>226,890.76</t>
  </si>
  <si>
    <t>270,000.0</t>
  </si>
  <si>
    <t>0415</t>
  </si>
  <si>
    <t>ALTERNADOR VOLKSWAGEN AMAROK NEW N 12V 140A</t>
  </si>
  <si>
    <t>1E-0012</t>
  </si>
  <si>
    <t>705,882.35</t>
  </si>
  <si>
    <t>840,000.0</t>
  </si>
  <si>
    <t>0416</t>
  </si>
  <si>
    <t>ALTERNADOR CHEVROLET CAPTIVA 3.0  M-608 N 12V 150A  13502585 11453N</t>
  </si>
  <si>
    <t>1E-0018N</t>
  </si>
  <si>
    <t>588,235.29</t>
  </si>
  <si>
    <t>529,411.76</t>
  </si>
  <si>
    <t>700,000.0</t>
  </si>
  <si>
    <t>630,000.0</t>
  </si>
  <si>
    <t>0417</t>
  </si>
  <si>
    <t>ALTERNADOR FORD 150/350 RANGER B/MESA F17U10300AA 39240 95A 7750N</t>
  </si>
  <si>
    <t>1F-0001</t>
  </si>
  <si>
    <t>403,361.34</t>
  </si>
  <si>
    <t>369,747.9</t>
  </si>
  <si>
    <t>440,000.0</t>
  </si>
  <si>
    <t>0418</t>
  </si>
  <si>
    <t>ALTERNADOR FORD VAN DIESEL 130A 12V 3G MN BASE PUÑO 7756N</t>
  </si>
  <si>
    <t>1F-0002</t>
  </si>
  <si>
    <t>0419</t>
  </si>
  <si>
    <t>ALTERNADOR FORD 150/350 BRONC EXPL 130A F2TU10300AF B/MESA</t>
  </si>
  <si>
    <t>1F-0004</t>
  </si>
  <si>
    <t>302,521.01</t>
  </si>
  <si>
    <t>360,000.0</t>
  </si>
  <si>
    <t>0420</t>
  </si>
  <si>
    <t>ALTERNADOR FORD EXPLORER F-796 N 12V</t>
  </si>
  <si>
    <t>ALT-8308N</t>
  </si>
  <si>
    <t>451,764.71</t>
  </si>
  <si>
    <t>404,705.88</t>
  </si>
  <si>
    <t>537,600.0</t>
  </si>
  <si>
    <t>481,600.0</t>
  </si>
  <si>
    <t>0421</t>
  </si>
  <si>
    <t>ALTERNADOR MITSUBISHI CANTER C/BOMBA 12551N 24V 35AMP</t>
  </si>
  <si>
    <t>14</t>
  </si>
  <si>
    <t>KTC</t>
  </si>
  <si>
    <t>ME-017602</t>
  </si>
  <si>
    <t>0422</t>
  </si>
  <si>
    <t>ALTERNADOR CHEVROLET CAPTIVA 3.0 12V 120AMP</t>
  </si>
  <si>
    <t>96673046</t>
  </si>
  <si>
    <t>630,252.1</t>
  </si>
  <si>
    <t>750,000.0</t>
  </si>
  <si>
    <t>0423</t>
  </si>
  <si>
    <t>ALTERNADOR VOLKSWAGEN MULTIVAN 12V 180A 1B-0036</t>
  </si>
  <si>
    <t>ALT-11388N</t>
  </si>
  <si>
    <t>773,109.24</t>
  </si>
  <si>
    <t>920,000.0</t>
  </si>
  <si>
    <t>0424</t>
  </si>
  <si>
    <t>ALTERNADOR CHEVROLET NKR 1C ANCHA B/40CC TERMOKING N 12V 120A</t>
  </si>
  <si>
    <t>1J-0002-12V-120A</t>
  </si>
  <si>
    <t>462,184.87</t>
  </si>
  <si>
    <t>550,000.0</t>
  </si>
  <si>
    <t>0425</t>
  </si>
  <si>
    <t>ALTERNADOR CHEVROLET NKR 1C  N 12V 70A</t>
  </si>
  <si>
    <t>1J-0002-70A-NEW</t>
  </si>
  <si>
    <t>361,344.54</t>
  </si>
  <si>
    <t>39.0</t>
  </si>
  <si>
    <t>430,000.0</t>
  </si>
  <si>
    <t>0426</t>
  </si>
  <si>
    <t>ALTERNADOR NISSAN TD27 NPR 2C B/50cc IH205 N 12V 075A</t>
  </si>
  <si>
    <t>1J-0003</t>
  </si>
  <si>
    <t>348,235.29</t>
  </si>
  <si>
    <t>315,294.12</t>
  </si>
  <si>
    <t>414,400.0</t>
  </si>
  <si>
    <t>375,200.0</t>
  </si>
  <si>
    <t>0427</t>
  </si>
  <si>
    <t>ALTERNADOR MONTACARGA JOHN DEERE YALE 4PK 27060-87605 N 12V 050A</t>
  </si>
  <si>
    <t>ALT-13414N</t>
  </si>
  <si>
    <t>329,411.76</t>
  </si>
  <si>
    <t>392,000.0</t>
  </si>
  <si>
    <t>0428</t>
  </si>
  <si>
    <t>ALTERNADOR MITSUBISHI CANTER S/BOM FUSO 12602N N 24V 050A</t>
  </si>
  <si>
    <t>1J-0017</t>
  </si>
  <si>
    <t>6.0</t>
  </si>
  <si>
    <t>0429</t>
  </si>
  <si>
    <t>ALTERNADOR CHINO FOTON TUNLAND CUMMINS ISF 2.8 N 12V 120A</t>
  </si>
  <si>
    <t>ALT-5266781</t>
  </si>
  <si>
    <t>0430</t>
  </si>
  <si>
    <t>ALTERNADOR CHEVROLET DMAX DIES ISUZU B/50cc N 12V 080A 23993N</t>
  </si>
  <si>
    <t>1J-0033-80AMP</t>
  </si>
  <si>
    <t>474,789.92</t>
  </si>
  <si>
    <t>8.0</t>
  </si>
  <si>
    <t>565,000.0</t>
  </si>
  <si>
    <t>0431</t>
  </si>
  <si>
    <t>ALTERNADOR CHINO JAC TRUCK S/BOM PRESTOLITE N 28V 040A</t>
  </si>
  <si>
    <t>1J-0034</t>
  </si>
  <si>
    <t>0432</t>
  </si>
  <si>
    <t>ALTERNADOR CHEVROLET ESTEEM G/VITARA SUZ IN452 N 12V 090A</t>
  </si>
  <si>
    <t>1J-0043N</t>
  </si>
  <si>
    <t>373,949.58</t>
  </si>
  <si>
    <t>5.0</t>
  </si>
  <si>
    <t>445,000.0</t>
  </si>
  <si>
    <t>0433</t>
  </si>
  <si>
    <t>ALTERNADOR CHEVROLET ESTEEM BA-123705 IN452 R 12V 090A</t>
  </si>
  <si>
    <t>27</t>
  </si>
  <si>
    <t>VEHTRA</t>
  </si>
  <si>
    <t>1J-0043R</t>
  </si>
  <si>
    <t>256,302.52</t>
  </si>
  <si>
    <t>305,000.0</t>
  </si>
  <si>
    <t>0434</t>
  </si>
  <si>
    <t>ALTERNADOR CITROEN  YUMPER PEUGEO BOSCH R 12V 155A</t>
  </si>
  <si>
    <t>ALT-23925N</t>
  </si>
  <si>
    <t>798,319.33</t>
  </si>
  <si>
    <t>950,000.0</t>
  </si>
  <si>
    <t>0435</t>
  </si>
  <si>
    <t>ALTERNADOR MAZDA 6 90A MI PD IM465 1J-0053-7</t>
  </si>
  <si>
    <t>ALT-11005N</t>
  </si>
  <si>
    <t>428,571.43</t>
  </si>
  <si>
    <t>510,000.0</t>
  </si>
  <si>
    <t>0436</t>
  </si>
  <si>
    <t>ALTERNADOR TOYOTA COROLA 1.6 1.8 CELICA 80A OREJA</t>
  </si>
  <si>
    <t>ALT-13482N</t>
  </si>
  <si>
    <t>0437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</si>
  <si>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</si>
  <si>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</si>
  <si>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</si>
  <si>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</si>
  <si>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</si>
  <si>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0439</t>
  </si>
  <si>
    <t>ALTERNADOR CHEVROLET NKR 1C ANCHA B/40CC TW N 12V 80A</t>
  </si>
  <si>
    <t>1J-0002-12V-TW</t>
  </si>
  <si>
    <t>0440</t>
  </si>
  <si>
    <t>ALTERNADOR NISSAN NAVARA IM-547  IMR-1281 N 12V 150A</t>
  </si>
  <si>
    <t>1J-0083</t>
  </si>
  <si>
    <t>647,058.82</t>
  </si>
  <si>
    <t>770,000.0</t>
  </si>
  <si>
    <t>0441</t>
  </si>
  <si>
    <t>ALTERNADOR MAZDA 3  (P D) IM-345 12V 90AMP</t>
  </si>
  <si>
    <t>ALT-23875N</t>
  </si>
  <si>
    <t>0442</t>
  </si>
  <si>
    <t>ALTERNADOR NISSAN NAVARA P/FINDER CABSTAR 3P N 12V 130A</t>
  </si>
  <si>
    <t>1J-0087</t>
  </si>
  <si>
    <t>605,042.02</t>
  </si>
  <si>
    <t>720,000.0</t>
  </si>
  <si>
    <t>0445</t>
  </si>
  <si>
    <t>ALTERNADOR RENAULT DUSTER LOGAN 1P 12V 110AMP (COM)  8200667610</t>
  </si>
  <si>
    <t>22</t>
  </si>
  <si>
    <t>IR</t>
  </si>
  <si>
    <t>ALT-24108N</t>
  </si>
  <si>
    <t>0446</t>
  </si>
  <si>
    <t>ALTERNADOR FORD ECO SPORT FOCUS SG12B094 12V 115A</t>
  </si>
  <si>
    <t>5N15-10300AA</t>
  </si>
  <si>
    <t>0447</t>
  </si>
  <si>
    <t>ALTERNADOR JEEP CHEROKEE DODGE DURANGO 12V 160AMP</t>
  </si>
  <si>
    <t>ALT-11240R</t>
  </si>
  <si>
    <t>714,285.71</t>
  </si>
  <si>
    <t>850,000.0</t>
  </si>
  <si>
    <t>0448</t>
  </si>
  <si>
    <t>ALTERNADOR CHEVROLET SPARK AL-0013 N 12V 085A</t>
  </si>
  <si>
    <t>1K-0002N</t>
  </si>
  <si>
    <t>0449</t>
  </si>
  <si>
    <t>ALTERNADOR CHEVROLET SPARK DAEWOO DAMAS LABO=945-82686 R</t>
  </si>
  <si>
    <t>1K-0002R</t>
  </si>
  <si>
    <t>0450</t>
  </si>
  <si>
    <t>ALTERNADOR HYUNDAI SONATA S/FE TUCSON SPORTAGE 110A 1K-0008N</t>
  </si>
  <si>
    <t>32</t>
  </si>
  <si>
    <t>WTECH</t>
  </si>
  <si>
    <t>ALT-11020N</t>
  </si>
  <si>
    <t>0451</t>
  </si>
  <si>
    <t>ALTERNADOR TOYOTA RAV JL IN-6300 12V 130AMP</t>
  </si>
  <si>
    <t>ALT-11324R</t>
  </si>
  <si>
    <t>882,352.94</t>
  </si>
  <si>
    <t>823,529.41</t>
  </si>
  <si>
    <t>1,050,000.0</t>
  </si>
  <si>
    <t>980,000.0</t>
  </si>
  <si>
    <t>0452</t>
  </si>
  <si>
    <t>ALTERNADOR DAEWOO NUBIRA 2.0 85A CS131 NEW</t>
  </si>
  <si>
    <t>1K-0025N</t>
  </si>
  <si>
    <t>0453</t>
  </si>
  <si>
    <t>ALTERNADOR KIA ION 4P M593 N 12V 070A 37300-04310 20884N  37300-04610</t>
  </si>
  <si>
    <t>1K-0046N</t>
  </si>
  <si>
    <t>0454</t>
  </si>
  <si>
    <t>ALTERNADOR BLEIZER CHEYEN HAMER 12V 150AMP</t>
  </si>
  <si>
    <t>ALT-8540N</t>
  </si>
  <si>
    <t>0493</t>
  </si>
  <si>
    <t>ALTERNADOR CHEVROLET CAPTIVA 2.4  M-540 11707N 12V 130A</t>
  </si>
  <si>
    <t>20915894</t>
  </si>
  <si>
    <t>0589</t>
  </si>
  <si>
    <t>ALTERNADOR 21/22SI KODIAK VOLVO 1D-0024 39068 N 24V 70A</t>
  </si>
  <si>
    <t>220-1109-24V</t>
  </si>
  <si>
    <t>0590</t>
  </si>
  <si>
    <t>ALTERNADOR 21/22SI KODIAK P900 1D-0019 12V 160A</t>
  </si>
  <si>
    <t>220-1112-12V</t>
  </si>
  <si>
    <t>495,798.32</t>
  </si>
  <si>
    <t>26.0</t>
  </si>
  <si>
    <t>590,000.0</t>
  </si>
  <si>
    <t>0618</t>
  </si>
  <si>
    <t>ALTERNADOR RENAULT MASTER 2.3 N 12V 185A</t>
  </si>
  <si>
    <t>23100-1822R</t>
  </si>
  <si>
    <t>815,126.05</t>
  </si>
  <si>
    <t>970,000.0</t>
  </si>
  <si>
    <t>0619</t>
  </si>
  <si>
    <t>ALTERNADOR NISSAN TIIDA VERSA SENTRA QASHQAI 12V 90AMP</t>
  </si>
  <si>
    <t>23100-EF81B</t>
  </si>
  <si>
    <t>0620</t>
  </si>
  <si>
    <t>ALTERNADOR RENAULT KOLEOS 2.5 NISSAN XTRAL N 12V 110A 11258N</t>
  </si>
  <si>
    <t>23100-JA02A</t>
  </si>
  <si>
    <t>0621</t>
  </si>
  <si>
    <t>ALTERNADOR NISSAN URVAN N 12V 080A 20066 23100-VW211</t>
  </si>
  <si>
    <t>23100-VW201</t>
  </si>
  <si>
    <t>0679</t>
  </si>
  <si>
    <t>ALTERNADOR KIA PICANTO ION 2619398 12V 70A</t>
  </si>
  <si>
    <t>37300-04035</t>
  </si>
  <si>
    <t>445,378.15</t>
  </si>
  <si>
    <t>530,000.0</t>
  </si>
  <si>
    <t>0680</t>
  </si>
  <si>
    <t>ALTERNADOR RENAULT CLIO TWINGO 8200065730 21620 KT N 12V 070A</t>
  </si>
  <si>
    <t>59</t>
  </si>
  <si>
    <t>IFC</t>
  </si>
  <si>
    <t>ALT-21621N</t>
  </si>
  <si>
    <t>0681</t>
  </si>
  <si>
    <t>ALTERNADOR NISSAN TIIDA VERSA QASHQAI 23100-EL010 12V 110AMP</t>
  </si>
  <si>
    <t>ALT-11343N</t>
  </si>
  <si>
    <t>0760</t>
  </si>
  <si>
    <t>ALTERNADOR MERCEDES 12V 120AMP 8PK</t>
  </si>
  <si>
    <t>ALT-13356N</t>
  </si>
  <si>
    <t>0762</t>
  </si>
  <si>
    <t>ALTERNADOR HINO BUSETON 4P 2C S/BOM 1J-0046 N 24V 050A</t>
  </si>
  <si>
    <t>27040-2191</t>
  </si>
  <si>
    <t>0763</t>
  </si>
  <si>
    <t>ALTERNADOR HINO DUTRO 1J-0047 N 24V 050A</t>
  </si>
  <si>
    <t>27040-2220B</t>
  </si>
  <si>
    <t>0764</t>
  </si>
  <si>
    <t>ALTERNADOR TOYOTA VIGO FORTUNER B/ABIERTA N 12V 090A 23371 1J-0073</t>
  </si>
  <si>
    <t>27060-0C020</t>
  </si>
  <si>
    <t>0765</t>
  </si>
  <si>
    <t>ALTERNADOR TOYOTA COROLA 1.6 1.8 CELICA 80A PUÑO</t>
  </si>
  <si>
    <t>27060-0D120</t>
  </si>
  <si>
    <t>376,470.59</t>
  </si>
  <si>
    <t>448,000.0</t>
  </si>
  <si>
    <t>0766</t>
  </si>
  <si>
    <t>ALTERNADOR TOYOTA VIGO 3.0 FORTUNER ND DIESEL N 12V 100A</t>
  </si>
  <si>
    <t>37</t>
  </si>
  <si>
    <t>DURAFORCE</t>
  </si>
  <si>
    <t>27060-0L022</t>
  </si>
  <si>
    <t>537,815.13</t>
  </si>
  <si>
    <t>640,000.0</t>
  </si>
  <si>
    <t>595,000.0</t>
  </si>
  <si>
    <t>0767</t>
  </si>
  <si>
    <t>ALTERNADOR MERCEDES SPRINTER M-296 M-591 (LIN) 12V 220AMP</t>
  </si>
  <si>
    <t>ALT-20091N</t>
  </si>
  <si>
    <t>0768</t>
  </si>
  <si>
    <t>ALTERNADOR KUBOTA 12V 45AMP  IM-290</t>
  </si>
  <si>
    <t>ALT-12363N</t>
  </si>
  <si>
    <t>0769</t>
  </si>
  <si>
    <t>ALTERNADOR MERCEDES BENZ IB-5225 12V 150AMP</t>
  </si>
  <si>
    <t>ALT-11042N</t>
  </si>
  <si>
    <t>0770</t>
  </si>
  <si>
    <t>ALTERNADOR TOYOTA RAV N 12V 130A</t>
  </si>
  <si>
    <t>27060-31100</t>
  </si>
  <si>
    <t>0771</t>
  </si>
  <si>
    <t>ALTERNADOR TOYOTA MOD VIEJO 14130N 1J-0132 N 12V 060A</t>
  </si>
  <si>
    <t>27060-61150N</t>
  </si>
  <si>
    <t>235,294.12</t>
  </si>
  <si>
    <t>201,680.67</t>
  </si>
  <si>
    <t>280,000.0</t>
  </si>
  <si>
    <t>240,000.0</t>
  </si>
  <si>
    <t>0772</t>
  </si>
  <si>
    <t>ALTERNADOR TOYOTA L/CRUISER 4.5 80A 2C 27060-66060N</t>
  </si>
  <si>
    <t>ALT-13497N</t>
  </si>
  <si>
    <t>0773</t>
  </si>
  <si>
    <t>ALTERNADOR TOYOTA L/CRUISER 4.5 27060-66060R BA-1237 12V 80A</t>
  </si>
  <si>
    <t>ALT-13497R</t>
  </si>
  <si>
    <t>0774</t>
  </si>
  <si>
    <t>ALTERNADOR TOYOTA FORTUNER CAMRY 27060-28340 N 12V 130A</t>
  </si>
  <si>
    <t>ALT-23996N</t>
  </si>
  <si>
    <t>0930</t>
  </si>
  <si>
    <t>ALTERNADOR FORD FOCUS F-601 12V 110AMP</t>
  </si>
  <si>
    <t>ALT-8447N</t>
  </si>
  <si>
    <t>0931</t>
  </si>
  <si>
    <t>ALTERNADOR SUZUKI SJ410 LJ80 LUV 1.6 35A=27020-31090</t>
  </si>
  <si>
    <t>31400-72011</t>
  </si>
  <si>
    <t>193,277.31</t>
  </si>
  <si>
    <t>176,470.59</t>
  </si>
  <si>
    <t>230,000.0</t>
  </si>
  <si>
    <t>210,000.0</t>
  </si>
  <si>
    <t>0932</t>
  </si>
  <si>
    <t>ALTERNADOR LEECE NEVILLE 12V 160AMP J180</t>
  </si>
  <si>
    <t>ALT-8329R</t>
  </si>
  <si>
    <t>1041</t>
  </si>
  <si>
    <t>ALTERNADOR HYUNDAI ATOS SANTRO 1K-0019N 23910N 41434 12V 100A</t>
  </si>
  <si>
    <t>37300-02503N</t>
  </si>
  <si>
    <t>9.0</t>
  </si>
  <si>
    <t>1042</t>
  </si>
  <si>
    <t>ALTERNADOR HYUNDAI ATOS SANTRO 99-02 PICANT 70A</t>
  </si>
  <si>
    <t>37300-02503R</t>
  </si>
  <si>
    <t>298,319.33</t>
  </si>
  <si>
    <t>355,000.0</t>
  </si>
  <si>
    <t>1043</t>
  </si>
  <si>
    <t>ALTERNADOR KIA PICANTO ION 4 PISTONES 1K-0044 20572N N 12V 070A</t>
  </si>
  <si>
    <t>31</t>
  </si>
  <si>
    <t>SAFE</t>
  </si>
  <si>
    <t>37300-03100</t>
  </si>
  <si>
    <t>1044</t>
  </si>
  <si>
    <t>ALTERNADOR KIA ION 3 CILINDROS</t>
  </si>
  <si>
    <t>37300-04335</t>
  </si>
  <si>
    <t>658,823.53</t>
  </si>
  <si>
    <t>574,117.65</t>
  </si>
  <si>
    <t>784,000.0</t>
  </si>
  <si>
    <t>683,200.0</t>
  </si>
  <si>
    <t>1045</t>
  </si>
  <si>
    <t>ALTERNADOR HYUNDAI I10 KIA ION 1K-0045 12V 70A</t>
  </si>
  <si>
    <t>37300-04010</t>
  </si>
  <si>
    <t>1046</t>
  </si>
  <si>
    <t>ALTERNADOR HYUNDAI ACCENT 12V 100A MANDO BA-1016</t>
  </si>
  <si>
    <t>37300-22200</t>
  </si>
  <si>
    <t>262,184.87</t>
  </si>
  <si>
    <t>312,000.0</t>
  </si>
  <si>
    <t>1047</t>
  </si>
  <si>
    <t>ALTERNADOR HYUNDAI ACCENT VERNA 90A 13839N</t>
  </si>
  <si>
    <t>37300-22600N</t>
  </si>
  <si>
    <t>357,142.86</t>
  </si>
  <si>
    <t>12.0</t>
  </si>
  <si>
    <t>425,000.0</t>
  </si>
  <si>
    <t>1048</t>
  </si>
  <si>
    <t>ALTERNADOR HYUNDAI ACCENT VERNA 12V 105A BA-1016</t>
  </si>
  <si>
    <t>37300-22600R</t>
  </si>
  <si>
    <t>1049</t>
  </si>
  <si>
    <t>ALTERNADOR HYUNDAI ACCENT TUCSON 80A KIA 11011N 1K-0048N</t>
  </si>
  <si>
    <t>37300-22650N</t>
  </si>
  <si>
    <t>331,932.77</t>
  </si>
  <si>
    <t>-1.0</t>
  </si>
  <si>
    <t>395,000.0</t>
  </si>
  <si>
    <t>1050</t>
  </si>
  <si>
    <t>ALTERNADOR KIA CERATO 2.0 NEW SPORTAGE 11202 11189N M-550 12V 110A</t>
  </si>
  <si>
    <t>37300-25201</t>
  </si>
  <si>
    <t>1051</t>
  </si>
  <si>
    <t>ALTERNADOR HYUNDAI I25 KIA CERATO SOUL 1.6 M-611 11471N 12V 090A</t>
  </si>
  <si>
    <t>37300-2B101</t>
  </si>
  <si>
    <t>415,966.39</t>
  </si>
  <si>
    <t>495,000.0</t>
  </si>
  <si>
    <t>1052</t>
  </si>
  <si>
    <t>ALTERNADOR KIA SOUL, CERATO FR,L,C M593 13209N</t>
  </si>
  <si>
    <t>37300-2B300</t>
  </si>
  <si>
    <t>11.0</t>
  </si>
  <si>
    <t>1053</t>
  </si>
  <si>
    <t>ALTERNADOR KIA CERATO SOUL HY N 12V 090A</t>
  </si>
  <si>
    <t>37300-2B400</t>
  </si>
  <si>
    <t>1054</t>
  </si>
  <si>
    <t>ALTERNADOR HYUNDAI H1 STARX B/50cc 2C 12V 22862 N 12V 110A</t>
  </si>
  <si>
    <t>37300-42356N</t>
  </si>
  <si>
    <t>550,420.17</t>
  </si>
  <si>
    <t>655,000.0</t>
  </si>
  <si>
    <t>1055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</si>
  <si>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</si>
  <si>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</si>
  <si>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</si>
  <si>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</si>
  <si>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</si>
  <si>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</si>
  <si>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</si>
  <si>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</si>
  <si>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</si>
  <si>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</si>
  <si>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1727</t>
  </si>
  <si>
    <t>ALTERNADOR MERCEDES SANYON REXTON KORANDO N 12V 120A</t>
  </si>
  <si>
    <t>6641540102</t>
  </si>
  <si>
    <t>414,117.65</t>
  </si>
  <si>
    <t>492,800.0</t>
  </si>
  <si>
    <t>1899</t>
  </si>
  <si>
    <t>ALTERNADOR CHEVROLET VITARA 31400-60A11</t>
  </si>
  <si>
    <t>ALT-13316N</t>
  </si>
  <si>
    <t>252,100.84</t>
  </si>
  <si>
    <t>231,092.44</t>
  </si>
  <si>
    <t>300,000.0</t>
  </si>
  <si>
    <t>275,000.0</t>
  </si>
  <si>
    <t>1904</t>
  </si>
  <si>
    <t>ALTERNADOR CHEVROLET LUV 2.3 TROOPER ND 1J-0141  12V 75A</t>
  </si>
  <si>
    <t>8-97042-852-2</t>
  </si>
  <si>
    <t>1909</t>
  </si>
  <si>
    <t>ALTERNADOR CHEVROLET DMAX GASOLINA ND N 12V 090A</t>
  </si>
  <si>
    <t>8-97210-373-0</t>
  </si>
  <si>
    <t>1910</t>
  </si>
  <si>
    <t>ALTERNADOR CHEVROLET CORSA 1.5 1.7 DIES C/BOM N 12V 080A</t>
  </si>
  <si>
    <t>8-97241-021-0</t>
  </si>
  <si>
    <t>1978</t>
  </si>
  <si>
    <t>ALTERNADOR CHINO JAC CAMION 24V 70AMP PUÑO</t>
  </si>
  <si>
    <t>JFZ-2716D1-TW</t>
  </si>
  <si>
    <t>1979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</si>
  <si>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</si>
  <si>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</si>
  <si>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</si>
  <si>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</si>
  <si>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</si>
  <si>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</si>
  <si>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</si>
  <si>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DELCO REMY</t>
  </si>
  <si>
    <t>8600889</t>
  </si>
  <si>
    <t>668,235.29</t>
  </si>
  <si>
    <t>656,941.18</t>
  </si>
  <si>
    <t>795,200.0</t>
  </si>
  <si>
    <t>781,760.0</t>
  </si>
  <si>
    <t>2088</t>
  </si>
  <si>
    <t>ALTERNADOR CHEVROLET NPR 2C B/50CC IH253 N 24V 045A</t>
  </si>
  <si>
    <t>94472-TW</t>
  </si>
  <si>
    <t>2271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</si>
  <si>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</si>
  <si>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</si>
  <si>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</si>
  <si>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</si>
  <si>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</si>
  <si>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</si>
  <si>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</si>
  <si>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</si>
  <si>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268,800.0</t>
  </si>
  <si>
    <t>2273</t>
  </si>
  <si>
    <t>ALTERNADOR MAZDA 2, 3 IM-345 N 12V 100A</t>
  </si>
  <si>
    <t>A2TC0091</t>
  </si>
  <si>
    <t>395,294.12</t>
  </si>
  <si>
    <t>470,400.0</t>
  </si>
  <si>
    <t>2274</t>
  </si>
  <si>
    <t>ALTERNADOR KUBOTA MONTACARGA 1P N 12V 040A 12179N</t>
  </si>
  <si>
    <t>ALT-12198R</t>
  </si>
  <si>
    <t>210,084.03</t>
  </si>
  <si>
    <t>250,000.0</t>
  </si>
  <si>
    <t>2276</t>
  </si>
  <si>
    <t>ALTERNADOR MITSUBISHI RETRO NEW HOLLAND ISUZU 1J-0110 12744N 24V 050A</t>
  </si>
  <si>
    <t>A4TU5486</t>
  </si>
  <si>
    <t>2294</t>
  </si>
  <si>
    <t>ALTERNADOR HYUNDAI I10 1K-0033N  37300-02600 20624N M-613 12V 070A</t>
  </si>
  <si>
    <t>ALT-0014</t>
  </si>
  <si>
    <t>7.0</t>
  </si>
  <si>
    <t>2295</t>
  </si>
  <si>
    <t>ALTERNADOR CHINO JAC HI 1C B/50CC IH254 JF2B190-175 BA-0350 12V 090A</t>
  </si>
  <si>
    <t>ALT-0054</t>
  </si>
  <si>
    <t>525,210.08</t>
  </si>
  <si>
    <t>625,000.0</t>
  </si>
  <si>
    <t>2296</t>
  </si>
  <si>
    <t>ALTERNADOR NISSAN QD32 23100-0W802 BA-0355 12V 125A</t>
  </si>
  <si>
    <t>ALT-0355</t>
  </si>
  <si>
    <t>2297</t>
  </si>
  <si>
    <t>ALTERNADOR CHEVROLET FRR 24V 60A</t>
  </si>
  <si>
    <t>ALT-0420</t>
  </si>
  <si>
    <t>2298</t>
  </si>
  <si>
    <t>ALTERNADOR CHINO FOTON JAC 2P N 24V 55A</t>
  </si>
  <si>
    <t>JFZ-253C</t>
  </si>
  <si>
    <t>441,176.47</t>
  </si>
  <si>
    <t>525,000.0</t>
  </si>
  <si>
    <t>2299</t>
  </si>
  <si>
    <t>ALTERNADOR CHINO JAC FOTON N 24V 070A</t>
  </si>
  <si>
    <t>ALT-069</t>
  </si>
  <si>
    <t>385,882.35</t>
  </si>
  <si>
    <t>459,200.0</t>
  </si>
  <si>
    <t>2300</t>
  </si>
  <si>
    <t>ALTERNADOR MAZDA 323 NX MONTA/C FESTV MI 80A IM216</t>
  </si>
  <si>
    <t>ALT-10346N</t>
  </si>
  <si>
    <t>247,899.16</t>
  </si>
  <si>
    <t>295,000.0</t>
  </si>
  <si>
    <t>2301</t>
  </si>
  <si>
    <t>ALTERNADOR MAZDA 3-5 2.2 2.3 90A PD IM345=11008</t>
  </si>
  <si>
    <t>ALT-11008N</t>
  </si>
  <si>
    <t>2302</t>
  </si>
  <si>
    <t>ALTERNADOR KIA SORRENTO M563 N 12V 120A</t>
  </si>
  <si>
    <t>ALT-11012N</t>
  </si>
  <si>
    <t>2303</t>
  </si>
  <si>
    <t>ALTERNADOR CHEVROLET CAPTIVA  M-540 125AMP 12V 15828450</t>
  </si>
  <si>
    <t>ALT-11265N</t>
  </si>
  <si>
    <t>2304</t>
  </si>
  <si>
    <t>ALTERNADOR NISSAN X-TRAIL N 12V 110A 1J-0099 23100-AUA0A</t>
  </si>
  <si>
    <t>ALT-11163N</t>
  </si>
  <si>
    <t>2305</t>
  </si>
  <si>
    <t>ALTERNADOR MAZDA CX5 REG IM505 IMR12204 N 12V 100A</t>
  </si>
  <si>
    <t>ALT-11168N</t>
  </si>
  <si>
    <t>689,075.63</t>
  </si>
  <si>
    <t>820,000.0</t>
  </si>
  <si>
    <t>2306</t>
  </si>
  <si>
    <t>ALTERNADOR FORD FUSION IM-529, IMR-12800 N 12V 150A</t>
  </si>
  <si>
    <t>ALT-11173N</t>
  </si>
  <si>
    <t>693,277.31</t>
  </si>
  <si>
    <t>825,000.0</t>
  </si>
  <si>
    <t>2307</t>
  </si>
  <si>
    <t>ALTERNADOR HYUNDAI SANTAFE 37300-3C120 N 12V 130A</t>
  </si>
  <si>
    <t>ALT-11191N</t>
  </si>
  <si>
    <t>2308</t>
  </si>
  <si>
    <t>ALTERNADOR FORD EDGE REG IM529, IMR1280 N 12V 150A A3TJ1291</t>
  </si>
  <si>
    <t>ALT-11273N</t>
  </si>
  <si>
    <t>2309</t>
  </si>
  <si>
    <t>ALTERNADOR KIA RIO SOUL HYUNDAI 3P M544 37300-23650 1K-0049N</t>
  </si>
  <si>
    <t>ALT-11311N</t>
  </si>
  <si>
    <t>2310</t>
  </si>
  <si>
    <t>ALTERNADOR MAZDA 3 IM-505 PD 1J-0147 N 12V 100A</t>
  </si>
  <si>
    <t>ALT-11342N</t>
  </si>
  <si>
    <t>2311</t>
  </si>
  <si>
    <t>ALTERNADOR MAZDA 2,3  IM-581 PD A2TG1391 12V 090A</t>
  </si>
  <si>
    <t>ALT-11578N</t>
  </si>
  <si>
    <t>399,159.66</t>
  </si>
  <si>
    <t>475,000.0</t>
  </si>
  <si>
    <t>2312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</si>
  <si>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</si>
  <si>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</si>
  <si>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</si>
  <si>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</si>
  <si>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</si>
  <si>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2314</t>
  </si>
  <si>
    <t>ALTERNADOR MONTA/C MI N 12V 040A 12136N</t>
  </si>
  <si>
    <t>ALT-12138N</t>
  </si>
  <si>
    <t>2316</t>
  </si>
  <si>
    <t>ALTERNADOR KUBOTA MONTACARGA 1P N 12V 040A</t>
  </si>
  <si>
    <t>ALT-12198N</t>
  </si>
  <si>
    <t>277,310.92</t>
  </si>
  <si>
    <t>330,000.0</t>
  </si>
  <si>
    <t>2317</t>
  </si>
  <si>
    <t>ALTERNADOR AGRALE FORD CARGO BO=DA-275H N 12V 060A</t>
  </si>
  <si>
    <t>ALT-12295-12V</t>
  </si>
  <si>
    <t>2318</t>
  </si>
  <si>
    <t>ALTERNADOR AGRALE FORD CARGO BO N 24V 045A 66021600CS</t>
  </si>
  <si>
    <t>38</t>
  </si>
  <si>
    <t>PRESTOLITE</t>
  </si>
  <si>
    <t>ALT-12295-24V</t>
  </si>
  <si>
    <t>2320</t>
  </si>
  <si>
    <t>ALTERNADOR CHEVROLET NPR 00/01 3C MN B/GRA N 12V 130A</t>
  </si>
  <si>
    <t>ALT-12335-130A</t>
  </si>
  <si>
    <t>2321</t>
  </si>
  <si>
    <t>ALTERNADOR CHEVROLET NPR 3C B/85CC 41430 N 12V 090A</t>
  </si>
  <si>
    <t>ALT-12335N-90A</t>
  </si>
  <si>
    <t>516,806.72</t>
  </si>
  <si>
    <t>615,000.0</t>
  </si>
  <si>
    <t>2322</t>
  </si>
  <si>
    <t>ALTERNADOR VW 31310 FORD CARGO N 12V 90A</t>
  </si>
  <si>
    <t>ALT-12342N</t>
  </si>
  <si>
    <t>2323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</si>
  <si>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</si>
  <si>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</si>
  <si>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</si>
  <si>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</si>
  <si>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</si>
  <si>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</si>
  <si>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2324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</si>
  <si>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</si>
  <si>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</si>
  <si>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</si>
  <si>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</si>
  <si>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</si>
  <si>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</si>
  <si>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</si>
  <si>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</si>
  <si>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355,040.0</t>
  </si>
  <si>
    <t>2326</t>
  </si>
  <si>
    <t>ALTERNADOR MERCEDES SPRINTER DIESEL BOSH 42091 N 12V 150A</t>
  </si>
  <si>
    <t>ALT-12384N</t>
  </si>
  <si>
    <t>2327</t>
  </si>
  <si>
    <t>ALTERNADOR HYUNDAI BOBCAT T/MANDO N 12V 090A</t>
  </si>
  <si>
    <t>ALT-12390N</t>
  </si>
  <si>
    <t>2328</t>
  </si>
  <si>
    <t>ALTERNADOR FORD FOCUS 12V 150AMP  IM-6227IMR-12202</t>
  </si>
  <si>
    <t>ALT-11272N</t>
  </si>
  <si>
    <t>2329</t>
  </si>
  <si>
    <t>ALTERNADOR MONTACARGA NISSAN N 12V 050A</t>
  </si>
  <si>
    <t>ALT-12566N</t>
  </si>
  <si>
    <t>2330</t>
  </si>
  <si>
    <t>ALTERNADOR MONTACARGA KOMATSU CATERPI IN45 N 12V 050A</t>
  </si>
  <si>
    <t>ALT-12651N</t>
  </si>
  <si>
    <t>2331</t>
  </si>
  <si>
    <t>ALTERNADOR TOYOTA PRADO JHON DEERE 1J-0081 12V 150A</t>
  </si>
  <si>
    <t>ALT-12660N</t>
  </si>
  <si>
    <t>697,478.99</t>
  </si>
  <si>
    <t>830,000.0</t>
  </si>
  <si>
    <t>2332</t>
  </si>
  <si>
    <t>ALTERNADOR VOLVO, MERCEDES N 12V 200A</t>
  </si>
  <si>
    <t>ALT-12715N</t>
  </si>
  <si>
    <t>2333</t>
  </si>
  <si>
    <t>ALTERNADOR LUCAS PERKINS N 12V 085A 59345</t>
  </si>
  <si>
    <t>ALT-12738N</t>
  </si>
  <si>
    <t>554,621.85</t>
  </si>
  <si>
    <t>660,000.0</t>
  </si>
  <si>
    <t>2334</t>
  </si>
  <si>
    <t>ALTERNADOR LUCAS PERKINS CATERPILLAR 1E-0009 12V 120A</t>
  </si>
  <si>
    <t>ALT-12739N</t>
  </si>
  <si>
    <t>571,428.57</t>
  </si>
  <si>
    <t>512,605.04</t>
  </si>
  <si>
    <t>680,000.0</t>
  </si>
  <si>
    <t>610,000.0</t>
  </si>
  <si>
    <t>2335</t>
  </si>
  <si>
    <t>ALTERNADOR MITSUBISHI CATERPILLAR RETRO ZAXIS 200-250 N 24V 050A</t>
  </si>
  <si>
    <t>ALT-12748N</t>
  </si>
  <si>
    <t>564,705.88</t>
  </si>
  <si>
    <t>672,000.0</t>
  </si>
  <si>
    <t>2336</t>
  </si>
  <si>
    <t>ALTERNADOR KOMATSU HINO DUTRO ND 60A 24V IN462 N 24V 060A</t>
  </si>
  <si>
    <t>ALT-12775N</t>
  </si>
  <si>
    <t>2337</t>
  </si>
  <si>
    <t>ALTERNADOR JOHN DEERER  0124625029 N 12V 200A 1B-0024</t>
  </si>
  <si>
    <t>ALT-12795N</t>
  </si>
  <si>
    <t>2338</t>
  </si>
  <si>
    <t>ALTERNADOR LUCAS CATERPILLAR N 24V 080A</t>
  </si>
  <si>
    <t>ALT-12814N</t>
  </si>
  <si>
    <t>2339</t>
  </si>
  <si>
    <t>ALTERNADOR VOLKSWAGEN ESCARABAJO BOSH 07702 N 12V 055A</t>
  </si>
  <si>
    <t>ALT-13080N</t>
  </si>
  <si>
    <t>2340</t>
  </si>
  <si>
    <t>ALTERNADOR MAZDA 323 NX 1J-0109 42089 80A IM265</t>
  </si>
  <si>
    <t>ALT-13196N</t>
  </si>
  <si>
    <t>2341</t>
  </si>
  <si>
    <t>ALTERNADOR CHEVROLET SWIFT 1.3 SPRINT SUZ 92/89 IN251 N 12V 65A</t>
  </si>
  <si>
    <t>ALT-13214N</t>
  </si>
  <si>
    <t>2342</t>
  </si>
  <si>
    <t>ALTERNADOR CHEVROLET SWIFT 1.3  92/89 BA-1207</t>
  </si>
  <si>
    <t>ALT-13214R</t>
  </si>
  <si>
    <t>189,075.63</t>
  </si>
  <si>
    <t>225,000.0</t>
  </si>
  <si>
    <t>2344</t>
  </si>
  <si>
    <t>ALTERNADOR MITSUBISHI MONTERO PAJERO 90A A3T-4187R</t>
  </si>
  <si>
    <t>ALT-13257R</t>
  </si>
  <si>
    <t>257,142.86</t>
  </si>
  <si>
    <t>306,000.0</t>
  </si>
  <si>
    <t>2345</t>
  </si>
  <si>
    <t>ALTERNADOR MAZDA 323 626 HYUNDAI SONATA IM831 N 12V 090A</t>
  </si>
  <si>
    <t>ALT-13289N</t>
  </si>
  <si>
    <t>2346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</si>
  <si>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</si>
  <si>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</si>
  <si>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</si>
  <si>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</si>
  <si>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</si>
  <si>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</si>
  <si>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</si>
  <si>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</si>
  <si>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2349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</si>
  <si>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</si>
  <si>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</si>
  <si>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</si>
  <si>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</si>
  <si>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</si>
  <si>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</si>
  <si>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</si>
  <si>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2351</t>
  </si>
  <si>
    <t>ALT-13336R</t>
  </si>
  <si>
    <t>2352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</si>
  <si>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</si>
  <si>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</si>
  <si>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</si>
  <si>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</si>
  <si>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</si>
  <si>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</si>
  <si>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296,800.0</t>
  </si>
  <si>
    <t>2355</t>
  </si>
  <si>
    <t>ALT-13485N</t>
  </si>
  <si>
    <t>2356</t>
  </si>
  <si>
    <t>ALTERNADOR TOYOTA HILUX 13492 N 12V 070A</t>
  </si>
  <si>
    <t>ALT-13409N</t>
  </si>
  <si>
    <t>2357</t>
  </si>
  <si>
    <t>ALT-13558N</t>
  </si>
  <si>
    <t>357,647.06</t>
  </si>
  <si>
    <t>425,600.0</t>
  </si>
  <si>
    <t>2359</t>
  </si>
  <si>
    <t>ALTERNADOR MERCEDES SANYON REXTON KORANDO N 12V 90A</t>
  </si>
  <si>
    <t>ALT-13613N</t>
  </si>
  <si>
    <t>2360</t>
  </si>
  <si>
    <t>ALTERNADOR NISSAN MURANO MAXIMA HI R 12V 110A</t>
  </si>
  <si>
    <t>ALT-13657-R</t>
  </si>
  <si>
    <t>365,546.22</t>
  </si>
  <si>
    <t>435,000.0</t>
  </si>
  <si>
    <t>2361</t>
  </si>
  <si>
    <t>ALTERNADOR NISSAN MURANO MAXIMA HI  12V 110A</t>
  </si>
  <si>
    <t>ALT-13657N</t>
  </si>
  <si>
    <t>449,579.83</t>
  </si>
  <si>
    <t>535,000.0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</si>
  <si>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</si>
  <si>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</si>
  <si>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</si>
  <si>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</si>
  <si>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</si>
  <si>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</si>
  <si>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</si>
  <si>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</si>
  <si>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</si>
  <si>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395,360.0</t>
  </si>
  <si>
    <t>2364</t>
  </si>
  <si>
    <t>ALTERNADOR NISSAN SENTRA 23100-3S500 N  40272 12V 080A</t>
  </si>
  <si>
    <t>ALT-13728N</t>
  </si>
  <si>
    <t>2365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</si>
  <si>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</si>
  <si>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</si>
  <si>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</si>
  <si>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</si>
  <si>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</si>
  <si>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</si>
  <si>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</si>
  <si>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2367</t>
  </si>
  <si>
    <t>ALTERNADOR CHEVROLET VITARA 31400-66D02 N 12V 060A</t>
  </si>
  <si>
    <t>ALT-13780N</t>
  </si>
  <si>
    <t>2368</t>
  </si>
  <si>
    <t>ALTERNADOR HYUNDAI SANTAFE SONATA 99/02 MANDO N 12V 100A</t>
  </si>
  <si>
    <t>ALT-13782N</t>
  </si>
  <si>
    <t>263,529.41</t>
  </si>
  <si>
    <t>313,600.0</t>
  </si>
  <si>
    <t>2369</t>
  </si>
  <si>
    <t>ALTERNADOR MITSUBISHI MONT =242-13786N N 12V 100A</t>
  </si>
  <si>
    <t>ALT-13786N</t>
  </si>
  <si>
    <t>2370</t>
  </si>
  <si>
    <t>ALTERNADOR MITSUBISHI MONT 242-13786 R 12V 100A</t>
  </si>
  <si>
    <t>ALT-13786R</t>
  </si>
  <si>
    <t>2371</t>
  </si>
  <si>
    <t>ALTERNADOR MITSUBISHI LANCER ZOTYE NOMADA 90A 12V</t>
  </si>
  <si>
    <t>ALT-13787R</t>
  </si>
  <si>
    <t>273,109.24</t>
  </si>
  <si>
    <t>325,000.0</t>
  </si>
  <si>
    <t>2372</t>
  </si>
  <si>
    <t>ALTERNADOR NISSAN SENTRA 1.6 39330  N 12V 100A</t>
  </si>
  <si>
    <t>ALT-13827N</t>
  </si>
  <si>
    <t>2373</t>
  </si>
  <si>
    <t>ALTERNADOR JEEP GRAN CHEROKEE DODGE DAKOTA 12V 136</t>
  </si>
  <si>
    <t>ALT-13873N</t>
  </si>
  <si>
    <t>2374</t>
  </si>
  <si>
    <t>ALTERNADOR VOLKSWAGEN GOLF AUDI RENAULT 9 N 12V 90A 14396N</t>
  </si>
  <si>
    <t>ALT-14970N</t>
  </si>
  <si>
    <t>2376</t>
  </si>
  <si>
    <t>ALTERNADOR NISSAN MAXIMA IH238 ADAP R 12V 090A</t>
  </si>
  <si>
    <t>ALT-14661R</t>
  </si>
  <si>
    <t>2377</t>
  </si>
  <si>
    <t>ALTERNADOR TOYOTA RUNNER 85/91 HILUX 60A IN320 1J-0042</t>
  </si>
  <si>
    <t>ALT-14668N</t>
  </si>
  <si>
    <t>2378</t>
  </si>
  <si>
    <t>ALTERNADOR CHEVROLET SPRINT SAMURAI SJ413 IN253 N 12V 055A</t>
  </si>
  <si>
    <t>ALT-14684N</t>
  </si>
  <si>
    <t>2379</t>
  </si>
  <si>
    <t>ALTERNADOR CHEVROLET SPRINT SAMURAI SJ413 31400-82611</t>
  </si>
  <si>
    <t>ALT-14684R</t>
  </si>
  <si>
    <t>2380</t>
  </si>
  <si>
    <t>ALTERNADOR T1 VOLVO MERCEDES N 24V 155A</t>
  </si>
  <si>
    <t>ALT-1277A720</t>
  </si>
  <si>
    <t>3,294,117.65</t>
  </si>
  <si>
    <t>2,823,529.41</t>
  </si>
  <si>
    <t>3,920,000.0</t>
  </si>
  <si>
    <t>3,360,000.0</t>
  </si>
  <si>
    <t>2381</t>
  </si>
  <si>
    <t>ALTERNADOR DAHIATSU DELTA 2C N 12V 060A</t>
  </si>
  <si>
    <t>ALT-15227N</t>
  </si>
  <si>
    <t>308,705.88</t>
  </si>
  <si>
    <t>367,360.0</t>
  </si>
  <si>
    <t>2383</t>
  </si>
  <si>
    <t>ALTERNADOR 21SI KODIAK NEVILLE MN REMY N 12V 160A</t>
  </si>
  <si>
    <t>ALT-19020310</t>
  </si>
  <si>
    <t>912,941.18</t>
  </si>
  <si>
    <t>837,647.06</t>
  </si>
  <si>
    <t>1,086,400.0</t>
  </si>
  <si>
    <t>996,800.0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</si>
  <si>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</si>
  <si>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</si>
  <si>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</si>
  <si>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</si>
  <si>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</si>
  <si>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</si>
  <si>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1,270,000.0</t>
  </si>
  <si>
    <t>2386</t>
  </si>
  <si>
    <t>ALTERNADOR KIA PREGIO 2.7 B/PEQ 59064 OK72A-18-300 12V 090A</t>
  </si>
  <si>
    <t>ALT-1922</t>
  </si>
  <si>
    <t>2387</t>
  </si>
  <si>
    <t>ALTERNADOR CHINO FOTON IVECO DAILY TURBO N 12V 100A</t>
  </si>
  <si>
    <t>ALT-196B</t>
  </si>
  <si>
    <t>602,352.94</t>
  </si>
  <si>
    <t>716,800.0</t>
  </si>
  <si>
    <t>2388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</si>
  <si>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</si>
  <si>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</si>
  <si>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</si>
  <si>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</si>
  <si>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</si>
  <si>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</si>
  <si>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</si>
  <si>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2390</t>
  </si>
  <si>
    <t>ALTERNADOR NISSAN FRONTIER XTERRA 12V 100AMP</t>
  </si>
  <si>
    <t>1J-0064</t>
  </si>
  <si>
    <t>390,756.3</t>
  </si>
  <si>
    <t>465,000.0</t>
  </si>
  <si>
    <t>2392</t>
  </si>
  <si>
    <t>ALTERNADOR RENAULT R-9 INY CLIO R-19 VA N 12V 070A</t>
  </si>
  <si>
    <t>ALT-20962N</t>
  </si>
  <si>
    <t>340,336.13</t>
  </si>
  <si>
    <t>405,000.0</t>
  </si>
  <si>
    <t>2394</t>
  </si>
  <si>
    <t>ALTERNADOR PEUGEOT 206-307 CITROEN 1B-0030 N 11182N 12V 120A</t>
  </si>
  <si>
    <t>ALT-21444N</t>
  </si>
  <si>
    <t>2395</t>
  </si>
  <si>
    <t>ALTERNADOR CHEVROLET SONIC TRACKER L(RC) F(FR) N 12V 100A</t>
  </si>
  <si>
    <t>ALT-21513N</t>
  </si>
  <si>
    <t>2396</t>
  </si>
  <si>
    <t>ALTERNADOR IVECO DAILY 2.8 DIES KT N 12V 120A</t>
  </si>
  <si>
    <t>ALT-22004</t>
  </si>
  <si>
    <t>536,470.59</t>
  </si>
  <si>
    <t>638,400.0</t>
  </si>
  <si>
    <t>2397</t>
  </si>
  <si>
    <t>ALTERNADOR IVECO DAILY 2.8 DIES N 12V 120A</t>
  </si>
  <si>
    <t>1B-0038</t>
  </si>
  <si>
    <t>2398</t>
  </si>
  <si>
    <t>ALTERNADOR KIA BESTA C/BOM 1C N 12V 060A</t>
  </si>
  <si>
    <t>ALT-22254</t>
  </si>
  <si>
    <t>2399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</si>
  <si>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</si>
  <si>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</si>
  <si>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</si>
  <si>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</si>
  <si>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</si>
  <si>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</si>
  <si>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2401</t>
  </si>
  <si>
    <t>ALTERNADOR FORD FIESTA M-529 N 12V 095A 40182</t>
  </si>
  <si>
    <t>ALT-23065N</t>
  </si>
  <si>
    <t>2402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</si>
  <si>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</si>
  <si>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</si>
  <si>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</si>
  <si>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</si>
  <si>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</si>
  <si>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</si>
  <si>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</si>
  <si>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</si>
  <si>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</si>
  <si>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2404</t>
  </si>
  <si>
    <t>ALTERNADOR PEUGEOT CITROEN FIAT NEW N 12V 150A</t>
  </si>
  <si>
    <t>ALT-23227N</t>
  </si>
  <si>
    <t>2405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</si>
  <si>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</si>
  <si>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</si>
  <si>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</si>
  <si>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</si>
  <si>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</si>
  <si>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2407</t>
  </si>
  <si>
    <t>ALTERNADOR NISSAN SENTRA 2C 23100-VK010 N 12V 090A</t>
  </si>
  <si>
    <t>ALT-23308N</t>
  </si>
  <si>
    <t>2408</t>
  </si>
  <si>
    <t>ALTERNADOR VOLVO BASE J180 T/KODIAK 15OAMP 24V</t>
  </si>
  <si>
    <t>ALT-23877-150A</t>
  </si>
  <si>
    <t>2409</t>
  </si>
  <si>
    <t>ALTERNADOR VOLVO BASE J180 T/KODIAK 1B-0019 N 24V 100A</t>
  </si>
  <si>
    <t>ALT-23877N</t>
  </si>
  <si>
    <t>2410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</si>
  <si>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</si>
  <si>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</si>
  <si>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</si>
  <si>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</si>
  <si>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</si>
  <si>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</si>
  <si>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252,000.0</t>
  </si>
  <si>
    <t>2412</t>
  </si>
  <si>
    <t>ALTERNADOR VOLKSWAGEN GOLF JETTA 39237  N 12V 090A</t>
  </si>
  <si>
    <t>ALT-2520N</t>
  </si>
  <si>
    <t>2413</t>
  </si>
  <si>
    <t>ALTERNADOR VOLKSWAGEN SKODA AUDI BOSH R 12V 120A</t>
  </si>
  <si>
    <t>ALT-2520R</t>
  </si>
  <si>
    <t>2414</t>
  </si>
  <si>
    <t>ALTERNADOR TOYOTA VIGO ND N 12V 130A 1J0102 24056N</t>
  </si>
  <si>
    <t>ALT-27062N</t>
  </si>
  <si>
    <t>2415</t>
  </si>
  <si>
    <t>ALTERNADOR KIA SOUL, CERATO FR,L,C M593 12V 90AMP</t>
  </si>
  <si>
    <t>37300-2B300-TW</t>
  </si>
  <si>
    <t>2416</t>
  </si>
  <si>
    <t>ALTERNADOR VOLVO MERCEDES VOLVO 1B-0014 N 24V 100A</t>
  </si>
  <si>
    <t>ALT-12389-24V</t>
  </si>
  <si>
    <t>2417</t>
  </si>
  <si>
    <t>ALTERNADOR RENAULT 9 BO 65A 12V 14390N K488 N 12V 065A</t>
  </si>
  <si>
    <t>ALT-275B</t>
  </si>
  <si>
    <t>264,705.88</t>
  </si>
  <si>
    <t>315,000.0</t>
  </si>
  <si>
    <t>2418</t>
  </si>
  <si>
    <t>ALTERNADOR CHINO JAC FOTON CATERPILLAR JFZ-276A5 N 24V 70A</t>
  </si>
  <si>
    <t>ALT-276A5</t>
  </si>
  <si>
    <t>2421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</si>
  <si>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</si>
  <si>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</si>
  <si>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</si>
  <si>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</si>
  <si>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</si>
  <si>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2423</t>
  </si>
  <si>
    <t>ALTERNADOR CHINO ZOTYE NOMADA 1.3 1.6 8S N 080A</t>
  </si>
  <si>
    <t>ALT-370150</t>
  </si>
  <si>
    <t>281,512.61</t>
  </si>
  <si>
    <t>335,000.0</t>
  </si>
  <si>
    <t>2425</t>
  </si>
  <si>
    <t>ALTERNADOR 20SI CATERPILAR CUMMIS MACK MASEY N 24V 045A</t>
  </si>
  <si>
    <t>ALT-7297N</t>
  </si>
  <si>
    <t>2426</t>
  </si>
  <si>
    <t>ALTERNADOR CHINO BYD 12V 70AMP 6PK</t>
  </si>
  <si>
    <t>JFZ-1727</t>
  </si>
  <si>
    <t>2427</t>
  </si>
  <si>
    <t>ALTERNADOR DAEWOO ESPERO NUBIRA N 12V 105A</t>
  </si>
  <si>
    <t>ALT-7858N</t>
  </si>
  <si>
    <t>277,647.06</t>
  </si>
  <si>
    <t>330,400.0</t>
  </si>
  <si>
    <t>2428</t>
  </si>
  <si>
    <t>ALTERNADOR DAEWOO CIELO RACER 1048 N 12V 105A</t>
  </si>
  <si>
    <t>ALT-7972N</t>
  </si>
  <si>
    <t>2429</t>
  </si>
  <si>
    <t>ALTERNADOR RENAULT TRAFFIC 150 AMP BOSCH</t>
  </si>
  <si>
    <t>ALT-80266</t>
  </si>
  <si>
    <t>456,470.59</t>
  </si>
  <si>
    <t>543,200.0</t>
  </si>
  <si>
    <t>2430</t>
  </si>
  <si>
    <t>ALTERNADOR THERMO KING CATERPILLAR D/REMY N 12V 065A</t>
  </si>
  <si>
    <t>ALT-8047</t>
  </si>
  <si>
    <t>461,176.47</t>
  </si>
  <si>
    <t>548,800.0</t>
  </si>
  <si>
    <t>2431</t>
  </si>
  <si>
    <t>ALTERNADOR THERMO KING CATERPILLAR TW N 24V 035A</t>
  </si>
  <si>
    <t>ALT-8050N</t>
  </si>
  <si>
    <t>583,529.41</t>
  </si>
  <si>
    <t>527,058.82</t>
  </si>
  <si>
    <t>694,400.0</t>
  </si>
  <si>
    <t>627,200.0</t>
  </si>
  <si>
    <t>2432</t>
  </si>
  <si>
    <t>ALTERNADOR 33SI PLANTA BASE KODIAK 1D-0020 N 12V 135A</t>
  </si>
  <si>
    <t>ALT-8083N</t>
  </si>
  <si>
    <t>2433</t>
  </si>
  <si>
    <t>ALTERNADOR 33SI J180 TIPO DELCO N 24V 100A</t>
  </si>
  <si>
    <t>ALT-8085N</t>
  </si>
  <si>
    <t>828,235.29</t>
  </si>
  <si>
    <t>752,941.18</t>
  </si>
  <si>
    <t>985,600.0</t>
  </si>
  <si>
    <t>896,000.0</t>
  </si>
  <si>
    <t>2434</t>
  </si>
  <si>
    <t>ALTERNADOR CHEVROLET KODIAK LUV 2.3 R 12V 130A</t>
  </si>
  <si>
    <t>ALT-8112R</t>
  </si>
  <si>
    <t>2435</t>
  </si>
  <si>
    <t>ALTERNADOR CHEVROLET CORSA ALT-103 1D-0022 39070 12V 105A</t>
  </si>
  <si>
    <t>ALT-8239N</t>
  </si>
  <si>
    <t>2436</t>
  </si>
  <si>
    <t>ALTERNADOR CHEVROLET CORSA GASOLINA R 12V 105A</t>
  </si>
  <si>
    <t>ALT-8239R</t>
  </si>
  <si>
    <t>2437</t>
  </si>
  <si>
    <t>ALTERNADOR FORD EXPLORER VENEZOLANA MUSTANG R 12V 110A</t>
  </si>
  <si>
    <t>ALT-8252R</t>
  </si>
  <si>
    <t>2438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</si>
  <si>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</si>
  <si>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</si>
  <si>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</si>
  <si>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</si>
  <si>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</si>
  <si>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227,764.71</t>
  </si>
  <si>
    <t>285,600.0</t>
  </si>
  <si>
    <t>271,040.0</t>
  </si>
  <si>
    <t>2442</t>
  </si>
  <si>
    <t>ALTERNADOR LEECE NEVILLE 160A MOTOROLA B/KODIAK</t>
  </si>
  <si>
    <t>ALT-8329N</t>
  </si>
  <si>
    <t>579,831.93</t>
  </si>
  <si>
    <t>690,000.0</t>
  </si>
  <si>
    <t>2443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</si>
  <si>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</si>
  <si>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</si>
  <si>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</si>
  <si>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</si>
  <si>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</si>
  <si>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2445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</si>
  <si>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</si>
  <si>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</si>
  <si>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</si>
  <si>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</si>
  <si>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</si>
  <si>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</si>
  <si>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779,520.0</t>
  </si>
  <si>
    <t>2447</t>
  </si>
  <si>
    <t>ALTERNADOR 24SI FREIGHTLINER KENWOR D/REM N 12V 160A</t>
  </si>
  <si>
    <t>ALT-8600310</t>
  </si>
  <si>
    <t>847,058.82</t>
  </si>
  <si>
    <t>1,008,000.0</t>
  </si>
  <si>
    <t>952,000.0</t>
  </si>
  <si>
    <t>2448</t>
  </si>
  <si>
    <t>ALTERNADOR CHEVROLET CAPTIVA 13500316  M-608 12V 130A</t>
  </si>
  <si>
    <t>ALT-11652N</t>
  </si>
  <si>
    <t>2449</t>
  </si>
  <si>
    <t>ALTERNADOR 35SI 12V 140A DELCO FREIGHTLINER 8700016</t>
  </si>
  <si>
    <t>ALT-8607N</t>
  </si>
  <si>
    <t>2450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</si>
  <si>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</si>
  <si>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</si>
  <si>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</si>
  <si>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</si>
  <si>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</si>
  <si>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</si>
  <si>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848,960.0</t>
  </si>
  <si>
    <t>2452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</si>
  <si>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</si>
  <si>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</si>
  <si>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</si>
  <si>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</si>
  <si>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</si>
  <si>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2454</t>
  </si>
  <si>
    <t>ALTERNADOR 11SI CUMMIS 95A 12V 1D-0047 N 12V 095A</t>
  </si>
  <si>
    <t>ALT-8721N</t>
  </si>
  <si>
    <t>2455</t>
  </si>
  <si>
    <t>ALTERNADOR CHEVROLET FRR REWARD 24V</t>
  </si>
  <si>
    <t>ALT-8980</t>
  </si>
  <si>
    <t>2456</t>
  </si>
  <si>
    <t>ALTERNADOR CHEVROLET SAIL NEW 12V</t>
  </si>
  <si>
    <t>ALT-9070278</t>
  </si>
  <si>
    <t>2457</t>
  </si>
  <si>
    <t>ALTERNADOR THERMO KING CATERP 12V 90A D/REMY</t>
  </si>
  <si>
    <t>ALT-93083</t>
  </si>
  <si>
    <t>2458</t>
  </si>
  <si>
    <t>ALTERNADOR CHEVROLET SPARK GT 12V 90AMP</t>
  </si>
  <si>
    <t>ALT-96843503</t>
  </si>
  <si>
    <t>205,882.35</t>
  </si>
  <si>
    <t>245,000.0</t>
  </si>
  <si>
    <t>2459</t>
  </si>
  <si>
    <t>ALTERNADOR MITSUBISHI CATERPILLAR POLEA 12PK AMT-328 24V 050A</t>
  </si>
  <si>
    <t>A4TU3599</t>
  </si>
  <si>
    <t>722,689.08</t>
  </si>
  <si>
    <t>860,000.0</t>
  </si>
  <si>
    <t>2460</t>
  </si>
  <si>
    <t>ALTERNADOR TOYOTA HILUX 13492 27060-35160 N 12V 070A</t>
  </si>
  <si>
    <t>ALT-13409R</t>
  </si>
  <si>
    <t>2461</t>
  </si>
  <si>
    <t>ALTERNADOR MITSUBISHI CATERPILLAR 320B 6D22 SUZUKI N 24V 050A</t>
  </si>
  <si>
    <t>A4TU3586</t>
  </si>
  <si>
    <t>2462</t>
  </si>
  <si>
    <t>ALTERNADOR FORD EXPLORER 12V 115AMP IM-503 9L2T-10300BA /BB</t>
  </si>
  <si>
    <t>ALT-11275N</t>
  </si>
  <si>
    <t>2463</t>
  </si>
  <si>
    <t>ALTERNADOR CHEVROLET NPR S/BOMBA MN 1J-0111 N 24V 080A</t>
  </si>
  <si>
    <t>ALT-HX196-80A</t>
  </si>
  <si>
    <t>2464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</si>
  <si>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</si>
  <si>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</si>
  <si>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</si>
  <si>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</si>
  <si>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</si>
  <si>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2466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</si>
  <si>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</si>
  <si>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</si>
  <si>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</si>
  <si>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</si>
  <si>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</si>
  <si>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</si>
  <si>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</si>
  <si>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2468</t>
  </si>
  <si>
    <t>ALTERNADOR RENAULT DUSTER SANDERO LOGAN 20399N 12V 120A</t>
  </si>
  <si>
    <t>ALT-TG9B053R</t>
  </si>
  <si>
    <t>2469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</si>
  <si>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</si>
  <si>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</si>
  <si>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</si>
  <si>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</si>
  <si>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</si>
  <si>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</si>
  <si>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</si>
  <si>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</si>
  <si>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1,002,400.0</t>
  </si>
  <si>
    <t>2736</t>
  </si>
  <si>
    <t>ALTERNADOR CHINO JAC FOTON AGRALE N 24V 120A</t>
  </si>
  <si>
    <t>AVI-147F3002</t>
  </si>
  <si>
    <t>1,129,411.76</t>
  </si>
  <si>
    <t>1,344,000.0</t>
  </si>
  <si>
    <t>3082</t>
  </si>
  <si>
    <t>ALTERNADOR MAZDA 323 MATSURI 94 MAGNETTI N 12V 60A BA-0917</t>
  </si>
  <si>
    <t>DA-1711</t>
  </si>
  <si>
    <t>3083</t>
  </si>
  <si>
    <t>ALTERNADOR CHEVROLET LUV 2.2 2.3 1B-0029  242-5001 N 12V 70A</t>
  </si>
  <si>
    <t>DA-1712</t>
  </si>
  <si>
    <t>295,798.32</t>
  </si>
  <si>
    <t>352,000.0</t>
  </si>
  <si>
    <t>3084</t>
  </si>
  <si>
    <t>ALTERNADOR LUCAS 12088N 63324407  N 12V 065A LRA461</t>
  </si>
  <si>
    <t>DA-1713</t>
  </si>
  <si>
    <t>3085</t>
  </si>
  <si>
    <t>ALTERNADOR MAZDA T35 MITSUBISHI HI B/GDE 2P N 12V 070A</t>
  </si>
  <si>
    <t>DA-1714-12V</t>
  </si>
  <si>
    <t>3091</t>
  </si>
  <si>
    <t>ALTERNADOR CHEVROLET NPR NKR MAZ T S/BOM N 12V 070A  14592N</t>
  </si>
  <si>
    <t>DA-196-12V</t>
  </si>
  <si>
    <t>3092</t>
  </si>
  <si>
    <t>ALTERNADOR CHEVROLET NPR NKR MAZ T NIS JAK S/BOM 24V</t>
  </si>
  <si>
    <t>DA-196-24V</t>
  </si>
  <si>
    <t>3195</t>
  </si>
  <si>
    <t>ALTERNADOR CHINO GEELY 1.3, 1.5 N 12V 70A</t>
  </si>
  <si>
    <t>E090100005</t>
  </si>
  <si>
    <t>3196</t>
  </si>
  <si>
    <t>ALTERNADOR MAZDA 323 84/86 MI MV 1C IM204 N 12V 060A</t>
  </si>
  <si>
    <t>E301-18300A-N</t>
  </si>
  <si>
    <t>3197</t>
  </si>
  <si>
    <t>ALTERNADOR MAZDA 323 84/86 1C BA-115 B/ANCHA 12V 75A OKD11-18-300B</t>
  </si>
  <si>
    <t>E301-18300AR</t>
  </si>
  <si>
    <t>3198</t>
  </si>
  <si>
    <t>ALTERNADOR MAZDA 323  MI 75A MN IM216 BA-1116</t>
  </si>
  <si>
    <t>E301-18300MR</t>
  </si>
  <si>
    <t>3199</t>
  </si>
  <si>
    <t>ALTERNADOR MAZDA 323 84/86 MI 60A MV 1C IM204</t>
  </si>
  <si>
    <t>E301-18300R</t>
  </si>
  <si>
    <t>188,235.29</t>
  </si>
  <si>
    <t>174,117.65</t>
  </si>
  <si>
    <t>224,000.0</t>
  </si>
  <si>
    <t>207,200.0</t>
  </si>
  <si>
    <t>3262</t>
  </si>
  <si>
    <t>ALTERNADOR T1 BOSCH VOLVO N 24V 140A</t>
  </si>
  <si>
    <t>F042301161</t>
  </si>
  <si>
    <t>2,967,843.76</t>
  </si>
  <si>
    <t>3,531,734.08</t>
  </si>
  <si>
    <t>3350</t>
  </si>
  <si>
    <t>ALTERNADOR MAZDA MATSURI 94 90A P/ACAN IM830 N</t>
  </si>
  <si>
    <t>FS05-18-300N</t>
  </si>
  <si>
    <t>315,126.05</t>
  </si>
  <si>
    <t>375,000.0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</si>
  <si>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</si>
  <si>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</si>
  <si>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</si>
  <si>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</si>
  <si>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</si>
  <si>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</si>
  <si>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</si>
  <si>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455,000.0</t>
  </si>
  <si>
    <t>5789</t>
  </si>
  <si>
    <t>ALTERNADOR MITSUBISHI CANTER C/BOM N 24V 060A</t>
  </si>
  <si>
    <t>ME-017561</t>
  </si>
  <si>
    <t>5969</t>
  </si>
  <si>
    <t>ALTERNADOR KIA RIO SEPHIA 02/05 MATS 1K-0009 N 12V 100A</t>
  </si>
  <si>
    <t>OK30D-18-300N</t>
  </si>
  <si>
    <t>5970</t>
  </si>
  <si>
    <t>ALTERNADOR KIA RIO SEPHIA 02/05 MATS MA R 12V 100A</t>
  </si>
  <si>
    <t>OK30D-18-300R</t>
  </si>
  <si>
    <t>5972</t>
  </si>
  <si>
    <t>ALTERNADOR KIA CARNIVAL N 12V 110A OK554-18-300</t>
  </si>
  <si>
    <t>ALT-23203N</t>
  </si>
  <si>
    <t>6843</t>
  </si>
  <si>
    <t>ALTERNADOR 10SI CHEVROLET C10 C30 1D-0001SP 12V 065A</t>
  </si>
  <si>
    <t>W-7023N-12V</t>
  </si>
  <si>
    <t>6844</t>
  </si>
  <si>
    <t>ALTERNADOR 10SI CHEVROLET C10 C30 2C 7129DP N 24V 050A</t>
  </si>
  <si>
    <t>W-7023N-24V</t>
  </si>
  <si>
    <t>6845</t>
  </si>
  <si>
    <t>ALTERNADOR 12SI CHEVROLET B60 C70 105AMP 12V</t>
  </si>
  <si>
    <t>W-7137N</t>
  </si>
  <si>
    <t>6863</t>
  </si>
  <si>
    <t>ALTERNADOR MAZDA BT-50 FORD RANGER N 12V 75A</t>
  </si>
  <si>
    <t>WL01-18-300N</t>
  </si>
  <si>
    <t>7193</t>
  </si>
  <si>
    <t>ALTERNADOR HYUNDAI H1 STARX 37300-42357 BYE-6020 N 12V 110A</t>
  </si>
  <si>
    <t>37300-42356-KR</t>
  </si>
  <si>
    <t>734,117.65</t>
  </si>
  <si>
    <t>873,600.0</t>
  </si>
  <si>
    <t>7194</t>
  </si>
  <si>
    <t>ALTERNADOR HYUNDAI SANTA FE SORRENTO C/B 23791N BYE-6033 N 12V 110A</t>
  </si>
  <si>
    <t>37300-4A001</t>
  </si>
  <si>
    <t>818,823.53</t>
  </si>
  <si>
    <t>974,400.0</t>
  </si>
  <si>
    <t>7195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</si>
  <si>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</si>
  <si>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</si>
  <si>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</si>
  <si>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</si>
  <si>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</si>
  <si>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7197</t>
  </si>
  <si>
    <t>ALTERNADOR HYUNDAI SANTA FE KIA CARNIVAL BYE-6109 FG15S034 N 12V 150A</t>
  </si>
  <si>
    <t>37300-2F100-KR</t>
  </si>
  <si>
    <t>687,058.82</t>
  </si>
  <si>
    <t>817,600.0</t>
  </si>
  <si>
    <t>7200</t>
  </si>
  <si>
    <t>ALTERNADOR CATERPILLAR ND IN-451  102211-3030 N 12V 110A</t>
  </si>
  <si>
    <t>ALT-12875N</t>
  </si>
  <si>
    <t>7202</t>
  </si>
  <si>
    <t>ALTERNADOR VOLSWAGEN JETTA N 12V 120A</t>
  </si>
  <si>
    <t>ALT-11210N</t>
  </si>
  <si>
    <t>7205</t>
  </si>
  <si>
    <t>ALTERNADOR RENAULT SANDERO NISSAN 1B-0034 N 12V 150A</t>
  </si>
  <si>
    <t>ALT-23884N</t>
  </si>
  <si>
    <t>7206</t>
  </si>
  <si>
    <t>ALTERNADOR MITSUBISHI VOLVO A4TA8191 N 24V 100A</t>
  </si>
  <si>
    <t>A4TA8591</t>
  </si>
  <si>
    <t>7208</t>
  </si>
  <si>
    <t>ALTERNADOR FORD ESPLORER VENEZOLANO R 12V 130A</t>
  </si>
  <si>
    <t>ALT-7795N</t>
  </si>
  <si>
    <t>7212</t>
  </si>
  <si>
    <t>ALTERNADOR CHEVROLET GRAN VITARA A2TJ0091 R 12V 115A</t>
  </si>
  <si>
    <t>ALT-11224R</t>
  </si>
  <si>
    <t>7213</t>
  </si>
  <si>
    <t>ALTERNADOR CHEVROLET CAPTIVA 15807948 N 12V 155A</t>
  </si>
  <si>
    <t>ALT-11250N</t>
  </si>
  <si>
    <t>7214</t>
  </si>
  <si>
    <t>ALTERNADOR NISSAN ZD30 TK55 23873N 12V 135A</t>
  </si>
  <si>
    <t>23100-DB00A</t>
  </si>
  <si>
    <t>596,638.66</t>
  </si>
  <si>
    <t>710,000.0</t>
  </si>
  <si>
    <t>7226</t>
  </si>
  <si>
    <t>ALTERNADOR TOYOTA MONTACARGA 101211-2130 R 12V 060A</t>
  </si>
  <si>
    <t>ALT-13485R</t>
  </si>
  <si>
    <t>7238</t>
  </si>
  <si>
    <t>ALTERNADOR CHEVROLET NPR S/BOMBA MN VK-LR250-708C 24V 60A</t>
  </si>
  <si>
    <t>ALT-HX196-60A</t>
  </si>
  <si>
    <t>7245</t>
  </si>
  <si>
    <t>MD-313937R</t>
  </si>
  <si>
    <t>7246</t>
  </si>
  <si>
    <t>ALTERNADOR MONTACARGA NISSAN 23100-FU410  N 12V 050A</t>
  </si>
  <si>
    <t>ALT-12566R</t>
  </si>
  <si>
    <t>7270</t>
  </si>
  <si>
    <t>ALTERNADOR DODGE JOURNEY JEEP 12V 115A</t>
  </si>
  <si>
    <t>ALT-11231N</t>
  </si>
  <si>
    <t>7272</t>
  </si>
  <si>
    <t>48</t>
  </si>
  <si>
    <t>JFZ-2716D1</t>
  </si>
  <si>
    <t>7273</t>
  </si>
  <si>
    <t>ALTERNADOR CHINO JAC FOTON 24V 70AMP  AVIH2070D</t>
  </si>
  <si>
    <t>AVIH-2070D</t>
  </si>
  <si>
    <t>7275</t>
  </si>
  <si>
    <t>ALTERNADOR MAZDA 323 NX FESTV MI 70A IM216 12V BA-1017</t>
  </si>
  <si>
    <t>ALT-10346R</t>
  </si>
  <si>
    <t>7278</t>
  </si>
  <si>
    <t>ALTERNADOR FORD SCAPE F-797 5F9T-10300-AC N 12V 0130A</t>
  </si>
  <si>
    <t>ALT-8442N</t>
  </si>
  <si>
    <t>7295</t>
  </si>
  <si>
    <t>ALTERNADOR CHEVROLET NPR 00/01 3C  B/GRA 12536N 12V 120A</t>
  </si>
  <si>
    <t>ALT-12335-120A-TW</t>
  </si>
  <si>
    <t>7310</t>
  </si>
  <si>
    <t>ALTERNADOR TOY0TA 4Y  MONTACARGA 50A ND 1C</t>
  </si>
  <si>
    <t>ALT-12357R</t>
  </si>
  <si>
    <t>7313</t>
  </si>
  <si>
    <t>ALTERNADOR CHEVROLET LUV DMAX ND 12V 80AMP</t>
  </si>
  <si>
    <t>104210-9031</t>
  </si>
  <si>
    <t>7320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</si>
  <si>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</si>
  <si>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</si>
  <si>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</si>
  <si>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</si>
  <si>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</si>
  <si>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</si>
  <si>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</si>
  <si>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</si>
  <si>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</si>
  <si>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</si>
  <si>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</si>
  <si>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1,480,000.0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</si>
  <si>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</si>
  <si>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</si>
  <si>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</si>
  <si>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</si>
  <si>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</si>
  <si>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</si>
  <si>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</si>
  <si>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</si>
  <si>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</si>
  <si>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</si>
  <si>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</si>
  <si>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</si>
  <si>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</si>
  <si>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</si>
  <si>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</si>
  <si>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</si>
  <si>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</si>
  <si>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</si>
  <si>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</si>
  <si>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</si>
  <si>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</si>
  <si>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</si>
  <si>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</si>
  <si>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</si>
  <si>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</si>
  <si>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</si>
  <si>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</si>
  <si>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</si>
  <si>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</si>
  <si>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</si>
  <si>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</si>
  <si>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</si>
  <si>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</si>
  <si>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 A003TJ2291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</si>
  <si>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</si>
  <si>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</si>
  <si>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</si>
  <si>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</si>
  <si>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</si>
  <si>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</si>
  <si>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7833</t>
  </si>
  <si>
    <t>ALTERNADOR HONDA ACCORD 80A 12V  ND CCW CW REG 4P</t>
  </si>
  <si>
    <t>ALT-13539N</t>
  </si>
  <si>
    <t>7834</t>
  </si>
  <si>
    <t>ALTERNADOR FIAT FIORINO SIENA 12V 65AMP</t>
  </si>
  <si>
    <t>ALT-23756N</t>
  </si>
  <si>
    <t>Totales:</t>
  </si>
  <si>
    <t>ALTERNADOR</t>
  </si>
  <si>
    <t>MERCEDES</t>
  </si>
  <si>
    <t>VOLVO</t>
  </si>
  <si>
    <t>BOSH</t>
  </si>
  <si>
    <t>N</t>
  </si>
  <si>
    <t>24V</t>
  </si>
  <si>
    <t>100A</t>
  </si>
  <si>
    <t>CHEVROLET</t>
  </si>
  <si>
    <t>NPR</t>
  </si>
  <si>
    <t>2C</t>
  </si>
  <si>
    <t>B/50cc</t>
  </si>
  <si>
    <t>IH252V</t>
  </si>
  <si>
    <t>12V</t>
  </si>
  <si>
    <t>075A</t>
  </si>
  <si>
    <t>41431</t>
  </si>
  <si>
    <t>1J-0003A</t>
  </si>
  <si>
    <t>DODGE</t>
  </si>
  <si>
    <t>JOURNEY</t>
  </si>
  <si>
    <t>JEEP</t>
  </si>
  <si>
    <t>160A</t>
  </si>
  <si>
    <t>ISUZU</t>
  </si>
  <si>
    <t>40A</t>
  </si>
  <si>
    <t>3C</t>
  </si>
  <si>
    <t>NIKKO</t>
  </si>
  <si>
    <t>CATERPILLAR</t>
  </si>
  <si>
    <t>040A</t>
  </si>
  <si>
    <t>CHINO</t>
  </si>
  <si>
    <t>JAC</t>
  </si>
  <si>
    <t>TAXI</t>
  </si>
  <si>
    <t>VELOCE</t>
  </si>
  <si>
    <t>090A</t>
  </si>
  <si>
    <t>HONDA</t>
  </si>
  <si>
    <t>CIVIC</t>
  </si>
  <si>
    <t>2007</t>
  </si>
  <si>
    <t>80AMP</t>
  </si>
  <si>
    <t>AGRALE</t>
  </si>
  <si>
    <t>HINO</t>
  </si>
  <si>
    <t>0124355001</t>
  </si>
  <si>
    <t>050A</t>
  </si>
  <si>
    <t>FORD</t>
  </si>
  <si>
    <t>CARGO</t>
  </si>
  <si>
    <t>MERCED</t>
  </si>
  <si>
    <t>TW</t>
  </si>
  <si>
    <t>90A</t>
  </si>
  <si>
    <t>SWIFT</t>
  </si>
  <si>
    <t>1.3</t>
  </si>
  <si>
    <t>SPRINT</t>
  </si>
  <si>
    <t>SUZUKI</t>
  </si>
  <si>
    <t>92/89=5025UNP</t>
  </si>
  <si>
    <t>065A</t>
  </si>
  <si>
    <t>SONIC</t>
  </si>
  <si>
    <t>AUTOMATICO</t>
  </si>
  <si>
    <t>DFM</t>
  </si>
  <si>
    <t>21514N</t>
  </si>
  <si>
    <t>FTR</t>
  </si>
  <si>
    <t>60A</t>
  </si>
  <si>
    <t>3H</t>
  </si>
  <si>
    <t>055A</t>
  </si>
  <si>
    <t>9120080113</t>
  </si>
  <si>
    <t>BO</t>
  </si>
  <si>
    <t>S/POL</t>
  </si>
  <si>
    <t>080A</t>
  </si>
  <si>
    <t>CATERPILAR</t>
  </si>
  <si>
    <t>RENAULT</t>
  </si>
  <si>
    <t>MEGAN</t>
  </si>
  <si>
    <t>I</t>
  </si>
  <si>
    <t>II</t>
  </si>
  <si>
    <t>CLIO</t>
  </si>
  <si>
    <t>1B-0011</t>
  </si>
  <si>
    <t>7700101274</t>
  </si>
  <si>
    <t>BLAZER</t>
  </si>
  <si>
    <t>88/93</t>
  </si>
  <si>
    <t>GMC</t>
  </si>
  <si>
    <t>2H</t>
  </si>
  <si>
    <t>CS130</t>
  </si>
  <si>
    <t>UNV</t>
  </si>
  <si>
    <t>105A</t>
  </si>
  <si>
    <t>7933N</t>
  </si>
  <si>
    <t>CHEYEN</t>
  </si>
  <si>
    <t>LANOS</t>
  </si>
  <si>
    <t>PUÑO</t>
  </si>
  <si>
    <t>96/00</t>
  </si>
  <si>
    <t>8206N</t>
  </si>
  <si>
    <t>FREIGHTLINER</t>
  </si>
  <si>
    <t>95A</t>
  </si>
  <si>
    <t>ND</t>
  </si>
  <si>
    <t>CAVALIER</t>
  </si>
  <si>
    <t>6C</t>
  </si>
  <si>
    <t>VOLKSWAGEN</t>
  </si>
  <si>
    <t>GOLF</t>
  </si>
  <si>
    <t>JETTA</t>
  </si>
  <si>
    <t>SKODA</t>
  </si>
  <si>
    <t>120AMP</t>
  </si>
  <si>
    <t>0124515010</t>
  </si>
  <si>
    <t>24SI</t>
  </si>
  <si>
    <t>KENWOR</t>
  </si>
  <si>
    <t>IVECO</t>
  </si>
  <si>
    <t>145A</t>
  </si>
  <si>
    <t>AVEO</t>
  </si>
  <si>
    <t>OPTRA</t>
  </si>
  <si>
    <t>1.4</t>
  </si>
  <si>
    <t>3P</t>
  </si>
  <si>
    <t>8483N</t>
  </si>
  <si>
    <t>1.8</t>
  </si>
  <si>
    <t>ZAFIRA</t>
  </si>
  <si>
    <t>8484N</t>
  </si>
  <si>
    <t>P/ACANA</t>
  </si>
  <si>
    <t>R</t>
  </si>
  <si>
    <t>7SI</t>
  </si>
  <si>
    <t>MONTACARGA</t>
  </si>
  <si>
    <t>HYSTER</t>
  </si>
  <si>
    <t>8469N</t>
  </si>
  <si>
    <t>070A</t>
  </si>
  <si>
    <t>28SI</t>
  </si>
  <si>
    <t>CUMMIS</t>
  </si>
  <si>
    <t>F/LINER</t>
  </si>
  <si>
    <t>IHC</t>
  </si>
  <si>
    <t>B/MESA</t>
  </si>
  <si>
    <t>200A</t>
  </si>
  <si>
    <t>CUNMIS</t>
  </si>
  <si>
    <t>BASE</t>
  </si>
  <si>
    <t>KODIAK</t>
  </si>
  <si>
    <t>REG</t>
  </si>
  <si>
    <t>5P</t>
  </si>
  <si>
    <t>CHANA</t>
  </si>
  <si>
    <t>70A</t>
  </si>
  <si>
    <t>AMAROK</t>
  </si>
  <si>
    <t>NEW</t>
  </si>
  <si>
    <t>140A</t>
  </si>
  <si>
    <t>CAPTIVA</t>
  </si>
  <si>
    <t>M-608</t>
  </si>
  <si>
    <t>150A</t>
  </si>
  <si>
    <t>13502585</t>
  </si>
  <si>
    <t>11453N</t>
  </si>
  <si>
    <t>150/350</t>
  </si>
  <si>
    <t>RANGER</t>
  </si>
  <si>
    <t>F17U10300AA</t>
  </si>
  <si>
    <t>39240</t>
  </si>
  <si>
    <t>7750N</t>
  </si>
  <si>
    <t>VAN</t>
  </si>
  <si>
    <t>DIESEL</t>
  </si>
  <si>
    <t>130A</t>
  </si>
  <si>
    <t>3G</t>
  </si>
  <si>
    <t>MN</t>
  </si>
  <si>
    <t>7756N</t>
  </si>
  <si>
    <t>BRONC</t>
  </si>
  <si>
    <t>EXPL</t>
  </si>
  <si>
    <t>F2TU10300AF</t>
  </si>
  <si>
    <t>EXPLORER</t>
  </si>
  <si>
    <t>F-796</t>
  </si>
  <si>
    <t>MITSUBISHI</t>
  </si>
  <si>
    <t>CANTER</t>
  </si>
  <si>
    <t>C/BOMBA</t>
  </si>
  <si>
    <t>12551N</t>
  </si>
  <si>
    <t>35AMP</t>
  </si>
  <si>
    <t>MULTIVAN</t>
  </si>
  <si>
    <t>180A</t>
  </si>
  <si>
    <t>1B-0036</t>
  </si>
  <si>
    <t>NKR</t>
  </si>
  <si>
    <t>1C</t>
  </si>
  <si>
    <t>ANCHA</t>
  </si>
  <si>
    <t>B/40CC</t>
  </si>
  <si>
    <t>TERMOKING</t>
  </si>
  <si>
    <t>120A</t>
  </si>
  <si>
    <t>NISSAN</t>
  </si>
  <si>
    <t>TD27</t>
  </si>
  <si>
    <t>IH205</t>
  </si>
  <si>
    <t>JOHN</t>
  </si>
  <si>
    <t>DEERE</t>
  </si>
  <si>
    <t>YALE</t>
  </si>
  <si>
    <t>4PK</t>
  </si>
  <si>
    <t>27060-87605</t>
  </si>
  <si>
    <t>S/BOM</t>
  </si>
  <si>
    <t>FUSO</t>
  </si>
  <si>
    <t>12602N</t>
  </si>
  <si>
    <t>FOTON</t>
  </si>
  <si>
    <t>TUNLAND</t>
  </si>
  <si>
    <t>CUMMINS</t>
  </si>
  <si>
    <t>ISF</t>
  </si>
  <si>
    <t>2.8</t>
  </si>
  <si>
    <t>DMAX</t>
  </si>
  <si>
    <t>DIES</t>
  </si>
  <si>
    <t>23993N</t>
  </si>
  <si>
    <t>TRUCK</t>
  </si>
  <si>
    <t>28V</t>
  </si>
  <si>
    <t>ESTEEM</t>
  </si>
  <si>
    <t>G/VITARA</t>
  </si>
  <si>
    <t>SUZ</t>
  </si>
  <si>
    <t>IN452</t>
  </si>
  <si>
    <t>BA-123705</t>
  </si>
  <si>
    <t>CITROEN</t>
  </si>
  <si>
    <t>YUMPER</t>
  </si>
  <si>
    <t>PEUGEO</t>
  </si>
  <si>
    <t>155A</t>
  </si>
  <si>
    <t>MAZDA</t>
  </si>
  <si>
    <t>6</t>
  </si>
  <si>
    <t>MI</t>
  </si>
  <si>
    <t>PD</t>
  </si>
  <si>
    <t>IM465</t>
  </si>
  <si>
    <t>1J-0053-7</t>
  </si>
  <si>
    <t>TOYOTA</t>
  </si>
  <si>
    <t>COROLA</t>
  </si>
  <si>
    <t>1.6</t>
  </si>
  <si>
    <t>CELICA</t>
  </si>
  <si>
    <t>80A</t>
  </si>
  <si>
    <t>OREJA</t>
  </si>
  <si>
    <t>BUSETON</t>
  </si>
  <si>
    <t>4P</t>
  </si>
  <si>
    <t>CAMION</t>
  </si>
  <si>
    <t>HYUNDAI</t>
  </si>
  <si>
    <t>KIA</t>
  </si>
  <si>
    <t>M-593</t>
  </si>
  <si>
    <t>(FR</t>
  </si>
  <si>
    <t>L</t>
  </si>
  <si>
    <t>C)</t>
  </si>
  <si>
    <t>37300-4A320</t>
  </si>
  <si>
    <t>NAVARA</t>
  </si>
  <si>
    <t>IM-547</t>
  </si>
  <si>
    <t>IMR-1281</t>
  </si>
  <si>
    <t>3</t>
  </si>
  <si>
    <t>(P</t>
  </si>
  <si>
    <t>D)</t>
  </si>
  <si>
    <t>IM-345</t>
  </si>
  <si>
    <t>90AMP</t>
  </si>
  <si>
    <t>P/FINDER</t>
  </si>
  <si>
    <t>CABSTAR</t>
  </si>
  <si>
    <t>DUSTER</t>
  </si>
  <si>
    <t>LOGAN</t>
  </si>
  <si>
    <t>1P</t>
  </si>
  <si>
    <t>110AMP</t>
  </si>
  <si>
    <t>(COM)</t>
  </si>
  <si>
    <t>8200667610</t>
  </si>
  <si>
    <t>ECO</t>
  </si>
  <si>
    <t>SPORT</t>
  </si>
  <si>
    <t>FOCUS</t>
  </si>
  <si>
    <t>SG12B094</t>
  </si>
  <si>
    <t>115A</t>
  </si>
  <si>
    <t>CHEROKEE</t>
  </si>
  <si>
    <t>DURANGO</t>
  </si>
  <si>
    <t>160AMP</t>
  </si>
  <si>
    <t>SPARK</t>
  </si>
  <si>
    <t>AL-0013</t>
  </si>
  <si>
    <t>085A</t>
  </si>
  <si>
    <t>DAEWOO</t>
  </si>
  <si>
    <t>DAMAS</t>
  </si>
  <si>
    <t>LABO=945-82686</t>
  </si>
  <si>
    <t>SONATA</t>
  </si>
  <si>
    <t>S/FE</t>
  </si>
  <si>
    <t>TUCSON</t>
  </si>
  <si>
    <t>SPORTAGE</t>
  </si>
  <si>
    <t>110A</t>
  </si>
  <si>
    <t>1K-0008N</t>
  </si>
  <si>
    <t>RAV</t>
  </si>
  <si>
    <t>IN-6300</t>
  </si>
  <si>
    <t>130AMP</t>
  </si>
  <si>
    <t>NUBIRA</t>
  </si>
  <si>
    <t>85A</t>
  </si>
  <si>
    <t>CS131</t>
  </si>
  <si>
    <t>ION</t>
  </si>
  <si>
    <t>M593</t>
  </si>
  <si>
    <t>37300-04310</t>
  </si>
  <si>
    <t>20884N</t>
  </si>
  <si>
    <t>37300-04610</t>
  </si>
  <si>
    <t>BLEIZER</t>
  </si>
  <si>
    <t>HAMER</t>
  </si>
  <si>
    <t>150AMP</t>
  </si>
  <si>
    <t>2.4</t>
  </si>
  <si>
    <t>M-540</t>
  </si>
  <si>
    <t>11707N</t>
  </si>
  <si>
    <t>21/22SI</t>
  </si>
  <si>
    <t>1D-0024</t>
  </si>
  <si>
    <t>39068</t>
  </si>
  <si>
    <t>P900</t>
  </si>
  <si>
    <t>1D-0019</t>
  </si>
  <si>
    <t>MASTER</t>
  </si>
  <si>
    <t>2.3</t>
  </si>
  <si>
    <t>185A</t>
  </si>
  <si>
    <t>TIIDA</t>
  </si>
  <si>
    <t>VERSA</t>
  </si>
  <si>
    <t>SENTRA</t>
  </si>
  <si>
    <t>QASHQAI</t>
  </si>
  <si>
    <t>KOLEOS</t>
  </si>
  <si>
    <t>2.5</t>
  </si>
  <si>
    <t>XTRAL</t>
  </si>
  <si>
    <t>11258N</t>
  </si>
  <si>
    <t>URVAN</t>
  </si>
  <si>
    <t>20066</t>
  </si>
  <si>
    <t>23100-VW211</t>
  </si>
  <si>
    <t>PICANTO</t>
  </si>
  <si>
    <t>2619398</t>
  </si>
  <si>
    <t>TWINGO</t>
  </si>
  <si>
    <t>8200065730</t>
  </si>
  <si>
    <t>21620</t>
  </si>
  <si>
    <t>KT</t>
  </si>
  <si>
    <t>23100-EL010</t>
  </si>
  <si>
    <t>8PK</t>
  </si>
  <si>
    <t>1J-0046</t>
  </si>
  <si>
    <t>DUTRO</t>
  </si>
  <si>
    <t>1J-0047</t>
  </si>
  <si>
    <t>VIGO</t>
  </si>
  <si>
    <t>FORTUNER</t>
  </si>
  <si>
    <t>B/ABIERTA</t>
  </si>
  <si>
    <t>23371</t>
  </si>
  <si>
    <t>1J-0073</t>
  </si>
  <si>
    <t>SPRINTER</t>
  </si>
  <si>
    <t>M-296</t>
  </si>
  <si>
    <t>M-591</t>
  </si>
  <si>
    <t>(LIN)</t>
  </si>
  <si>
    <t>220AMP</t>
  </si>
  <si>
    <t>KUBOTA</t>
  </si>
  <si>
    <t>45AMP</t>
  </si>
  <si>
    <t>IM-290</t>
  </si>
  <si>
    <t>BENZ</t>
  </si>
  <si>
    <t>IB-5225</t>
  </si>
  <si>
    <t>MOD</t>
  </si>
  <si>
    <t>VIEJO</t>
  </si>
  <si>
    <t>14130N</t>
  </si>
  <si>
    <t>1J-0132</t>
  </si>
  <si>
    <t>060A</t>
  </si>
  <si>
    <t>L/CRUISER</t>
  </si>
  <si>
    <t>4.5</t>
  </si>
  <si>
    <t>27060-66060N</t>
  </si>
  <si>
    <t>27060-66060R</t>
  </si>
  <si>
    <t>BA-1237</t>
  </si>
  <si>
    <t>CAMRY</t>
  </si>
  <si>
    <t>27060-28340</t>
  </si>
  <si>
    <t>F-601</t>
  </si>
  <si>
    <t>SJ410</t>
  </si>
  <si>
    <t>LJ80</t>
  </si>
  <si>
    <t>LUV</t>
  </si>
  <si>
    <t>35A=27020-31090</t>
  </si>
  <si>
    <t>LEECE</t>
  </si>
  <si>
    <t>NEVILLE</t>
  </si>
  <si>
    <t>J180</t>
  </si>
  <si>
    <t>ATOS</t>
  </si>
  <si>
    <t>SANTRO</t>
  </si>
  <si>
    <t>1K-0019N</t>
  </si>
  <si>
    <t>23910N</t>
  </si>
  <si>
    <t>41434</t>
  </si>
  <si>
    <t>99-02</t>
  </si>
  <si>
    <t>PICANT</t>
  </si>
  <si>
    <t>4</t>
  </si>
  <si>
    <t>PISTONES</t>
  </si>
  <si>
    <t>1K-0044</t>
  </si>
  <si>
    <t>20572N</t>
  </si>
  <si>
    <t>CILINDROS</t>
  </si>
  <si>
    <t>I10</t>
  </si>
  <si>
    <t>1K-0045</t>
  </si>
  <si>
    <t>ACCENT</t>
  </si>
  <si>
    <t>MANDO</t>
  </si>
  <si>
    <t>BA-1016</t>
  </si>
  <si>
    <t>VERNA</t>
  </si>
  <si>
    <t>13839N</t>
  </si>
  <si>
    <t>11011N</t>
  </si>
  <si>
    <t>1K-0048N</t>
  </si>
  <si>
    <t>CERATO</t>
  </si>
  <si>
    <t>11202</t>
  </si>
  <si>
    <t>11189N</t>
  </si>
  <si>
    <t>M-550</t>
  </si>
  <si>
    <t>I25</t>
  </si>
  <si>
    <t>SOUL</t>
  </si>
  <si>
    <t>M-611</t>
  </si>
  <si>
    <t>11471N</t>
  </si>
  <si>
    <t>SOUL,</t>
  </si>
  <si>
    <t>FR,L,C</t>
  </si>
  <si>
    <t>13209N</t>
  </si>
  <si>
    <t>HY</t>
  </si>
  <si>
    <t>H1</t>
  </si>
  <si>
    <t>STARX</t>
  </si>
  <si>
    <t>22862</t>
  </si>
  <si>
    <t>SORRENTO</t>
  </si>
  <si>
    <t>SPRTG</t>
  </si>
  <si>
    <t>C/BOM</t>
  </si>
  <si>
    <t>1K-0031N</t>
  </si>
  <si>
    <t>IX35</t>
  </si>
  <si>
    <t>GDI</t>
  </si>
  <si>
    <t>37300-2E400</t>
  </si>
  <si>
    <t>SANYON</t>
  </si>
  <si>
    <t>REXTON</t>
  </si>
  <si>
    <t>KORANDO</t>
  </si>
  <si>
    <t>VITARA</t>
  </si>
  <si>
    <t>31400-60A11</t>
  </si>
  <si>
    <t>TROOPER</t>
  </si>
  <si>
    <t>1J-0141</t>
  </si>
  <si>
    <t>75A</t>
  </si>
  <si>
    <t>GASOLINA</t>
  </si>
  <si>
    <t>CORSA</t>
  </si>
  <si>
    <t>1.5</t>
  </si>
  <si>
    <t>1.7</t>
  </si>
  <si>
    <t>70AMP</t>
  </si>
  <si>
    <t>MESA</t>
  </si>
  <si>
    <t>F042300078</t>
  </si>
  <si>
    <t>DELCO/R</t>
  </si>
  <si>
    <t>B/50CC</t>
  </si>
  <si>
    <t>IH253</t>
  </si>
  <si>
    <t>045A</t>
  </si>
  <si>
    <t>626</t>
  </si>
  <si>
    <t>MILENIO</t>
  </si>
  <si>
    <t>ALEGRO</t>
  </si>
  <si>
    <t>IM345</t>
  </si>
  <si>
    <t>P/A</t>
  </si>
  <si>
    <t>A2T-B0191N</t>
  </si>
  <si>
    <t>1J-0126</t>
  </si>
  <si>
    <t>MILENI</t>
  </si>
  <si>
    <t>13719N</t>
  </si>
  <si>
    <t>2,</t>
  </si>
  <si>
    <t>12179N</t>
  </si>
  <si>
    <t>RETRO</t>
  </si>
  <si>
    <t>HOLLAND</t>
  </si>
  <si>
    <t>1J-0110</t>
  </si>
  <si>
    <t>12744N</t>
  </si>
  <si>
    <t>1K-0033N</t>
  </si>
  <si>
    <t>37300-02600</t>
  </si>
  <si>
    <t>20624N</t>
  </si>
  <si>
    <t>M-613</t>
  </si>
  <si>
    <t>HI</t>
  </si>
  <si>
    <t>IH254</t>
  </si>
  <si>
    <t>JF2B190-175</t>
  </si>
  <si>
    <t>BA-0350</t>
  </si>
  <si>
    <t>QD32</t>
  </si>
  <si>
    <t>23100-0W802</t>
  </si>
  <si>
    <t>BA-0355</t>
  </si>
  <si>
    <t>125A</t>
  </si>
  <si>
    <t>FRR</t>
  </si>
  <si>
    <t>2P</t>
  </si>
  <si>
    <t>55A</t>
  </si>
  <si>
    <t>323</t>
  </si>
  <si>
    <t>NX</t>
  </si>
  <si>
    <t>MONTA/C</t>
  </si>
  <si>
    <t>FESTV</t>
  </si>
  <si>
    <t>IM216</t>
  </si>
  <si>
    <t>3-5</t>
  </si>
  <si>
    <t>2.2</t>
  </si>
  <si>
    <t>IM345=11008</t>
  </si>
  <si>
    <t>M563</t>
  </si>
  <si>
    <t>125AMP</t>
  </si>
  <si>
    <t>15828450</t>
  </si>
  <si>
    <t>X-TRAIL</t>
  </si>
  <si>
    <t>1J-0099</t>
  </si>
  <si>
    <t>23100-AUA0A</t>
  </si>
  <si>
    <t>CX5</t>
  </si>
  <si>
    <t>IM505</t>
  </si>
  <si>
    <t>IMR12204</t>
  </si>
  <si>
    <t>FUSION</t>
  </si>
  <si>
    <t>IM-529,</t>
  </si>
  <si>
    <t>IMR-12800</t>
  </si>
  <si>
    <t>SANTAFE</t>
  </si>
  <si>
    <t>37300-3C120</t>
  </si>
  <si>
    <t>EDGE</t>
  </si>
  <si>
    <t>IM529,</t>
  </si>
  <si>
    <t>IMR1280</t>
  </si>
  <si>
    <t>A3TJ1291</t>
  </si>
  <si>
    <t>RIO</t>
  </si>
  <si>
    <t>M544</t>
  </si>
  <si>
    <t>37300-23650</t>
  </si>
  <si>
    <t>1K-0049N</t>
  </si>
  <si>
    <t>IM-505</t>
  </si>
  <si>
    <t>1J-0147</t>
  </si>
  <si>
    <t>2,3</t>
  </si>
  <si>
    <t>IM-581</t>
  </si>
  <si>
    <t>A2TG1391</t>
  </si>
  <si>
    <t>FIESTA,</t>
  </si>
  <si>
    <t>CW,</t>
  </si>
  <si>
    <t>6-GROO</t>
  </si>
  <si>
    <t>LUCAS</t>
  </si>
  <si>
    <t>LAND</t>
  </si>
  <si>
    <t>ROVER</t>
  </si>
  <si>
    <t>DISCOVERY</t>
  </si>
  <si>
    <t>PERKINS</t>
  </si>
  <si>
    <t>12136N</t>
  </si>
  <si>
    <t>BO=DA-275H</t>
  </si>
  <si>
    <t>66021600CS</t>
  </si>
  <si>
    <t>00/01</t>
  </si>
  <si>
    <t>B/GRA</t>
  </si>
  <si>
    <t>B/85CC</t>
  </si>
  <si>
    <t>41430</t>
  </si>
  <si>
    <t>VW</t>
  </si>
  <si>
    <t>31310</t>
  </si>
  <si>
    <t>MONTAGARGA</t>
  </si>
  <si>
    <t>IN450</t>
  </si>
  <si>
    <t>P</t>
  </si>
  <si>
    <t>TOY0TA</t>
  </si>
  <si>
    <t>4Y</t>
  </si>
  <si>
    <t>IN-257</t>
  </si>
  <si>
    <t>50A</t>
  </si>
  <si>
    <t>26148</t>
  </si>
  <si>
    <t>EXCAVA</t>
  </si>
  <si>
    <t>EX200-2</t>
  </si>
  <si>
    <t>6BD1</t>
  </si>
  <si>
    <t>24VISU</t>
  </si>
  <si>
    <t>42091</t>
  </si>
  <si>
    <t>BOBCAT</t>
  </si>
  <si>
    <t>T/MANDO</t>
  </si>
  <si>
    <t>IM-6227IMR-12202</t>
  </si>
  <si>
    <t>KOMATSU</t>
  </si>
  <si>
    <t>CATERPI</t>
  </si>
  <si>
    <t>IN45</t>
  </si>
  <si>
    <t>PRADO</t>
  </si>
  <si>
    <t>JHON</t>
  </si>
  <si>
    <t>1J-0081</t>
  </si>
  <si>
    <t>VOLVO,</t>
  </si>
  <si>
    <t>59345</t>
  </si>
  <si>
    <t>1E-0009</t>
  </si>
  <si>
    <t>ZAXIS</t>
  </si>
  <si>
    <t>200-250</t>
  </si>
  <si>
    <t>IN462</t>
  </si>
  <si>
    <t>DEERER</t>
  </si>
  <si>
    <t>0124625029</t>
  </si>
  <si>
    <t>1B-0024</t>
  </si>
  <si>
    <t>ESCARABAJO</t>
  </si>
  <si>
    <t>07702</t>
  </si>
  <si>
    <t>1J-0109</t>
  </si>
  <si>
    <t>42089</t>
  </si>
  <si>
    <t>IM265</t>
  </si>
  <si>
    <t>92/89</t>
  </si>
  <si>
    <t>IN251</t>
  </si>
  <si>
    <t>65A</t>
  </si>
  <si>
    <t>BA-1207</t>
  </si>
  <si>
    <t>MONTERO</t>
  </si>
  <si>
    <t>PAJERO</t>
  </si>
  <si>
    <t>A3T-4187R</t>
  </si>
  <si>
    <t>IM831</t>
  </si>
  <si>
    <t>PC-300</t>
  </si>
  <si>
    <t>13SI</t>
  </si>
  <si>
    <t>50AMP</t>
  </si>
  <si>
    <t>8600365</t>
  </si>
  <si>
    <t>ACCORD</t>
  </si>
  <si>
    <t>CRV</t>
  </si>
  <si>
    <t>IM-851</t>
  </si>
  <si>
    <t>31100-PNC-004</t>
  </si>
  <si>
    <t>CCW</t>
  </si>
  <si>
    <t>CW</t>
  </si>
  <si>
    <t>1J-0106</t>
  </si>
  <si>
    <t>IH760/IHR7531</t>
  </si>
  <si>
    <t>GRAND</t>
  </si>
  <si>
    <t>RAM</t>
  </si>
  <si>
    <t>HILUX</t>
  </si>
  <si>
    <t>DAIHATS</t>
  </si>
  <si>
    <t>DELTA</t>
  </si>
  <si>
    <t>FEROZ</t>
  </si>
  <si>
    <t>60A=IN257</t>
  </si>
  <si>
    <t>13492</t>
  </si>
  <si>
    <t>MURANO</t>
  </si>
  <si>
    <t>MAXIMA</t>
  </si>
  <si>
    <t>1J-0066</t>
  </si>
  <si>
    <t>INFINITI</t>
  </si>
  <si>
    <t>23100-3S500</t>
  </si>
  <si>
    <t>40272</t>
  </si>
  <si>
    <t>IN-6335</t>
  </si>
  <si>
    <t>31100-RTA003</t>
  </si>
  <si>
    <t>104210-1530W</t>
  </si>
  <si>
    <t>31184</t>
  </si>
  <si>
    <t>31400-66D02</t>
  </si>
  <si>
    <t>99/02</t>
  </si>
  <si>
    <t>MONT</t>
  </si>
  <si>
    <t>=242-13786N</t>
  </si>
  <si>
    <t>242-13786</t>
  </si>
  <si>
    <t>LANCER</t>
  </si>
  <si>
    <t>ZOTYE</t>
  </si>
  <si>
    <t>NOMADA</t>
  </si>
  <si>
    <t>39330</t>
  </si>
  <si>
    <t>GRAN</t>
  </si>
  <si>
    <t>DAKOTA</t>
  </si>
  <si>
    <t>136</t>
  </si>
  <si>
    <t>AUDI</t>
  </si>
  <si>
    <t>9</t>
  </si>
  <si>
    <t>14396N</t>
  </si>
  <si>
    <t>IH238</t>
  </si>
  <si>
    <t>ADAP</t>
  </si>
  <si>
    <t>RUNNER</t>
  </si>
  <si>
    <t>85/91</t>
  </si>
  <si>
    <t>IN320</t>
  </si>
  <si>
    <t>1J-0042</t>
  </si>
  <si>
    <t>SAMURAI</t>
  </si>
  <si>
    <t>SJ413</t>
  </si>
  <si>
    <t>IN253</t>
  </si>
  <si>
    <t>31400-82611</t>
  </si>
  <si>
    <t>T1</t>
  </si>
  <si>
    <t>DAHIATSU</t>
  </si>
  <si>
    <t>21SI</t>
  </si>
  <si>
    <t>REMY</t>
  </si>
  <si>
    <t>18SI</t>
  </si>
  <si>
    <t>ATGO/ACT</t>
  </si>
  <si>
    <t>D/REMY</t>
  </si>
  <si>
    <t>PREGIO</t>
  </si>
  <si>
    <t>2.7</t>
  </si>
  <si>
    <t>B/PEQ</t>
  </si>
  <si>
    <t>59064</t>
  </si>
  <si>
    <t>OK72A-18-300</t>
  </si>
  <si>
    <t>DAILY</t>
  </si>
  <si>
    <t>TURBO</t>
  </si>
  <si>
    <t>CAPTIVA,</t>
  </si>
  <si>
    <t>FELICIA</t>
  </si>
  <si>
    <t>MT</t>
  </si>
  <si>
    <t>3000</t>
  </si>
  <si>
    <t>IB385</t>
  </si>
  <si>
    <t>FRONTIER</t>
  </si>
  <si>
    <t>XTERRA</t>
  </si>
  <si>
    <t>100AMP</t>
  </si>
  <si>
    <t>R-9</t>
  </si>
  <si>
    <t>INY</t>
  </si>
  <si>
    <t>R-19</t>
  </si>
  <si>
    <t>VA</t>
  </si>
  <si>
    <t>PEUGEOT</t>
  </si>
  <si>
    <t>206-307</t>
  </si>
  <si>
    <t>1B-0030</t>
  </si>
  <si>
    <t>11182N</t>
  </si>
  <si>
    <t>TRACKER</t>
  </si>
  <si>
    <t>L(RC)</t>
  </si>
  <si>
    <t>F(FR)</t>
  </si>
  <si>
    <t>BESTA</t>
  </si>
  <si>
    <t>AL-12372</t>
  </si>
  <si>
    <t>1B-0020</t>
  </si>
  <si>
    <t>R-SANDERO</t>
  </si>
  <si>
    <t>FIESTA</t>
  </si>
  <si>
    <t>M-529</t>
  </si>
  <si>
    <t>095A</t>
  </si>
  <si>
    <t>40182</t>
  </si>
  <si>
    <t>CARENS</t>
  </si>
  <si>
    <t>SEDONA</t>
  </si>
  <si>
    <t>1K-0021</t>
  </si>
  <si>
    <t>FIAT</t>
  </si>
  <si>
    <t>EVOLUTION</t>
  </si>
  <si>
    <t>1B-0012</t>
  </si>
  <si>
    <t>C4</t>
  </si>
  <si>
    <t>23100-VK010</t>
  </si>
  <si>
    <t>T/KODIAK</t>
  </si>
  <si>
    <t>15OAMP</t>
  </si>
  <si>
    <t>1B-0019</t>
  </si>
  <si>
    <t>4T</t>
  </si>
  <si>
    <t>A5TG0291</t>
  </si>
  <si>
    <t>A5TG2591</t>
  </si>
  <si>
    <t>N200</t>
  </si>
  <si>
    <t>N300</t>
  </si>
  <si>
    <t>39237</t>
  </si>
  <si>
    <t>1J0102</t>
  </si>
  <si>
    <t>24056N</t>
  </si>
  <si>
    <t>1B-0014</t>
  </si>
  <si>
    <t>14390N</t>
  </si>
  <si>
    <t>K488</t>
  </si>
  <si>
    <t>JFZ-276A5</t>
  </si>
  <si>
    <t>VOLKSWAGE</t>
  </si>
  <si>
    <t>CHERY</t>
  </si>
  <si>
    <t>QQ</t>
  </si>
  <si>
    <t>PASS</t>
  </si>
  <si>
    <t>YOYA</t>
  </si>
  <si>
    <t>QQ6</t>
  </si>
  <si>
    <t>4S</t>
  </si>
  <si>
    <t>8S</t>
  </si>
  <si>
    <t>20SI</t>
  </si>
  <si>
    <t>MACK</t>
  </si>
  <si>
    <t>MASEY</t>
  </si>
  <si>
    <t>BYD</t>
  </si>
  <si>
    <t>6PK</t>
  </si>
  <si>
    <t>ESPERO</t>
  </si>
  <si>
    <t>CIELO</t>
  </si>
  <si>
    <t>RACER</t>
  </si>
  <si>
    <t>TRAFFIC</t>
  </si>
  <si>
    <t>150</t>
  </si>
  <si>
    <t>AMP</t>
  </si>
  <si>
    <t>THERMO</t>
  </si>
  <si>
    <t>KING</t>
  </si>
  <si>
    <t>035A</t>
  </si>
  <si>
    <t>33SI</t>
  </si>
  <si>
    <t>PLANTA</t>
  </si>
  <si>
    <t>1D-0020</t>
  </si>
  <si>
    <t>135A</t>
  </si>
  <si>
    <t>TIPO</t>
  </si>
  <si>
    <t>DELCO</t>
  </si>
  <si>
    <t>ALT-103</t>
  </si>
  <si>
    <t>1D-0022</t>
  </si>
  <si>
    <t>39070</t>
  </si>
  <si>
    <t>VENEZOLANA</t>
  </si>
  <si>
    <t>MUSTANG</t>
  </si>
  <si>
    <t>VENTIL/INT</t>
  </si>
  <si>
    <t>DW</t>
  </si>
  <si>
    <t>MOTOROLA</t>
  </si>
  <si>
    <t>B/KODIAK</t>
  </si>
  <si>
    <t>22SI</t>
  </si>
  <si>
    <t>KENWORT</t>
  </si>
  <si>
    <t>08540</t>
  </si>
  <si>
    <t>1D-0017</t>
  </si>
  <si>
    <t>ECCOSPORT</t>
  </si>
  <si>
    <t>F-611</t>
  </si>
  <si>
    <t>AL-2N15AA</t>
  </si>
  <si>
    <t>D/REM</t>
  </si>
  <si>
    <t>13500316</t>
  </si>
  <si>
    <t>35SI</t>
  </si>
  <si>
    <t>8700016</t>
  </si>
  <si>
    <t>T/MESA</t>
  </si>
  <si>
    <t>T/CUADRADA</t>
  </si>
  <si>
    <t>1D-0065</t>
  </si>
  <si>
    <t>36SI</t>
  </si>
  <si>
    <t>PAD</t>
  </si>
  <si>
    <t>MOUNT</t>
  </si>
  <si>
    <t>TIP</t>
  </si>
  <si>
    <t>DEL</t>
  </si>
  <si>
    <t>170A</t>
  </si>
  <si>
    <t>B/MES</t>
  </si>
  <si>
    <t>40287</t>
  </si>
  <si>
    <t>11SI</t>
  </si>
  <si>
    <t>1D-0047</t>
  </si>
  <si>
    <t>REWARD</t>
  </si>
  <si>
    <t>SAIL</t>
  </si>
  <si>
    <t>CATERP</t>
  </si>
  <si>
    <t>GT</t>
  </si>
  <si>
    <t>POLEA</t>
  </si>
  <si>
    <t>12PK</t>
  </si>
  <si>
    <t>AMT-328</t>
  </si>
  <si>
    <t>27060-35160</t>
  </si>
  <si>
    <t>320B</t>
  </si>
  <si>
    <t>6D22</t>
  </si>
  <si>
    <t>115AMP</t>
  </si>
  <si>
    <t>IM-503</t>
  </si>
  <si>
    <t>9L2T-10300BA</t>
  </si>
  <si>
    <t>/BB</t>
  </si>
  <si>
    <t>S/BOMBA</t>
  </si>
  <si>
    <t>1J-0111</t>
  </si>
  <si>
    <t>2000</t>
  </si>
  <si>
    <t>ISUZ</t>
  </si>
  <si>
    <t>B/85cc</t>
  </si>
  <si>
    <t>NQR</t>
  </si>
  <si>
    <t>CON</t>
  </si>
  <si>
    <t>BOMBA</t>
  </si>
  <si>
    <t>F000LD0212</t>
  </si>
  <si>
    <t>ISUZO</t>
  </si>
  <si>
    <t>6HK1</t>
  </si>
  <si>
    <t>LT500</t>
  </si>
  <si>
    <t>1J-0032</t>
  </si>
  <si>
    <t>SANDERO</t>
  </si>
  <si>
    <t>20399N</t>
  </si>
  <si>
    <t>F000BL0408</t>
  </si>
  <si>
    <t>CH</t>
  </si>
  <si>
    <t>C/50cc</t>
  </si>
  <si>
    <t>MATSURI</t>
  </si>
  <si>
    <t>94</t>
  </si>
  <si>
    <t>MAGNETTI</t>
  </si>
  <si>
    <t>BA-0917</t>
  </si>
  <si>
    <t>1B-0029</t>
  </si>
  <si>
    <t>242-5001</t>
  </si>
  <si>
    <t>12088N</t>
  </si>
  <si>
    <t>63324407</t>
  </si>
  <si>
    <t>LRA461</t>
  </si>
  <si>
    <t>T35</t>
  </si>
  <si>
    <t>B/GDE</t>
  </si>
  <si>
    <t>MAZ</t>
  </si>
  <si>
    <t>T</t>
  </si>
  <si>
    <t>14592N</t>
  </si>
  <si>
    <t>NIS</t>
  </si>
  <si>
    <t>JAK</t>
  </si>
  <si>
    <t>GEELY</t>
  </si>
  <si>
    <t>1.3,</t>
  </si>
  <si>
    <t>84/86</t>
  </si>
  <si>
    <t>MV</t>
  </si>
  <si>
    <t>IM204</t>
  </si>
  <si>
    <t>BA-115</t>
  </si>
  <si>
    <t>B/ANCHA</t>
  </si>
  <si>
    <t>OKD11-18-300B</t>
  </si>
  <si>
    <t>BA-1116</t>
  </si>
  <si>
    <t>P/ACAN</t>
  </si>
  <si>
    <t>IM830</t>
  </si>
  <si>
    <t>GREAT</t>
  </si>
  <si>
    <t>WALL</t>
  </si>
  <si>
    <t>12647N</t>
  </si>
  <si>
    <t>SEPHIA</t>
  </si>
  <si>
    <t>02/05</t>
  </si>
  <si>
    <t>MATS</t>
  </si>
  <si>
    <t>1K-0009</t>
  </si>
  <si>
    <t>MA</t>
  </si>
  <si>
    <t>CARNIVAL</t>
  </si>
  <si>
    <t>OK554-18-300</t>
  </si>
  <si>
    <t>10SI</t>
  </si>
  <si>
    <t>C10</t>
  </si>
  <si>
    <t>C30</t>
  </si>
  <si>
    <t>1D-0001SP</t>
  </si>
  <si>
    <t>7129DP</t>
  </si>
  <si>
    <t>12SI</t>
  </si>
  <si>
    <t>B60</t>
  </si>
  <si>
    <t>C70</t>
  </si>
  <si>
    <t>105AMP</t>
  </si>
  <si>
    <t>BT-50</t>
  </si>
  <si>
    <t>37300-42357</t>
  </si>
  <si>
    <t>BYE-6020</t>
  </si>
  <si>
    <t>SANTA</t>
  </si>
  <si>
    <t>FE</t>
  </si>
  <si>
    <t>C/B</t>
  </si>
  <si>
    <t>23791N</t>
  </si>
  <si>
    <t>BYE-6033</t>
  </si>
  <si>
    <t>37300-27010</t>
  </si>
  <si>
    <t>BYE-6043</t>
  </si>
  <si>
    <t>BYE-6107</t>
  </si>
  <si>
    <t>BYE-6109</t>
  </si>
  <si>
    <t>FG15S034</t>
  </si>
  <si>
    <t>IN-451</t>
  </si>
  <si>
    <t>102211-3030</t>
  </si>
  <si>
    <t>VOLSWAGEN</t>
  </si>
  <si>
    <t>1B-0034</t>
  </si>
  <si>
    <t>A4TA8191</t>
  </si>
  <si>
    <t>ESPLORER</t>
  </si>
  <si>
    <t>VENEZOLANO</t>
  </si>
  <si>
    <t>A2TJ0091</t>
  </si>
  <si>
    <t>15807948</t>
  </si>
  <si>
    <t>ZD30</t>
  </si>
  <si>
    <t>TK55</t>
  </si>
  <si>
    <t>23873N</t>
  </si>
  <si>
    <t>101211-2130</t>
  </si>
  <si>
    <t>VK-LR250-708C</t>
  </si>
  <si>
    <t>23100-FU410</t>
  </si>
  <si>
    <t>AVIH2070D</t>
  </si>
  <si>
    <t>BA-1017</t>
  </si>
  <si>
    <t>SCAPE</t>
  </si>
  <si>
    <t>F-797</t>
  </si>
  <si>
    <t>5F9T-10300-AC</t>
  </si>
  <si>
    <t>0130A</t>
  </si>
  <si>
    <t>12536N</t>
  </si>
  <si>
    <t>TRANSPORTER</t>
  </si>
  <si>
    <t>0124655499</t>
  </si>
  <si>
    <t>31400-60A21</t>
  </si>
  <si>
    <t>8600017</t>
  </si>
  <si>
    <t>BT50</t>
  </si>
  <si>
    <t>UK01-18300-A</t>
  </si>
  <si>
    <t>IB-6056</t>
  </si>
  <si>
    <t>(LIN</t>
  </si>
  <si>
    <t>NC)</t>
  </si>
  <si>
    <t>ZAHARA</t>
  </si>
  <si>
    <t>104210-5474</t>
  </si>
  <si>
    <t>1.2</t>
  </si>
  <si>
    <t>16V</t>
  </si>
  <si>
    <t>1B-0021</t>
  </si>
  <si>
    <t>12147N</t>
  </si>
  <si>
    <t>45A</t>
  </si>
  <si>
    <t>TAHOE</t>
  </si>
  <si>
    <t>COUNTRY</t>
  </si>
  <si>
    <t>CX7</t>
  </si>
  <si>
    <t>L33G-18-300</t>
  </si>
  <si>
    <t>13341N</t>
  </si>
  <si>
    <t>ESCAPE</t>
  </si>
  <si>
    <t>IM-529</t>
  </si>
  <si>
    <t>A003TJ2291</t>
  </si>
  <si>
    <t>A671-154-02-02</t>
  </si>
  <si>
    <t>FIORINO</t>
  </si>
  <si>
    <t>SIENA</t>
  </si>
  <si>
    <t>65AMP</t>
  </si>
  <si>
    <t>24</t>
  </si>
  <si>
    <t>28</t>
  </si>
  <si>
    <t>100</t>
  </si>
  <si>
    <t>075</t>
  </si>
  <si>
    <t>160</t>
  </si>
  <si>
    <t>40</t>
  </si>
  <si>
    <t>090</t>
  </si>
  <si>
    <t>80</t>
  </si>
  <si>
    <t>050</t>
  </si>
  <si>
    <t>90</t>
  </si>
  <si>
    <t>065</t>
  </si>
  <si>
    <t>60</t>
  </si>
  <si>
    <t>055</t>
  </si>
  <si>
    <t>080</t>
  </si>
  <si>
    <t>105</t>
  </si>
  <si>
    <t>95</t>
  </si>
  <si>
    <t>120</t>
  </si>
  <si>
    <t>145</t>
  </si>
  <si>
    <t>070</t>
  </si>
  <si>
    <t>200</t>
  </si>
  <si>
    <t>70</t>
  </si>
  <si>
    <t>140</t>
  </si>
  <si>
    <t>130</t>
  </si>
  <si>
    <t>180</t>
  </si>
  <si>
    <t>040</t>
  </si>
  <si>
    <t>155</t>
  </si>
  <si>
    <t>110</t>
  </si>
  <si>
    <t>115</t>
  </si>
  <si>
    <t>085</t>
  </si>
  <si>
    <t>85</t>
  </si>
  <si>
    <t>185</t>
  </si>
  <si>
    <t>220</t>
  </si>
  <si>
    <t>45</t>
  </si>
  <si>
    <t>060</t>
  </si>
  <si>
    <t>75</t>
  </si>
  <si>
    <t>045</t>
  </si>
  <si>
    <t>125</t>
  </si>
  <si>
    <t>55</t>
  </si>
  <si>
    <t>50</t>
  </si>
  <si>
    <t>65</t>
  </si>
  <si>
    <t>095</t>
  </si>
  <si>
    <t>035</t>
  </si>
  <si>
    <t>135</t>
  </si>
  <si>
    <t>170</t>
  </si>
  <si>
    <t>ALTERNADOR CHEVROLET SWIFT 1.3 SPRINT SUZUKI 92/89=5025UNP N</t>
  </si>
  <si>
    <t>ALTERNADOR CHEVROLET BLAZER 88/93 GMC 2H CS130 UNV N 12V</t>
  </si>
  <si>
    <t>ALTERNADOR CHEVROLET BLAZER 88/93 GMC 3H CS130 7933N 12V</t>
  </si>
  <si>
    <t>ALTERNADOR CHEVROLET BLAZER CHEYEN 3H LANOS PUÑO 7933N 12V</t>
  </si>
  <si>
    <t>ALTERNADOR CHEVROLET AVEO OPTRA 1.4 3P 8483N N 12V 105A</t>
  </si>
  <si>
    <t>ALTERNADOR CHEVROLET CAPTIVA 3.0 M-608 N 12V 150A 13502585</t>
  </si>
  <si>
    <t>ALTERNADOR FORD 150/350 RANGER B/MESA F17U10300AA 39240 95A</t>
  </si>
  <si>
    <t>ALTERNADOR CHEVROLET NKR 1C ANCHA B/40CC TERMOKING N 12V</t>
  </si>
  <si>
    <t>ALTERNADOR CHEVROLET NKR 1C N 12V 70A</t>
  </si>
  <si>
    <t>ALTERNADOR MONTACARGA JOHN DEERE YALE 4PK 27060-87605 N 12V</t>
  </si>
  <si>
    <t>ALTERNADOR CHEVROLET DMAX DIES ISUZU B/50cc N 12V 080A</t>
  </si>
  <si>
    <t>ALTERNADOR CITROEN YUMPER PEUGEO BOSCH R 12V 155A</t>
  </si>
  <si>
    <t>ALTERNADOR NISSAN NAVARA IM-547 IMR-1281 N 12V 150A</t>
  </si>
  <si>
    <t>ALTERNADOR MAZDA 3 (P D) IM-345 12V 90AMP</t>
  </si>
  <si>
    <t>ALTERNADOR RENAULT DUSTER LOGAN 1P 12V 110AMP (COM)</t>
  </si>
  <si>
    <t>ALTERNADOR KIA ION 4P M593 N 12V 070A 37300-04310 20884N</t>
  </si>
  <si>
    <t>ALTERNADOR CHEVROLET CAPTIVA 2.4 M-540 11707N 12V 130A</t>
  </si>
  <si>
    <t>ALTERNADOR RENAULT CLIO TWINGO 8200065730 21620 KT N 12V</t>
  </si>
  <si>
    <t>ALTERNADOR TOYOTA VIGO FORTUNER B/ABIERTA N 12V 090A 23371</t>
  </si>
  <si>
    <t>ALTERNADOR KUBOTA 12V 45AMP IM-290</t>
  </si>
  <si>
    <t>ALTERNADOR HYUNDAI ATOS SANTRO 1K-0019N 23910N 41434 12V</t>
  </si>
  <si>
    <t>ALTERNADOR KIA PICANTO ION 4 PISTONES 1K-0044 20572N N 12V</t>
  </si>
  <si>
    <t>ALTERNADOR KIA CERATO 2.0 NEW SPORTAGE 11202 11189N M-550</t>
  </si>
  <si>
    <t>ALTERNADOR HYUNDAI I25 KIA CERATO SOUL 1.6 M-611 11471N 12V</t>
  </si>
  <si>
    <t>ALTERNADOR HYUNDAI IX35 2.0 GDI TUCSON SPORTAGE 37300-2E400</t>
  </si>
  <si>
    <t>ALTERNADOR CHEVROLET LUV 2.3 TROOPER ND 1J-0141 12V 75A</t>
  </si>
  <si>
    <t>ALTERNADOR 28SI CUMMIS F/LINER BASE MESA F042300078 N 12V</t>
  </si>
  <si>
    <t>ALTERNADOR MAZDA 626 MILENIO ALEGRO 115A PD IM345 P/A</t>
  </si>
  <si>
    <t>ALTERNADOR MAZDA 626 MILENI ALEGRO PD IM345 P/A 13719N R 12V</t>
  </si>
  <si>
    <t>ALTERNADOR MITSUBISHI RETRO NEW HOLLAND ISUZU 1J-0110 12744N</t>
  </si>
  <si>
    <t>ALTERNADOR HYUNDAI I10 1K-0033N 37300-02600 20624N M-613 12V</t>
  </si>
  <si>
    <t>ALTERNADOR CHINO JAC HI 1C B/50CC IH254 JF2B190-175 BA-0350</t>
  </si>
  <si>
    <t>ALTERNADOR CHEVROLET CAPTIVA M-540 125AMP 12V 15828450</t>
  </si>
  <si>
    <t>ALTERNADOR MAZDA 2,3 IM-581 PD A2TG1391 12V 090A</t>
  </si>
  <si>
    <t>ALTERNADOR TOY0TA 4Y MONTACARGA IN-257 12V 50A ND 1C 26148</t>
  </si>
  <si>
    <t>ALTERNADOR FORD FOCUS 12V 150AMP IM-6227IMR-12202</t>
  </si>
  <si>
    <t>ALTERNADOR MITSUBISHI CATERPILLAR RETRO ZAXIS 200-250 N 24V</t>
  </si>
  <si>
    <t>ALTERNADOR JOHN DEERER 0124625029 N 12V 200A 1B-0024</t>
  </si>
  <si>
    <t>ALTERNADOR CHEVROLET SWIFT 1.3 SPRINT SUZ 92/89 IN251 N 12V</t>
  </si>
  <si>
    <t>ALTERNADOR CHEVROLET SWIFT 1.3 92/89 BA-1207</t>
  </si>
  <si>
    <t>ALTERNADOR KOMATSU PC-300 24V 40A</t>
  </si>
  <si>
    <t>ALTERNADOR HONDA ACCORD CRV IM-851 31100-PNC-004 90A 12V ND</t>
  </si>
  <si>
    <t>ALTERNADOR NISSAN SENTRA HI 1J-0106 N 12V 080A</t>
  </si>
  <si>
    <t>ALTERNADOR NISSAN MURANO MAXIMA HI 12V 110A</t>
  </si>
  <si>
    <t>ALTERNADOR NISSAN SENTRA 23100-3S500 N 40272 12V 080A</t>
  </si>
  <si>
    <t>ALTERNADOR NISSAN SENTRA 1.6 39330 N 12V 100A</t>
  </si>
  <si>
    <t>ALTERNADOR CHEVROLET LUV 2300 AL-12372 1B-0020 12V 120A</t>
  </si>
  <si>
    <t>ALTERNADOR CHEVROLET VITARA REG 4T A5TG0291 A5TG2591 N 12V</t>
  </si>
  <si>
    <t>ALTERNADOR VOLKSWAGEN GOLF JETTA 39237 N 12V 090A</t>
  </si>
  <si>
    <t>ALTERNADOR 22SI KODIAK KENWORT B/MESA 08540 1D-0017 N 12V</t>
  </si>
  <si>
    <t>ALTERNADOR LEECE NEVILLE 12V 160A PLANTA B/MESA</t>
  </si>
  <si>
    <t>ALTERNADOR FORD ECCOSPORT F-611 AL-2N15AA N 12V 090A</t>
  </si>
  <si>
    <t>ALTERNADOR CHEVROLET CAPTIVA 13500316 M-608 12V 130A</t>
  </si>
  <si>
    <t>ALTERNADOR MITSUBISHI CATERPILLAR POLEA 12PK AMT-328 24V</t>
  </si>
  <si>
    <t>ALTERNADOR MITSUBISHI CATERPILLAR 320B 6D22 SUZUKI N 24V</t>
  </si>
  <si>
    <t>ALTERNADOR RENAULT DUSTER SANDERO LOGAN 20399N F000BL0408</t>
  </si>
  <si>
    <t>ALTERNADOR CHEVROLET LUV 2.2 2.3 1B-0029 242-5001 N 12V 70A</t>
  </si>
  <si>
    <t>ALTERNADOR LUCAS 12088N 63324407 N 12V 065A LRA461</t>
  </si>
  <si>
    <t>ALTERNADOR CHEVROLET NPR NKR MAZ T S/BOM N 12V 070A 14592N</t>
  </si>
  <si>
    <t>ALTERNADOR MAZDA 323 84/86 1C BA-115 B/ANCHA 12V 75A</t>
  </si>
  <si>
    <t>ALTERNADOR MAZDA 323 MI 75A MN IM216 BA-1116</t>
  </si>
  <si>
    <t>ALTERNADOR HYUNDAI SANTA FE SORRENTO C/B 23791N BYE-6033 N</t>
  </si>
  <si>
    <t>ALTERNADOR KIA CARENS PREGIO SEDONA HY TUCSON 37300-27010</t>
  </si>
  <si>
    <t>ALTERNADOR HYUNDAI SANTA FE KIA CARNIVAL BYE-6109 FG15S034 N</t>
  </si>
  <si>
    <t>ALTERNADOR CATERPILLAR ND IN-451 102211-3030 N 12V 110A</t>
  </si>
  <si>
    <t>ALTERNADOR MONTACARGA NISSAN 23100-FU410 N 12V 050A</t>
  </si>
  <si>
    <t>ALTERNADOR CHINO JAC FOTON 24V 70AMP AVIH2070D</t>
  </si>
  <si>
    <t>ALTERNADOR CHEVROLET NPR 00/01 3C B/GRA 12536N 12V 120A</t>
  </si>
  <si>
    <t>ALTERNADOR TOY0TA 4Y MONTACARGA 50A ND 1C</t>
  </si>
  <si>
    <t>ALTERNADOR VOLVO BASE J180 T/KODIAK 1B-0019 0124655499 24V</t>
  </si>
  <si>
    <t>ALTERNADOR 24SI FREIGHTLINER KENWOR 24V 145A 8600017</t>
  </si>
  <si>
    <t>ALTERNADOR FORD RANGER MAZDA BT50 12V 110AMP UK01-18300-A</t>
  </si>
  <si>
    <t>ALTERNADOR JEEP CHEROKEE 12V 90AMP 13341N</t>
  </si>
  <si>
    <t>ALTERNADOR FORD ESCAPE FOCUS 12V 150AMP IMR-12800 IM-529</t>
  </si>
  <si>
    <t>ALTERNADOR MERCEDES SANYON REXTON KORANDO A671-154-02-02 N</t>
  </si>
  <si>
    <t>ALTERNADOR HONDA ACCORD 80A 12V ND CCW CW REG 4P</t>
  </si>
  <si>
    <t>11440N</t>
  </si>
  <si>
    <t>11176N</t>
  </si>
  <si>
    <t>13500577</t>
  </si>
  <si>
    <t>23751N</t>
  </si>
  <si>
    <t>12670N</t>
  </si>
  <si>
    <t>13853N</t>
  </si>
  <si>
    <t>12594N</t>
  </si>
  <si>
    <t>8308N</t>
  </si>
  <si>
    <t>11388N</t>
  </si>
  <si>
    <t>13414N</t>
  </si>
  <si>
    <t>5266781</t>
  </si>
  <si>
    <t>23925N</t>
  </si>
  <si>
    <t>11005N</t>
  </si>
  <si>
    <t>13482N</t>
  </si>
  <si>
    <t>20957</t>
  </si>
  <si>
    <t>23875N</t>
  </si>
  <si>
    <t>24108N</t>
  </si>
  <si>
    <t>11240R</t>
  </si>
  <si>
    <t>11020N</t>
  </si>
  <si>
    <t>11324R</t>
  </si>
  <si>
    <t>8540N</t>
  </si>
  <si>
    <t>21621N</t>
  </si>
  <si>
    <t>11343N</t>
  </si>
  <si>
    <t>13356N</t>
  </si>
  <si>
    <t>20091N</t>
  </si>
  <si>
    <t>12363N</t>
  </si>
  <si>
    <t>11042N</t>
  </si>
  <si>
    <t>13497N</t>
  </si>
  <si>
    <t>13497R</t>
  </si>
  <si>
    <t>23996N</t>
  </si>
  <si>
    <t>8447N</t>
  </si>
  <si>
    <t>8329R</t>
  </si>
  <si>
    <t>11700N</t>
  </si>
  <si>
    <t>13316N</t>
  </si>
  <si>
    <t>12198R</t>
  </si>
  <si>
    <t>0014</t>
  </si>
  <si>
    <t>0355</t>
  </si>
  <si>
    <t>069</t>
  </si>
  <si>
    <t>10346N</t>
  </si>
  <si>
    <t>11008N</t>
  </si>
  <si>
    <t>11012N</t>
  </si>
  <si>
    <t>11265N</t>
  </si>
  <si>
    <t>11163N</t>
  </si>
  <si>
    <t>11168N</t>
  </si>
  <si>
    <t>11173N</t>
  </si>
  <si>
    <t>11191N</t>
  </si>
  <si>
    <t>11273N</t>
  </si>
  <si>
    <t>11311N</t>
  </si>
  <si>
    <t>11342N</t>
  </si>
  <si>
    <t>11578N</t>
  </si>
  <si>
    <t>11619N</t>
  </si>
  <si>
    <t>12094N</t>
  </si>
  <si>
    <t>12138N</t>
  </si>
  <si>
    <t>12198N</t>
  </si>
  <si>
    <t>12295-12V</t>
  </si>
  <si>
    <t>12295-24V</t>
  </si>
  <si>
    <t>12335-130A</t>
  </si>
  <si>
    <t>12335N-90A</t>
  </si>
  <si>
    <t>12342N</t>
  </si>
  <si>
    <t>12346N</t>
  </si>
  <si>
    <t>12357N</t>
  </si>
  <si>
    <t>12360N</t>
  </si>
  <si>
    <t>12384N</t>
  </si>
  <si>
    <t>12390N</t>
  </si>
  <si>
    <t>11272N</t>
  </si>
  <si>
    <t>12566N</t>
  </si>
  <si>
    <t>12651N</t>
  </si>
  <si>
    <t>12660N</t>
  </si>
  <si>
    <t>12715N</t>
  </si>
  <si>
    <t>12738N</t>
  </si>
  <si>
    <t>12739N</t>
  </si>
  <si>
    <t>12748N</t>
  </si>
  <si>
    <t>12775N</t>
  </si>
  <si>
    <t>12795N</t>
  </si>
  <si>
    <t>12814N</t>
  </si>
  <si>
    <t>13080N</t>
  </si>
  <si>
    <t>13196N</t>
  </si>
  <si>
    <t>13214R</t>
  </si>
  <si>
    <t>13257R</t>
  </si>
  <si>
    <t>13289N</t>
  </si>
  <si>
    <t>8730N</t>
  </si>
  <si>
    <t>13966R</t>
  </si>
  <si>
    <t>13329N</t>
  </si>
  <si>
    <t>13334N</t>
  </si>
  <si>
    <t>13336R</t>
  </si>
  <si>
    <t>13311R</t>
  </si>
  <si>
    <t>134</t>
  </si>
  <si>
    <t>13485N</t>
  </si>
  <si>
    <t>13409N</t>
  </si>
  <si>
    <t>13558N</t>
  </si>
  <si>
    <t>13613N</t>
  </si>
  <si>
    <t>13657-R</t>
  </si>
  <si>
    <t>13657N</t>
  </si>
  <si>
    <t>13713N</t>
  </si>
  <si>
    <t>13724N</t>
  </si>
  <si>
    <t>13728N</t>
  </si>
  <si>
    <t>13980N</t>
  </si>
  <si>
    <t>11604N</t>
  </si>
  <si>
    <t>13780N</t>
  </si>
  <si>
    <t>13782N</t>
  </si>
  <si>
    <t>13786N</t>
  </si>
  <si>
    <t>13786R</t>
  </si>
  <si>
    <t>13787R</t>
  </si>
  <si>
    <t>13827N</t>
  </si>
  <si>
    <t>13873N</t>
  </si>
  <si>
    <t>14970N</t>
  </si>
  <si>
    <t>14661R</t>
  </si>
  <si>
    <t>14668N</t>
  </si>
  <si>
    <t>14684N</t>
  </si>
  <si>
    <t>14684R</t>
  </si>
  <si>
    <t>1277A720</t>
  </si>
  <si>
    <t>15227N</t>
  </si>
  <si>
    <t>19020310</t>
  </si>
  <si>
    <t>19070016</t>
  </si>
  <si>
    <t>1922</t>
  </si>
  <si>
    <t>196B</t>
  </si>
  <si>
    <t>20089N</t>
  </si>
  <si>
    <t>2030-TW</t>
  </si>
  <si>
    <t>20962N</t>
  </si>
  <si>
    <t>21444N</t>
  </si>
  <si>
    <t>21513N</t>
  </si>
  <si>
    <t>22004</t>
  </si>
  <si>
    <t>22254</t>
  </si>
  <si>
    <t>2231N</t>
  </si>
  <si>
    <t>22990N</t>
  </si>
  <si>
    <t>23065N</t>
  </si>
  <si>
    <t>23098N</t>
  </si>
  <si>
    <t>23227N</t>
  </si>
  <si>
    <t>23295N</t>
  </si>
  <si>
    <t>23301N</t>
  </si>
  <si>
    <t>23308N</t>
  </si>
  <si>
    <t>23877-150A</t>
  </si>
  <si>
    <t>23877N</t>
  </si>
  <si>
    <t>23955N</t>
  </si>
  <si>
    <t>24538278</t>
  </si>
  <si>
    <t>2520N</t>
  </si>
  <si>
    <t>2520R</t>
  </si>
  <si>
    <t>27062N</t>
  </si>
  <si>
    <t>12389-24V</t>
  </si>
  <si>
    <t>275B</t>
  </si>
  <si>
    <t>276A5</t>
  </si>
  <si>
    <t>13852N</t>
  </si>
  <si>
    <t>3701110BB</t>
  </si>
  <si>
    <t>370150</t>
  </si>
  <si>
    <t>7297N</t>
  </si>
  <si>
    <t>7858N</t>
  </si>
  <si>
    <t>7972N</t>
  </si>
  <si>
    <t>80266</t>
  </si>
  <si>
    <t>8047</t>
  </si>
  <si>
    <t>8050N</t>
  </si>
  <si>
    <t>8083N</t>
  </si>
  <si>
    <t>8085N</t>
  </si>
  <si>
    <t>8112R</t>
  </si>
  <si>
    <t>8239N</t>
  </si>
  <si>
    <t>8239R</t>
  </si>
  <si>
    <t>8252R</t>
  </si>
  <si>
    <t>8280N</t>
  </si>
  <si>
    <t>8280R</t>
  </si>
  <si>
    <t>8329N</t>
  </si>
  <si>
    <t>8361N</t>
  </si>
  <si>
    <t>8410N</t>
  </si>
  <si>
    <t>8440N</t>
  </si>
  <si>
    <t>8600016</t>
  </si>
  <si>
    <t>8600310</t>
  </si>
  <si>
    <t>11652N</t>
  </si>
  <si>
    <t>8607N</t>
  </si>
  <si>
    <t>8609N</t>
  </si>
  <si>
    <t>8700047N</t>
  </si>
  <si>
    <t>8706N</t>
  </si>
  <si>
    <t>8719N</t>
  </si>
  <si>
    <t>8721N</t>
  </si>
  <si>
    <t>8980</t>
  </si>
  <si>
    <t>9070278</t>
  </si>
  <si>
    <t>93083</t>
  </si>
  <si>
    <t>96843503</t>
  </si>
  <si>
    <t>13409R</t>
  </si>
  <si>
    <t>11275N</t>
  </si>
  <si>
    <t>HX196-80A</t>
  </si>
  <si>
    <t>LR250-80A</t>
  </si>
  <si>
    <t>LR250-60A</t>
  </si>
  <si>
    <t>MIO</t>
  </si>
  <si>
    <t>TG9B053R</t>
  </si>
  <si>
    <t>TG9B053N</t>
  </si>
  <si>
    <t>V055H-BO</t>
  </si>
  <si>
    <t>23203N</t>
  </si>
  <si>
    <t>23098-R</t>
  </si>
  <si>
    <t>12875N</t>
  </si>
  <si>
    <t>11210N</t>
  </si>
  <si>
    <t>23884N</t>
  </si>
  <si>
    <t>7795N</t>
  </si>
  <si>
    <t>11224R</t>
  </si>
  <si>
    <t>11250N</t>
  </si>
  <si>
    <t>13485R</t>
  </si>
  <si>
    <t>HX196-60A</t>
  </si>
  <si>
    <t>12566R</t>
  </si>
  <si>
    <t>11231N</t>
  </si>
  <si>
    <t>10346R</t>
  </si>
  <si>
    <t>8442N</t>
  </si>
  <si>
    <t>12335-120A-TW</t>
  </si>
  <si>
    <t>12357R</t>
  </si>
  <si>
    <t>11714N</t>
  </si>
  <si>
    <t>23877-BOSCH</t>
  </si>
  <si>
    <t>13257N</t>
  </si>
  <si>
    <t>13336N</t>
  </si>
  <si>
    <t>8709N</t>
  </si>
  <si>
    <t>20499N</t>
  </si>
  <si>
    <t>8302-6G2</t>
  </si>
  <si>
    <t>11319</t>
  </si>
  <si>
    <t>11330N</t>
  </si>
  <si>
    <t>13354</t>
  </si>
  <si>
    <t>11270N</t>
  </si>
  <si>
    <t>13787N</t>
  </si>
  <si>
    <t>21011N</t>
  </si>
  <si>
    <t>13539N</t>
  </si>
  <si>
    <t>23756N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</si>
  <si>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VOLVO BOSH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</si>
  <si>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B/50cc IH252V N 12V 075A_x000D_
Referencia: Seleccionar_x000D_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</si>
  <si>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41431 1J-0003A N 12V 075A_x000D_
Referencia: Seleccionar_x000D_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</si>
  <si>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DODGE JOURNEY JEEP 12V 160A_x000D_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</si>
  <si>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ISUZU 40A 24V 3C NIKKO CATERPILLAR N 24V 040A_x000D_
Referencia: Seleccionar_x000D_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</si>
  <si>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TAXI VELOCE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</si>
  <si>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CIVIC 2007 12V 80AMP_x000D_
Referencia: Seleccionar_x000D_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</si>
  <si>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HINO MERCEDES BOSCH 0124355001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</si>
  <si>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MERCED BOSCH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</si>
  <si>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MERCED BOSCH TW N 12V 90A_x000D_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</si>
  <si>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SPRINT SUZUKI 92/89=5025UNP N 12V 065A_x000D_
Referencia: Seleccionar_x000D_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</si>
  <si>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SONIC AUTOMATICO DFM 21514N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</si>
  <si>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FTR N 24V 60A_x000D_
Referencia: Seleccionar_x000D_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</si>
  <si>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3H BOSCH N 12V 055A 9120080113_x000D_
Referencia: Seleccionar_x000D_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</si>
  <si>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BO S/POL 3H N 24V 080A_x000D_
Referencia: Seleccionar_x000D_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</si>
  <si>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CATERPILAR BO N 24V 055A_x000D_
Referencia: Seleccionar_x000D_
Voltaje: 24_x000D_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</si>
  <si>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MEGAN I II CLIO 1B-0011 7700101274_x000D_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</si>
  <si>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88/93 GMC 2H CS130 UNV 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</si>
  <si>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88/93 GMC 3H CS130 7933N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</si>
  <si>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CHEYEN 3H LANOS PUÑO 7933N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</si>
  <si>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96/00 GMC 2H 8206N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</si>
  <si>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CATERPILLAR FREIGHTLINER 24V 95A ND_x000D_
Referencia: Seleccionar_x000D_
Voltaje: 24_x000D_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</si>
  <si>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CAVALIER CS130 6C 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</si>
  <si>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JETTA SKODA 12V 120AMP 0124515010_x000D_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</si>
  <si>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IVECO N 12V 145A_x000D_
Referencia: Seleccionar_x000D_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</si>
  <si>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AVEO OPTRA 1.4  3P 8483N  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</si>
  <si>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8484N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</si>
  <si>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P/ACANA R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</si>
  <si>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7SI MONTACARGA HYSTER 8469N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</si>
  <si>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CUMMIS F/LINER IHC B/MESA N 12V 200A_x000D_
Referencia: Seleccionar_x000D_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</si>
  <si>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CUNMIS F/LINER BASE KODIAK N 12V 200A_x000D_
Referencia: Seleccionar_x000D_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</si>
  <si>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BOSCH REG 5P 24V 090A_x000D_
Referencia: Seleccionar_x000D_
Voltaje: 24_x000D_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</si>
  <si>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CHANA 70A 12V_x000D_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</si>
  <si>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AMAROK NEW N 12V 140A_x000D_
Referencia: Seleccionar_x000D_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</si>
  <si>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3.0  M-608 N 12V 150A  13502585 11453N_x000D_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</si>
  <si>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150/350 RANGER B/MESA F17U10300AA 39240 95A 7750N_x000D_
Referencia: Seleccionar_x000D_
Voltaje: 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</si>
  <si>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VAN DIESEL 130A 12V 3G MN BASE PUÑO 7756N_x000D_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</si>
  <si>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150/350 BRONC EXPL 130A F2TU10300AF B/MESA_x000D_
Referencia: Seleccionar_x000D_
Voltaje: 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</si>
  <si>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F-796 N 12V_x000D_
Referencia: Seleccionar_x000D_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</si>
  <si>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C/BOMBA 12551N 24V 35AMP_x000D_
Referencia: Seleccionar_x000D_
Voltaje: 24_x000D_
Amperios: 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</si>
  <si>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3.0 12V 120AMP_x000D_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</si>
  <si>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MULTIVAN 12V 180A 1B-0036_x000D_
Referencia: Seleccionar_x000D_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</si>
  <si>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ANCHA B/40CC TERMOKING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</si>
  <si>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 N 12V 70A_x000D_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</si>
  <si>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TD27 NPR 2C B/50cc IH205 N 12V 075A_x000D_
Referencia: Seleccionar_x000D_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</si>
  <si>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JOHN DEERE YALE 4PK 27060-87605 N 12V 050A_x000D_
Referencia: Seleccionar_x000D_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</si>
  <si>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S/BOM FUSO 12602N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</si>
  <si>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TUNLAND CUMMINS ISF 2.8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</si>
  <si>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DIES ISUZU B/50cc N 12V 080A 23993N_x000D_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</si>
  <si>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TRUCK S/BOM PRESTOLITE N 28V 040A_x000D_
Referencia: Seleccionar_x000D_
Voltaje: 28_x000D_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</si>
  <si>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ESTEEM G/VITARA SUZ IN452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</si>
  <si>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ESTEEM BA-123705 IN452 R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</si>
  <si>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CITROEN  YUMPER PEUGEO BOSCH R 12V 155A_x000D_
Referencia: Seleccionar_x000D_
Voltaje: 12_x000D_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</si>
  <si>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90A MI PD IM465 1J-0053-7_x000D_
Referencia: Seleccionar_x000D_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</si>
  <si>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OREJA_x000D_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</si>
  <si>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BUSETON 4P CAMION N 24V 080A_x000D_
Referencia: Seleccionar_x000D_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</si>
  <si>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KIA M-593 (FR L C) 37300-4A320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</si>
  <si>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ANCHA B/40CC TW N 12V 80A_x000D_
Referencia: Seleccionar_x000D_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</si>
  <si>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NAVARA IM-547  IMR-1281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</si>
  <si>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  (P D) IM-345 12V 90AMP_x000D_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</si>
  <si>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NAVARA P/FINDER CABSTAR 3P N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</si>
  <si>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LOGAN 1P 12V 110AMP (COM)  8200667610_x000D_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</si>
  <si>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ECO SPORT FOCUS SG12B094 12V 115A_x000D_
Referencia: Seleccionar_x000D_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</si>
  <si>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CHEROKEE DODGE DURANGO 12V 160AMP_x000D_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</si>
  <si>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AL-0013 N 12V 085A_x000D_
Referencia: Seleccionar_x000D_
Voltaje: 12_x000D_
Amperios: 085_x000D_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</si>
  <si>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DAEWOO DAMAS LABO=945-82686 R_x000D_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</si>
  <si>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SONATA S/FE TUCSON SPORTAGE 110A 1K-0008N_x000D_
Referencia: Seleccionar_x000D_
Voltaje: 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</si>
  <si>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RAV JL IN-6300 12V 130AMP_x000D_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</si>
  <si>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NUBIRA 2.0 85A CS131 NEW_x000D_
Referencia: Seleccionar_x000D_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</si>
  <si>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4P M593 N 12V 070A 37300-04310 20884N  37300-04610_x000D_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</si>
  <si>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BLEIZER CHEYEN HAMER 12V 150AMP_x000D_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</si>
  <si>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2.4  M-540 11707N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</si>
  <si>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21/22SI KODIAK VOLVO 1D-0024 39068 N 24V 70A_x000D_
Referencia: Seleccionar_x000D_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</si>
  <si>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21/22SI KODIAK P900 1D-0019 12V 160A_x000D_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</si>
  <si>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MASTER 2.3 N 12V 185A_x000D_
Referencia: Seleccionar_x000D_
Voltaje: 12_x000D_
Amperios: 185_x000D_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</si>
  <si>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TIIDA VERSA SENTRA QASHQAI 12V 90AMP_x000D_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</si>
  <si>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KOLEOS 2.5 NISSAN XTRAL N 12V 110A 11258N_x000D_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</si>
  <si>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URVAN N 12V 080A 20066 23100-VW211_x000D_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</si>
  <si>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PICANTO ION 2619398 12V 70A_x000D_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</si>
  <si>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CLIO TWINGO 8200065730 21620 KT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</si>
  <si>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TIIDA VERSA QASHQAI 23100-EL010 12V 110AMP_x000D_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</si>
  <si>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12V 120AMP 8PK_x000D_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</si>
  <si>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BUSETON 4P 2C S/BOM 1J-0046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</si>
  <si>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DUTRO 1J-0047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</si>
  <si>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FORTUNER B/ABIERTA N 12V 090A 23371 1J-0073_x000D_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</si>
  <si>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PUÑO_x000D_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</si>
  <si>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3.0 FORTUNER ND DIESEL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</si>
  <si>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M-296 M-591 (LIN) 12V 220AMP_x000D_
Referencia: Seleccionar_x000D_
Voltaje: 12_x000D_
Amperios: 220_x000D_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</si>
  <si>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12V 45AMP  IM-290_x000D_
Referencia: Seleccionar_x000D_
Voltaje: 12_x000D_
Amperios: 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</si>
  <si>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BENZ IB-5225 12V 150AMP_x000D_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</si>
  <si>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RAV N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</si>
  <si>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MOD VIEJO 14130N 1J-0132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</si>
  <si>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L/CRUISER 4.5 80A 2C 27060-66060N_x000D_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</si>
  <si>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L/CRUISER 4.5 27060-66060R BA-1237 12V 80A_x000D_
Referencia: Seleccionar_x000D_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</si>
  <si>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FORTUNER CAMRY 27060-28340 N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</si>
  <si>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FOCUS F-601 12V 110AMP_x000D_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</si>
  <si>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SUZUKI SJ410 LJ80 LUV 1.6 35A=27020-31090_x000D_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</si>
  <si>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12V 160AMP J180_x000D_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</si>
  <si>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ATOS SANTRO 1K-0019N 23910N 41434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</si>
  <si>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ATOS SANTRO 99-02 PICANT 70A_x000D_
Referencia: Seleccionar_x000D_
Voltaje: 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</si>
  <si>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PICANTO ION 4 PISTONES 1K-0044 20572N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</si>
  <si>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3 CILINDROS_x000D_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</si>
  <si>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I10 KIA ION 1K-0045 12V 70A_x000D_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</si>
  <si>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12V 100A MANDO BA-1016_x000D_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</si>
  <si>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VERNA 90A 13839N_x000D_
Referencia: Seleccionar_x000D_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</si>
  <si>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VERNA 12V 105A BA-1016_x000D_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</si>
  <si>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TUCSON 80A KIA 11011N 1K-0048N_x000D_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</si>
  <si>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CERATO 2.0 NEW SPORTAGE 11202 11189N M-550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</si>
  <si>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I25 KIA CERATO SOUL 1.6 M-611 11471N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</si>
  <si>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13209N_x000D_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</si>
  <si>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CERATO SOUL HY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</si>
  <si>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H1 STARX B/50cc 2C 12V 22862 N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</si>
  <si>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SORRENTO SPRTG S/FE DIES C/BOM 110A 1K-0031N_x000D_
Referencia: Seleccionar_x000D_
Voltaje: 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</si>
  <si>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IX35 2.0 GDI TUCSON SPORTAGE 37300-2E400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</si>
  <si>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115A_x000D_
Referencia: Seleccionar_x000D_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</si>
  <si>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</si>
  <si>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31400-60A11_x000D_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</si>
  <si>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2.3 TROOPER ND 1J-0141  12V 75A_x000D_
Referencia: Seleccionar_x000D_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</si>
  <si>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GASOLINA ND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</si>
  <si>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1.5 1.7 DIES C/BOM N 12V 080A_x000D_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</si>
  <si>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CAMION 24V 70AMP PUÑO_x000D_
Referencia: Seleccionar_x000D_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</si>
  <si>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CUMMIS F/LINER BASE MESA F042300078 N 12V 200A_x000D_
Referencia: Seleccionar_x000D_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</si>
  <si>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MERCED F/LINER DELCO/R N 12V 160A_x000D_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</si>
  <si>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B/50CC IH253 N 24V 045A_x000D_
Referencia: Seleccionar_x000D_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</si>
  <si>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626 MILENIO ALEGRO 115A PD IM345 P/A A2T-B0191N 1J-0126_x000D_
Referencia: Seleccionar_x000D_
Voltaje: 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</si>
  <si>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626 MILENI ALEGRO PD IM345 P/A 13719N R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</si>
  <si>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2, 3 IM-345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</si>
  <si>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MONTACARGA 1P N 12V 040A 12179N_x000D_
Referencia: Seleccionar_x000D_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</si>
  <si>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RETRO NEW HOLLAND ISUZU 1J-0110 12744N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</si>
  <si>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I10 1K-0033N  37300-02600 20624N M-613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</si>
  <si>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HI 1C B/50CC IH254 JF2B190-175 BA-0350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</si>
  <si>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QD32 23100-0W802 BA-0355 12V 125A_x000D_
Referencia: Seleccionar_x000D_
Voltaje: 12_x000D_
Amperios: 125_x000D_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</si>
  <si>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FRR 24V 60A_x000D_
Referencia: Seleccionar_x000D_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</si>
  <si>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JAC 2P N 24V 55A_x000D_
Referencia: Seleccionar_x000D_
Voltaje: 24_x000D_
Amperios: 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</si>
  <si>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N 24V 070A_x000D_
Referencia: Seleccionar_x000D_
Voltaje: 24_x000D_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</si>
  <si>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MONTA/C FESTV MI 80A IM216_x000D_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</si>
  <si>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3-5 2.2 2.3 90A PD IM345=11008_x000D_
Referencia: Seleccionar_x000D_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</si>
  <si>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SORRENTO M563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</si>
  <si>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 M-540 125AMP 12V 15828450_x000D_
Referencia: Seleccionar_x000D_
Voltaje: 12_x000D_
Amperios: 125_x000D_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</si>
  <si>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X-TRAIL N 12V 110A 1J-0099 23100-AUA0A_x000D_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</si>
  <si>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CX5 REG IM505 IMR12204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</si>
  <si>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FUSION IM-529, IMR-12800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</si>
  <si>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SANTAFE 37300-3C120 N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</si>
  <si>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EDGE REG IM529, IMR1280 N 12V 150A A3TJ1291_x000D_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</si>
  <si>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SOUL HYUNDAI 3P M544 37300-23650 1K-0049N_x000D_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</si>
  <si>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 IM-505 PD 1J-0147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</si>
  <si>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2,3  IM-581 PD A2TG1391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</si>
  <si>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FIESTA, CW, 6-GROO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</si>
  <si>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LAND ROVER DISCOVERY PERKINS 12V_x000D_
Referencia: Seleccionar_x000D_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</si>
  <si>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MONTA/C MI N 12V 040A 12136N_x000D_
Referencia: Seleccionar_x000D_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</si>
  <si>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MONTACARGA 1P N 12V 040A_x000D_
Referencia: Seleccionar_x000D_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</si>
  <si>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BO=DA-275H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</si>
  <si>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BO N 24V 045A 66021600CS_x000D_
Referencia: Seleccionar_x000D_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</si>
  <si>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00/01 3C MN B/GRA N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</si>
  <si>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3C B/85CC 41430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</si>
  <si>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VW 31310 FORD CARGO N 12V 90A_x000D_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</si>
  <si>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MONTAGARGA CATERPILLAR IN450 P N 12V 055A_x000D_
Referencia: Seleccionar_x000D_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</si>
  <si>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TOY0TA 4Y  MONTACARGA IN-257 12V 50A ND 1C 26148_x000D_
Referencia: Seleccionar_x000D_
Voltaje: 12_x000D_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</si>
  <si>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EXCAVA HI EX200-2 6BD1 50A 24VISU_x000D_
Referencia: Seleccionar_x000D_
Voltaje: 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</si>
  <si>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DIESEL BOSH 42091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</si>
  <si>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BOBCAT T/MANDO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</si>
  <si>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FOCUS 12V 150AMP  IM-6227IMR-12202_x000D_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</si>
  <si>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NISSAN N 12V 050A_x000D_
Referencia: Seleccionar_x000D_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</si>
  <si>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KOMATSU CATERPI IN45 N 12V 050A_x000D_
Referencia: Seleccionar_x000D_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</si>
  <si>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PRADO JHON DEERE 1J-0081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</si>
  <si>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VOLVO, MERCEDES N 12V 200A_x000D_
Referencia: Seleccionar_x000D_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</si>
  <si>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PERKINS N 12V 085A 59345_x000D_
Referencia: Seleccionar_x000D_
Voltaje: 12_x000D_
Amperios: 085_x000D_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</si>
  <si>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PERKINS CATERPILLAR 1E-0009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</si>
  <si>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RETRO ZAXIS 200-250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</si>
  <si>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KOMATSU HINO DUTRO ND 60A 24V IN462 N 24V 060A_x000D_
Referencia: Seleccionar_x000D_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</si>
  <si>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JOHN DEERER  0124625029 N 12V 200A 1B-0024_x000D_
Referencia: Seleccionar_x000D_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</si>
  <si>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CATERPILLAR N 24V 080A_x000D_
Referencia: Seleccionar_x000D_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</si>
  <si>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ESCARABAJO BOSH 07702 N 12V 055A_x000D_
Referencia: Seleccionar_x000D_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</si>
  <si>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1J-0109 42089 80A IM265_x000D_
Referencia: Seleccionar_x000D_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</si>
  <si>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SPRINT SUZ 92/89 IN251 N 12V 65A_x000D_
Referencia: Seleccionar_x000D_
Voltaje: 12_x000D_
Amperios: 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</si>
  <si>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 92/89 BA-1207_x000D_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</si>
  <si>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PAJERO 90A A3T-4187R_x000D_
Referencia: Seleccionar_x000D_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</si>
  <si>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323 626 HYUNDAI SONATA IM831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</si>
  <si>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KOMATSU PC-300  24V 40A_x000D_
Referencia: Seleccionar_x000D_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</si>
  <si>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13SI BASE PUÑO 24V 50AMP 8600365_x000D_
Referencia: Seleccionar_x000D_
Voltaje: 24_x000D_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</si>
  <si>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ACCORD CRV IM-851 31100-PNC-004 90A 12V  ND CCW CW_x000D_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</si>
  <si>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HI 1J-0106  N 12V 080A_x000D_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</si>
  <si>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1.6 NX IH760/IHR7531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</si>
  <si>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GRAND CHEROKEE DODGE RAM 120A 12V_x000D_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</si>
  <si>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DAIHATS DELTA FEROZ 60A=IN257_x000D_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</si>
  <si>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13492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</si>
  <si>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90A_x000D_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</si>
  <si>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MAXIMA HI R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</si>
  <si>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MAXIMA HI 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</si>
  <si>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1J-0066 N 12V 90A_x000D_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</si>
  <si>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HI INFINITI 6C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</si>
  <si>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23100-3S500 N  40272 12V 080A_x000D_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</si>
  <si>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CRV 105A CW IN-6335 12V 31100-RTA003_x000D_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</si>
  <si>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CRV 12V 120AMP CW 104210-1530W 31184_x000D_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</si>
  <si>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31400-66D02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</si>
  <si>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SANTAFE SONATA 99/02 MANDO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</si>
  <si>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 =242-13786N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</si>
  <si>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 242-13786 R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</si>
  <si>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LANCER ZOTYE NOMADA 90A 12V_x000D_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</si>
  <si>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1.6 39330 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</si>
  <si>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GRAN CHEROKEE DODGE DAKOTA 12V 136_x000D_
Referencia: Seleccionar_x000D_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</si>
  <si>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AUDI RENAULT 9 N 12V 90A 14396N_x000D_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</si>
  <si>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MAXIMA IH238 ADAP R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</si>
  <si>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RUNNER 85/91 HILUX 60A IN320 1J-0042_x000D_
Referencia: Seleccionar_x000D_
Voltaje: 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</si>
  <si>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SPRINT SAMURAI SJ413 IN253 N 12V 055A_x000D_
Referencia: Seleccionar_x000D_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</si>
  <si>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SPRINT SAMURAI SJ413 31400-82611_x000D_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</si>
  <si>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VOLVO MERCEDES N 24V 155A_x000D_
Referencia: Seleccionar_x000D_
Voltaje: 24_x000D_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</si>
  <si>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DAHIATSU DELTA 2C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</si>
  <si>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21SI KODIAK NEVILLE MN REMY N 12V 160A_x000D_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</si>
  <si>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18SI MERCEDES ATGO/ACT D/REMY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</si>
  <si>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PREGIO 2.7 B/PEQ 59064 OK72A-18-300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</si>
  <si>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IVECO DAILY TURBO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</si>
  <si>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CAPTIVA, CW, 6-GROO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</si>
  <si>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SKODA FELICIA VW MT 3000 IB385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</si>
  <si>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FRONTIER XTERRA 12V 100AMP_x000D_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</si>
  <si>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R-9 INY CLIO R-19 VA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</si>
  <si>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206-307 CITROEN 1B-0030 N 11182N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</si>
  <si>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SONIC TRACKER L(RC) F(FR)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</si>
  <si>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DAILY 2.8 DIES KT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</si>
  <si>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DAILY 2.8 DIES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</si>
  <si>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BESTA C/BOM 1C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</si>
  <si>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2300 AL-12372  1B-0020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</si>
  <si>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R-SANDERO DUSTER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</si>
  <si>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FIESTA M-529 N 12V 095A 40182_x000D_
Referencia: Seleccionar_x000D_
Voltaje: 12_x000D_
Amperios: 095_x000D_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</si>
  <si>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CARENS PREGIO SEDONA HY TUCSON 1K-0021_x000D_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</si>
  <si>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 1.6 90AMP 12V_x000D_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</si>
  <si>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CITROEN FIAT NEW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</si>
  <si>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EVOLUTION 1B-0012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</si>
  <si>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CITROEN C4 VA 120A 12V 11182N_x000D_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</si>
  <si>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2C 23100-VK010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</si>
  <si>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15OAMP 24V_x000D_
Referencia: Seleccionar_x000D_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</si>
  <si>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1B-0019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</si>
  <si>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REG 4T A5TG0291 A5TG2591 N 12V 080A_x000D_
Referencia: Seleccionar_x000D_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</si>
  <si>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N200 N300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</si>
  <si>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JETTA 39237 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</si>
  <si>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SKODA AUDI BOSH R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</si>
  <si>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ND N 12V 130A 1J0102 24056N_x000D_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</si>
  <si>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12V 90AMP_x000D_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</si>
  <si>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VOLVO 1B-0014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</si>
  <si>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9 BO 65A 12V 14390N K488 N 12V 065A_x000D_
Referencia: Seleccionar_x000D_
Voltaje: 12_x000D_
Amperios: 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</si>
  <si>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CATERPILLAR JFZ-276A5 N 24V 70A_x000D_
Referencia: Seleccionar_x000D_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</si>
  <si>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 GOLF JETTA SKODA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</si>
  <si>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CHERY QQ VAN PASS YOYA QQ6 DAMAS 70A 4S_x000D_
Referencia: Seleccionar_x000D_
Voltaje: 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</si>
  <si>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ZOTYE NOMADA 1.3 1.6 8S N 080A_x000D_
Referencia: Seleccionar_x000D_
Voltaje: 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</si>
  <si>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20SI CATERPILAR CUMMIS MACK MASEY N 24V 045A_x000D_
Referencia: Seleccionar_x000D_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</si>
  <si>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BYD 12V 70AMP 6PK_x000D_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</si>
  <si>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ESPERO NUBIRA 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</si>
  <si>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CIELO RACER 1048 N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</si>
  <si>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TRAFFIC 150 AMP BOSCH_x000D_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</si>
  <si>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CATERPILLAR D/REMY N 12V 065A_x000D_
Referencia: Seleccionar_x000D_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</si>
  <si>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CATERPILLAR TW N 24V 035A_x000D_
Referencia: Seleccionar_x000D_
Voltaje: 24_x000D_
Amperios: 035_x000D_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</si>
  <si>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33SI PLANTA BASE KODIAK 1D-0020 N 12V 135A_x000D_
Referencia: Seleccionar_x000D_
Voltaje: 12_x000D_
Amperios: 135_x000D_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</si>
  <si>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33SI J180 TIPO DELCO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</si>
  <si>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KODIAK LUV 2.3 R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</si>
  <si>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ALT-103 1D-0022 39070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</si>
  <si>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GASOLINA R 12V 105A_x000D_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</si>
  <si>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VENEZOLANA MUSTANG R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</si>
  <si>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CIELO RACER LANOS 85A 3P VENTIL/INT_x000D_
Referencia: Seleccionar_x000D_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</si>
  <si>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DW CIELO RACER LANOS 85A 3P VENTIL/INT_x000D_
Referencia: Seleccionar_x000D_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</si>
  <si>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160A MOTOROLA B/KODIAK_x000D_
Referencia: Seleccionar_x000D_
Voltaje: 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</si>
  <si>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22SI KODIAK KENWORT B/MESA 08540 1D-0017 N 12V 145A_x000D_
Referencia: Seleccionar_x000D_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</si>
  <si>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12V 160A  PLANTA B/MESA_x000D_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</si>
  <si>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ECCOSPORT F-611 AL-2N15AA 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</si>
  <si>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24V 70A CUMMIS B/MESA D/REMY N 24V 070A_x000D_
Referencia: Seleccionar_x000D_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</si>
  <si>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D/REM N 12V 160A_x000D_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</si>
  <si>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13500316  M-608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</si>
  <si>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35SI 12V 140A DELCO FREIGHTLINER 8700016_x000D_
Referencia: Seleccionar_x000D_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</si>
  <si>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35SI T/MESA T/CUADRADA 1D-0065 N 12V 140A_x000D_
Referencia: Seleccionar_x000D_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</si>
  <si>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36SI PAD MOUNT TIP DEL NEW N 12V 170A_x000D_
Referencia: Seleccionar_x000D_
Voltaje: 12_x000D_
Amperios: 170_x000D_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</si>
  <si>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B/MES N 12V 160A 40287_x000D_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</si>
  <si>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12V 160A FREIGHTLINER KENWOR B/MES_x000D_
Referencia: Seleccionar_x000D_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</si>
  <si>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11SI CUMMIS 95A 12V 1D-0047 N 12V 095A_x000D_
Referencia: Seleccionar_x000D_
Voltaje: 12_x000D_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</si>
  <si>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FRR REWARD 24V_x000D_
Referencia: Seleccionar_x000D_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</si>
  <si>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SAIL NEW 12V_x000D_
Referencia: Seleccionar_x000D_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</si>
  <si>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 12V 90A D/REMY_x000D_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</si>
  <si>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GT 12V 90AMP_x000D_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</si>
  <si>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POLEA 12PK AMT-328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</si>
  <si>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13492 27060-35160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</si>
  <si>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320B 6D22 SUZUKI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</si>
  <si>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12V 115AMP IM-503 9L2T-10300BA /BB_x000D_
Referencia: Seleccionar_x000D_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</si>
  <si>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1J-0111 N 24V 080A_x000D_
Referencia: Seleccionar_x000D_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</si>
  <si>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2000 ISUZ DIES B/85cc 3C N 24V 080A_x000D_
Referencia: Seleccionar_x000D_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</si>
  <si>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NQR CON BOMBA 24V_x000D_
Referencia: Seleccionar_x000D_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</si>
  <si>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BOSCH VOLVO N 24V 140A F000LD0212_x000D_
Referencia: Seleccionar_x000D_
Voltaje: 24_x000D_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</si>
  <si>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ISUZO 6HK1 LT500 NIKKO 24V 40A 2P 1J-0032_x000D_
Referencia: Seleccionar_x000D_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</si>
  <si>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SANDERO LOGAN 20399N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</si>
  <si>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SANDERO LOGAN 20399N F000BL0408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</si>
  <si>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 NKR NPR C/50cc BOSCH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</si>
  <si>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AGRALE N 24V 120A_x000D_
Referencia: Seleccionar_x000D_
Voltaje: 24_x000D_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</si>
  <si>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MATSURI 94 MAGNETTI N 12V 60A BA-0917_x000D_
Referencia: Seleccionar_x000D_
Voltaje: 12_x000D_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</si>
  <si>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2.2 2.3 1B-0029  242-5001 N 12V 70A_x000D_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</si>
  <si>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12088N 63324407  N 12V 065A LRA461_x000D_
Referencia: Seleccionar_x000D_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</si>
  <si>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T35 MITSUBISHI HI B/GDE 2P N 12V 070A_x000D_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</si>
  <si>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NKR MAZ T S/BOM N 12V 070A  14592N_x000D_
Referencia: Seleccionar_x000D_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</si>
  <si>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NKR MAZ T NIS JAK S/BOM 24V_x000D_
Referencia: Seleccionar_x000D_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</si>
  <si>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GEELY 1.3, 1.5 N 12V 70A_x000D_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</si>
  <si>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MI MV 1C IM204 N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</si>
  <si>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1C BA-115 B/ANCHA 12V 75A OKD11-18-300B_x000D_
Referencia: Seleccionar_x000D_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</si>
  <si>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 MI 75A MN IM216 BA-1116_x000D_
Referencia: Seleccionar_x000D_
Voltaje: 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</si>
  <si>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MI 60A MV 1C IM204_x000D_
Referencia: Seleccionar_x000D_
Voltaje: 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</si>
  <si>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BOSCH VOLVO N 24V 140A_x000D_
Referencia: Seleccionar_x000D_
Voltaje: 24_x000D_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</si>
  <si>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MATSURI 94 90A P/ACAN IM830 N_x000D_
Referencia: Seleccionar_x000D_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</si>
  <si>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MATSURI 12V 90A BA-1116_x000D_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</si>
  <si>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GREAT WALL 12V 90AMP 12647N_x000D_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</si>
  <si>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C/BOM N 24V 060A_x000D_
Referencia: Seleccionar_x000D_
Voltaje: 24_x000D_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</si>
  <si>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1K-0009 N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</si>
  <si>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MA R 12V 100A_x000D_
Referencia: Seleccionar_x000D_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</si>
  <si>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CARNIVAL N 12V 110A OK554-18-300_x000D_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</si>
  <si>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10SI CHEVROLET C10 C30 1D-0001SP 12V 065A_x000D_
Referencia: Seleccionar_x000D_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</si>
  <si>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10SI CHEVROLET C10 C30 2C 7129DP N 24V 050A_x000D_
Referencia: Seleccionar_x000D_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</si>
  <si>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12SI CHEVROLET B60 C70 105AMP 12V_x000D_
Referencia: Seleccionar_x000D_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</si>
  <si>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BT-50 FORD RANGER N 12V 75A_x000D_
Referencia: Seleccionar_x000D_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</si>
  <si>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H1 STARX 37300-42357 BYE-6020 N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</si>
  <si>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 FE SORRENTO C/B 23791N BYE-6033 N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</si>
  <si>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CARENS PREGIO SEDONA HY TUCSON 37300-27010 BYE-6043_x000D_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</si>
  <si>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13209N BYE-6107_x000D_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</si>
  <si>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 FE KIA CARNIVAL BYE-6109 FG15S034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</si>
  <si>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CATERPILLAR ND IN-451  102211-3030 N 12V 110A_x000D_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</si>
  <si>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VOLSWAGEN JETTA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</si>
  <si>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SANDERO NISSAN 1B-0034 N 12V 150A_x000D_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</si>
  <si>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VOLVO A4TA8191 N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</si>
  <si>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ESPLORER VENEZOLANO R 12V 130A_x000D_
Referencia: Seleccionar_x000D_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</si>
  <si>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GRAN VITARA A2TJ0091 R 12V 115A_x000D_
Referencia: Seleccionar_x000D_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</si>
  <si>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15807948 N 12V 155A_x000D_
Referencia: Seleccionar_x000D_
Voltaje: 12_x000D_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</si>
  <si>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ZD30 TK55 23873N 12V 135A_x000D_
Referencia: Seleccionar_x000D_
Voltaje: 12_x000D_
Amperios: 135_x000D_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</si>
  <si>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MONTACARGA 101211-2130 R 12V 060A_x000D_
Referencia: Seleccionar_x000D_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</si>
  <si>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VK-LR250-708C 24V 60A_x000D_
Referencia: Seleccionar_x000D_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</si>
  <si>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NISSAN 23100-FU410  N 12V 050A_x000D_
Referencia: Seleccionar_x000D_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</si>
  <si>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DODGE JOURNEY JEEP 12V 115A_x000D_
Referencia: Seleccionar_x000D_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</si>
  <si>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24V 70AMP  AVIH2070D_x000D_
Referencia: Seleccionar_x000D_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</si>
  <si>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FESTV MI 70A IM216 12V BA-1017_x000D_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</si>
  <si>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SCAPE F-797 5F9T-10300-AC N 12V 0130A_x000D_
Referencia: Seleccionar_x000D_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</si>
  <si>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00/01 3C  B/GRA 12536N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</si>
  <si>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TOY0TA 4Y  MONTACARGA 50A ND 1C_x000D_
Referencia: Seleccionar_x000D_
Voltaje: 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</si>
  <si>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DMAX ND 12V 80AMP_x000D_
Referencia: Seleccionar_x000D_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</si>
  <si>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DIES ISUZU B/50cc N 12V 090A_x000D_
Referencia: Seleccionar_x000D_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</si>
  <si>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TRANSPORTER 12V 180A_x000D_
Referencia: Seleccionar_x000D_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</si>
  <si>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1B-0019 0124655499 24V 100A_x000D_
Referencia: Seleccionar_x000D_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</si>
  <si>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31400-60A21_x000D_
Referencia: Seleccionar_x000D_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</si>
  <si>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 24V 145A 8600017_x000D_
Referencia: Seleccionar_x000D_
Voltaje: 24_x000D_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</si>
  <si>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RANGER MAZDA BT50 12V 110AMP UK01-18300-A IB-6056 (LIN NC)_x000D_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</si>
  <si>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ZAHARA 12V 120AMP 104210-5474_x000D_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</si>
  <si>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1.2 16V 12V 70AMP (FR L C)_x000D_
Referencia: Seleccionar_x000D_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</si>
  <si>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2.3 1B-0021 12147N 24V 45A_x000D_
Referencia: Seleccionar_x000D_
Voltaje: 24_x000D_
Amperios: 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</si>
  <si>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BLEIZER CHEYEN HAMER TAHOE 12V 145A_x000D_
Referencia: Seleccionar_x000D_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</si>
  <si>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FUSO COUNTRY 24V 80AMP_x000D_
Referencia: Seleccionar_x000D_
Voltaje: 24_x000D_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</si>
  <si>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CX7 12V 110A L33G-18-300 IM-505_x000D_
Referencia: Seleccionar_x000D_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</si>
  <si>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CHEROKEE  12V 90AMP 13341N_x000D_
Referencia: Seleccionar_x000D_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</si>
  <si>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ESCAPE FOCUS 12V 150AMP  IMR-12800 IM-529 A003TJ2291_x000D_
Referencia: Seleccionar_x000D_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</si>
  <si>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A671-154-02-02 N 12V 120A_x000D_
Referencia: Seleccionar_x000D_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</si>
  <si>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ACCORD 80A 12V  ND CCW CW REG 4P_x000D_
Referencia: Seleccionar_x000D_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</si>
  <si>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FIAT FIORINO SIENA 12V 65AMP_x000D_
Referencia: Seleccionar_x000D_
Voltaje: 12_x000D_
Amperios: 65_x000D_
</t>
  </si>
  <si>
    <t>GENERICO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</si>
  <si>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</si>
  <si>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</si>
  <si>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</si>
  <si>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</si>
  <si>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</si>
  <si>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</si>
  <si>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</si>
  <si>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</si>
  <si>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</si>
  <si>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https://i.postimg.cc/65ynjHcJ/0395-1.jpg, https://i.postimg.cc/NGNRxh1k/0395-2.jpg, https://i.postimg.cc/HsR5fQvJ/0395-3.jpg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</si>
  <si>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</si>
  <si>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</si>
  <si>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</si>
  <si>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https://i.postimg.cc/ZqhNqJS4/0400-1.jpg, https://i.postimg.cc/3xGp7dzt/0400-2.jpg, https://i.postimg.cc/fbj9t1zX/0400-3.jpg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</si>
  <si>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</si>
  <si>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</si>
  <si>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</si>
  <si>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</si>
  <si>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</si>
  <si>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</si>
  <si>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</si>
  <si>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</si>
  <si>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</si>
  <si>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</si>
  <si>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</si>
  <si>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</si>
  <si>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</si>
  <si>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</si>
  <si>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</si>
  <si>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</si>
  <si>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</si>
  <si>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</si>
  <si>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</si>
  <si>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https://i.postimg.cc/Hx68357k/0422-1.jpg, https://i.postimg.cc/rmVtSgsH/0422-2.jpg, https://i.postimg.cc/BbtLz6xc/0422-3.jpg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</si>
  <si>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</si>
  <si>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</si>
  <si>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</si>
  <si>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</si>
  <si>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</si>
  <si>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</si>
  <si>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</si>
  <si>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</si>
  <si>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</si>
  <si>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</si>
  <si>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https://i.postimg.cc/Hsc84rWT/0433-1.jpg, https://i.postimg.cc/HWP7ywgS/0433-2.jpg, https://i.postimg.cc/g0DxkRsH/0433-3.jpg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</si>
  <si>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</si>
  <si>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</si>
  <si>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</si>
  <si>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</si>
  <si>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https://i.postimg.cc/43ZKgw63/0438-1.jpg, https://i.postimg.cc/3x2yVzD6/0438-2.jpg, https://i.postimg.cc/fTGtHMkm/0438-3.jpg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</si>
  <si>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</si>
  <si>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</si>
  <si>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</si>
  <si>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</si>
  <si>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</si>
  <si>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</si>
  <si>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</si>
  <si>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</si>
  <si>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https://i.postimg.cc/85zjF5nQ/0449-1.jpg, https://i.postimg.cc/76tbSkpC/0449-2.jpg, https://i.postimg.cc/tJ1J5cjB/0449-3.jpg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</si>
  <si>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</si>
  <si>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</si>
  <si>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</si>
  <si>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</si>
  <si>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</si>
  <si>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</si>
  <si>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</si>
  <si>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</si>
  <si>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</si>
  <si>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</si>
  <si>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</si>
  <si>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</si>
  <si>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</si>
  <si>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</si>
  <si>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</si>
  <si>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</si>
  <si>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</si>
  <si>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</si>
  <si>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</si>
  <si>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</si>
  <si>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</si>
  <si>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</si>
  <si>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</si>
  <si>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</si>
  <si>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</si>
  <si>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</si>
  <si>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</si>
  <si>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</si>
  <si>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</si>
  <si>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</si>
  <si>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</si>
  <si>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</si>
  <si>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</si>
  <si>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</si>
  <si>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</si>
  <si>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</si>
  <si>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</si>
  <si>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</si>
  <si>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</si>
  <si>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</si>
  <si>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</si>
  <si>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</si>
  <si>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</si>
  <si>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</si>
  <si>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</si>
  <si>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</si>
  <si>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https://i.postimg.cc/GmP2qYWn/1056-1.jpg, https://i.postimg.cc/nLHL5rxj/1056-2.jpg, https://i.postimg.cc/Pq2qkHf6/1056-3.jpg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</si>
  <si>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</si>
  <si>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</si>
  <si>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</si>
  <si>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</si>
  <si>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</si>
  <si>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</si>
  <si>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</si>
  <si>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</si>
  <si>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</si>
  <si>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</si>
  <si>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</si>
  <si>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</si>
  <si>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</si>
  <si>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</si>
  <si>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</si>
  <si>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</si>
  <si>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</si>
  <si>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</si>
  <si>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</si>
  <si>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</si>
  <si>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</si>
  <si>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</si>
  <si>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</si>
  <si>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</si>
  <si>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</si>
  <si>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</si>
  <si>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</si>
  <si>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</si>
  <si>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</si>
  <si>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</si>
  <si>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https://i.postimg.cc/W3ybh7kg/2317-1.jpg, https://i.postimg.cc/F15rxsGK/2317-2.jpg, https://i.postimg.cc/KYvMTJRH/2317-3.jpg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</si>
  <si>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</si>
  <si>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</si>
  <si>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</si>
  <si>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</si>
  <si>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</si>
  <si>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</si>
  <si>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</si>
  <si>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</si>
  <si>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</si>
  <si>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</si>
  <si>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</si>
  <si>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</si>
  <si>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</si>
  <si>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</si>
  <si>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</si>
  <si>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</si>
  <si>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</si>
  <si>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</si>
  <si>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</si>
  <si>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</si>
  <si>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</si>
  <si>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</si>
  <si>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</si>
  <si>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</si>
  <si>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</si>
  <si>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https://i.postimg.cc/SQXcVTD0/2347-1.jpg, https://i.postimg.cc/DwcGmtyG/2347-2.jpg, https://i.postimg.cc/WpQgyGHd/2347-3.jpg</t>
  </si>
  <si>
    <t>https://i.postimg.cc/nLhTJwLy/2348-1.jpg, https://i.postimg.cc/Xv1L7cGp/2348-2.jpg, https://i.postimg.cc/1tgHgnwM/2348-3.jpg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</si>
  <si>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</si>
  <si>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</si>
  <si>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</si>
  <si>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</si>
  <si>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</si>
  <si>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</si>
  <si>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</si>
  <si>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</si>
  <si>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</si>
  <si>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https://i.postimg.cc/wTLLY1C0/2364-1.jpg, https://i.postimg.cc/cLWYxsZZ/2364-2.jpg, https://i.postimg.cc/cJ98Bw34/2364-3.jpg</t>
  </si>
  <si>
    <t>https://i.postimg.cc/X7k2HTMR/2365-1.jpg, https://i.postimg.cc/sxFnqzgr/2365-2.jpg, https://i.postimg.cc/9QXLvJCr/2365-3.jpg</t>
  </si>
  <si>
    <t>https://i.postimg.cc/ZRWv7nPP/2366-1.jpg, https://i.postimg.cc/zB4b9Nps/2366-2.jpg, https://i.postimg.cc/0jmMv4Bb/2366-3.jpg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</si>
  <si>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</si>
  <si>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</si>
  <si>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https://i.postimg.cc/05JJ76yP/2369-1.jpg, https://i.postimg.cc/sDdGmVMS/2369-2.jpg, https://i.postimg.cc/HswcPfMN/2369-3.jpg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</si>
  <si>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</si>
  <si>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</si>
  <si>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</si>
  <si>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</si>
  <si>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</si>
  <si>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</si>
  <si>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</si>
  <si>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</si>
  <si>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</si>
  <si>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</si>
  <si>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https://i.postimg.cc/hGjXvvYF/2385-1.jpg, https://i.postimg.cc/mgVcTC8N/2385-2.jpg, https://i.postimg.cc/13ynxJc3/2385-3.jpg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</si>
  <si>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</si>
  <si>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</si>
  <si>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</si>
  <si>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</si>
  <si>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https://i.postimg.cc/d0xLyvMh/2392-1.jpg, https://i.postimg.cc/gJLry5dN/2392-2.jpg, https://i.postimg.cc/XqMqs8Y3/2392-3.jpg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</si>
  <si>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</si>
  <si>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</si>
  <si>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</si>
  <si>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</si>
  <si>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</si>
  <si>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</si>
  <si>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</si>
  <si>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https://i.postimg.cc/8ch5967v/2403-1.jpg, https://i.postimg.cc/SNhj8DPf/2403-2.jpg, https://i.postimg.cc/QN5HHRfM/2403-3.jpg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</si>
  <si>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</si>
  <si>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</si>
  <si>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https://i.postimg.cc/W1p3YtTD/2406-1.jpg, https://i.postimg.cc/Ghxtjvww/2406-2.jpg, https://i.postimg.cc/vZPmJMZ0/2406-3.jpg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</si>
  <si>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</si>
  <si>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</si>
  <si>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</si>
  <si>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</si>
  <si>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</si>
  <si>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</si>
  <si>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</si>
  <si>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</si>
  <si>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</si>
  <si>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</si>
  <si>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</si>
  <si>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</si>
  <si>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https://i.postimg.cc/fLZJ1nSL/2422-1.jpg, https://i.postimg.cc/1zD8W5t2/2422-2.jpg, https://i.postimg.cc/6p22vhN9/2422-3.jpg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</si>
  <si>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</si>
  <si>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</si>
  <si>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</si>
  <si>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</si>
  <si>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</si>
  <si>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</si>
  <si>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</si>
  <si>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</si>
  <si>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</si>
  <si>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</si>
  <si>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</si>
  <si>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</si>
  <si>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</si>
  <si>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</si>
  <si>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</si>
  <si>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</si>
  <si>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</si>
  <si>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</si>
  <si>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</si>
  <si>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</si>
  <si>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</si>
  <si>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</si>
  <si>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</si>
  <si>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</si>
  <si>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</si>
  <si>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</si>
  <si>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https://i.postimg.cc/6QgpQ0RR/2457-1.jpg, https://i.postimg.cc/yNkNB5Js/2457-2.jpg, https://i.postimg.cc/tT6Cnxtc/2457-3.jpg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</si>
  <si>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</si>
  <si>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</si>
  <si>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</si>
  <si>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</si>
  <si>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</si>
  <si>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</si>
  <si>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</si>
  <si>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</si>
  <si>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</si>
  <si>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</si>
  <si>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</si>
  <si>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</si>
  <si>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</si>
  <si>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</si>
  <si>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</si>
  <si>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</si>
  <si>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</si>
  <si>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</si>
  <si>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</si>
  <si>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</si>
  <si>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</si>
  <si>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</si>
  <si>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https://i.postimg.cc/4yT46xWx/3351-1.jpg, https://i.postimg.cc/L5B9NFWB/3351-2.jpg, https://i.postimg.cc/jqzSsyjw/3351-3.jpg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</si>
  <si>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</si>
  <si>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</si>
  <si>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</si>
  <si>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</si>
  <si>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</si>
  <si>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</si>
  <si>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</si>
  <si>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</si>
  <si>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</si>
  <si>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</si>
  <si>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</si>
  <si>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</si>
  <si>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</si>
  <si>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</si>
  <si>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</si>
  <si>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</si>
  <si>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</si>
  <si>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</si>
  <si>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</si>
  <si>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</si>
  <si>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</si>
  <si>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</si>
  <si>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</si>
  <si>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</si>
  <si>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</si>
  <si>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https://i.postimg.cc/J4M4ttyT/7273-1.jpg, https://i.postimg.cc/G3Jb0rMv/7273-2.jpg, https://i.postimg.cc/BQpZFsHJ/7273-3.jpg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</si>
  <si>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</si>
  <si>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</si>
  <si>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</si>
  <si>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</si>
  <si>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</si>
  <si>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</si>
  <si>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</si>
  <si>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</si>
  <si>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</si>
  <si>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</si>
  <si>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</si>
  <si>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</si>
  <si>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</si>
  <si>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</si>
  <si>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</si>
  <si>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</si>
  <si>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</si>
  <si>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https://i.postimg.cc/Y9wWkLZt/7821-1.jpg, https://i.postimg.cc/yYNSVHQ3/7821-2.jpg, https://i.postimg.cc/1RBqhtHZ/7821-3.jpg</t>
  </si>
  <si>
    <t>https://i.postimg.cc/7ZFCMTxS/7827-1.jpg, https://i.postimg.cc/4NFHySqL/7827-2.jpg, https://i.postimg.cc/G2QHC7vj/7827-3.jpg</t>
  </si>
  <si>
    <t>https://i.postimg.cc/L5Q5qJCY/7833-1.jpg, https://i.postimg.cc/5Njjhmyw/7833-2.jpg, https://i.postimg.cc/c1Frkzxx/7833-3.jpg</t>
  </si>
  <si>
    <t>https://i.postimg.cc/8P3sNrfx/7834-1.jpg, https://i.postimg.cc/Gmyt2hkt/7834-2.jpg, https://i.postimg.cc/wBYvs8VV/7834-3.jpg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</si>
</sst>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71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9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9" fillId="14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41" fillId="14" borderId="110" xfId="0" applyFont="1" applyFill="1" applyBorder="1" applyAlignment="1" applyProtection="1">
      <alignment horizontal="center" vertical="center" wrapText="1"/>
      <protection locked="0"/>
    </xf>
    <xf numFmtId="0" fontId="43" fillId="14" borderId="110" xfId="0" applyFont="1" applyFill="1" applyBorder="1" applyAlignment="1" applyProtection="1">
      <alignment horizontal="center" vertical="center"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0" borderId="0" xfId="0" applyFont="1" applyBorder="1" applyProtection="1">
      <protection locked="0"/>
    </xf>
    <xf numFmtId="0" fontId="47" fillId="13" borderId="110" xfId="0" applyFont="1" applyFill="1" applyBorder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wrapText="1"/>
      <protection locked="0"/>
    </xf>
    <xf numFmtId="0" fontId="50" fillId="13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6" borderId="0" xfId="0" applyFont="1" applyFill="1" applyBorder="1" applyAlignment="1" applyProtection="1">
      <alignment horizontal="center" vertical="center"/>
      <protection locked="0"/>
    </xf>
    <xf numFmtId="0" fontId="56" fillId="16" borderId="0" xfId="0" applyFont="1" applyFill="1" applyBorder="1" applyAlignment="1" applyProtection="1">
      <alignment horizontal="center" vertical="center"/>
      <protection locked="0"/>
    </xf>
    <xf numFmtId="0" fontId="57" fillId="15" borderId="110" xfId="0" applyFont="1" applyFill="1" applyBorder="1" applyAlignment="1" applyProtection="1">
      <alignment horizontal="center" vertical="center" wrapText="1"/>
      <protection locked="0"/>
    </xf>
    <xf numFmtId="0" fontId="59" fillId="16" borderId="0" xfId="0" applyFont="1" applyFill="1" applyBorder="1" applyAlignment="1" applyProtection="1">
      <alignment horizontal="center" vertical="center"/>
      <protection locked="0"/>
    </xf>
    <xf numFmtId="0" fontId="61" fillId="16" borderId="0" xfId="0" applyFont="1" applyFill="1" applyBorder="1" applyAlignment="1" applyProtection="1">
      <alignment horizontal="center" vertical="center"/>
      <protection locked="0"/>
    </xf>
    <xf numFmtId="0" fontId="62" fillId="15" borderId="110" xfId="0" applyFont="1" applyFill="1" applyBorder="1" applyAlignment="1" applyProtection="1">
      <alignment horizontal="center" vertical="center" wrapText="1"/>
      <protection locked="0"/>
    </xf>
    <xf numFmtId="0" fontId="63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64" fillId="15" borderId="110" xfId="0" applyFont="1" applyFill="1" applyBorder="1" applyAlignment="1" applyProtection="1">
      <alignment horizontal="center" vertical="center" wrapText="1"/>
      <protection locked="0"/>
    </xf>
    <xf numFmtId="0" fontId="65" fillId="15" borderId="110" xfId="0" applyFont="1" applyFill="1" applyBorder="1" applyAlignment="1" applyProtection="1">
      <alignment horizontal="center" vertical="center" wrapText="1"/>
      <protection locked="0"/>
    </xf>
    <xf numFmtId="0" fontId="67" fillId="17" borderId="110" xfId="0" applyFont="1" applyFill="1" applyBorder="1" applyAlignment="1" applyProtection="1">
      <alignment horizontal="center" vertical="center" wrapText="1"/>
      <protection locked="0"/>
    </xf>
    <xf numFmtId="0" fontId="68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Font="1" applyAlignme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70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9" fillId="18" borderId="110" xfId="0" applyFont="1" applyFill="1" applyBorder="1" applyAlignment="1" applyProtection="1">
      <alignment horizontal="center" vertical="center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53" fillId="15" borderId="110" xfId="0" applyFont="1" applyFill="1" applyBorder="1" applyAlignment="1" applyProtection="1">
      <alignment horizontal="center" vertical="center" wrapText="1"/>
      <protection locked="0"/>
    </xf>
    <xf numFmtId="0" fontId="55" fillId="15" borderId="110" xfId="0" applyFont="1" applyFill="1" applyBorder="1" applyAlignment="1" applyProtection="1">
      <alignment horizontal="center" vertical="center" wrapText="1"/>
      <protection locked="0"/>
    </xf>
    <xf numFmtId="0" fontId="58" fillId="15" borderId="110" xfId="0" applyFont="1" applyFill="1" applyBorder="1" applyAlignment="1" applyProtection="1">
      <alignment horizontal="center" vertical="center" wrapText="1"/>
      <protection locked="0"/>
    </xf>
    <xf numFmtId="0" fontId="60" fillId="15" borderId="110" xfId="0" applyFont="1" applyFill="1" applyBorder="1" applyAlignment="1" applyProtection="1">
      <alignment horizontal="center" vertical="center" wrapText="1"/>
      <protection locked="0"/>
    </xf>
    <xf numFmtId="0" fontId="51" fillId="14" borderId="110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46" fillId="0" borderId="0" xfId="0" applyFont="1" applyBorder="1" applyProtection="1">
      <protection locked="0"/>
    </xf>
    <xf numFmtId="0" fontId="49" fillId="0" borderId="0" xfId="0" applyFont="1" applyAlignment="1" applyProtection="1">
      <alignment wrapText="1"/>
      <protection locked="0"/>
    </xf>
    <xf numFmtId="0" fontId="45" fillId="9" borderId="0" xfId="0" applyFont="1" applyFill="1" applyBorder="1" applyAlignment="1" applyProtection="1">
      <alignment horizontal="center" vertical="center" wrapText="1"/>
      <protection locked="0"/>
    </xf>
    <xf numFmtId="0" fontId="48" fillId="9" borderId="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40" fillId="13" borderId="110" xfId="0" applyFont="1" applyFill="1" applyBorder="1" applyAlignment="1" applyProtection="1">
      <alignment horizontal="center" vertical="center" wrapText="1"/>
      <protection locked="0"/>
    </xf>
    <xf numFmtId="0" fontId="42" fillId="13" borderId="110" xfId="0" applyFont="1" applyFill="1" applyBorder="1" applyAlignment="1" applyProtection="1">
      <alignment horizontal="center" vertical="center" wrapText="1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6" fillId="0" borderId="0" xfId="0" applyFont="1" applyBorder="1" applyAlignment="1" applyProtection="1">
      <alignment wrapText="1"/>
      <protection locked="0"/>
    </xf>
  </cellXfs>
  <cellStyles count="1">
    <cellStyle name="Normal" xfId="0" builtinId="0"/>
  </cellStyles>
  <dxfs count="22"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87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89"/>
      <c r="B6" s="90"/>
      <c r="C6" s="90"/>
      <c r="D6" s="91"/>
      <c r="E6" s="92"/>
      <c r="F6" s="95"/>
      <c r="G6" s="98"/>
      <c r="H6" s="99"/>
      <c r="I6" s="99"/>
      <c r="J6" s="99"/>
      <c r="K6" s="99"/>
      <c r="L6" s="99"/>
      <c r="M6" s="99"/>
      <c r="N6" s="99"/>
      <c r="O6" s="99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93"/>
      <c r="F7" s="96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00"/>
      <c r="C8" s="101"/>
      <c r="D8" s="102"/>
      <c r="E8" s="93"/>
      <c r="F8" s="96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64" t="s">
        <v>24</v>
      </c>
      <c r="C9" s="165"/>
      <c r="D9" s="166"/>
      <c r="E9" s="93"/>
      <c r="F9" s="96"/>
      <c r="G9" s="24"/>
      <c r="H9" s="26"/>
      <c r="I9" s="167" t="s">
        <v>4</v>
      </c>
      <c r="J9" s="168"/>
      <c r="K9" s="168"/>
      <c r="L9" s="168"/>
      <c r="M9" s="168"/>
      <c r="N9" s="169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70"/>
      <c r="C10" s="165"/>
      <c r="D10" s="166"/>
      <c r="E10" s="93"/>
      <c r="F10" s="96"/>
      <c r="G10" s="24"/>
      <c r="H10" s="29"/>
      <c r="I10" s="171" t="str">
        <f>HYPERLINK("https://www.mercadolibre.com.co/publicar-masivamente/upload","subir la planilla excel")</f>
        <v>subir la planilla excel</v>
      </c>
      <c r="J10" s="124"/>
      <c r="K10" s="124"/>
      <c r="L10" s="124"/>
      <c r="M10" s="124"/>
      <c r="N10" s="125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54"/>
      <c r="C11" s="101"/>
      <c r="D11" s="102"/>
      <c r="E11" s="93"/>
      <c r="F11" s="96"/>
      <c r="G11" s="24"/>
      <c r="H11" s="24"/>
      <c r="I11" s="172" t="s">
        <v>18</v>
      </c>
      <c r="J11" s="173"/>
      <c r="K11" s="173"/>
      <c r="L11" s="173"/>
      <c r="M11" s="173"/>
      <c r="N11" s="174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54"/>
      <c r="C12" s="101"/>
      <c r="D12" s="102"/>
      <c r="E12" s="93"/>
      <c r="F12" s="96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54"/>
      <c r="C13" s="101"/>
      <c r="D13" s="102"/>
      <c r="E13" s="93"/>
      <c r="F13" s="96"/>
      <c r="G13" s="161" t="s">
        <v>5</v>
      </c>
      <c r="H13" s="162"/>
      <c r="I13" s="162"/>
      <c r="J13" s="162"/>
      <c r="K13" s="162"/>
      <c r="L13" s="162"/>
      <c r="M13" s="162"/>
      <c r="N13" s="163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54"/>
      <c r="C14" s="101"/>
      <c r="D14" s="102"/>
      <c r="E14" s="93"/>
      <c r="F14" s="96"/>
      <c r="G14" s="151"/>
      <c r="H14" s="152"/>
      <c r="I14" s="152"/>
      <c r="J14" s="152"/>
      <c r="K14" s="152"/>
      <c r="L14" s="152"/>
      <c r="M14" s="152"/>
      <c r="N14" s="153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93"/>
      <c r="F15" s="96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93"/>
      <c r="F16" s="96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93"/>
      <c r="F17" s="96"/>
      <c r="G17" s="148"/>
      <c r="H17" s="149"/>
      <c r="I17" s="150" t="s">
        <v>7</v>
      </c>
      <c r="J17" s="139"/>
      <c r="K17" s="139"/>
      <c r="L17" s="139"/>
      <c r="M17" s="139"/>
      <c r="N17" s="113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93"/>
      <c r="F18" s="96"/>
      <c r="G18" s="33"/>
      <c r="H18" s="33"/>
      <c r="I18" s="139"/>
      <c r="J18" s="139"/>
      <c r="K18" s="139"/>
      <c r="L18" s="139"/>
      <c r="M18" s="139"/>
      <c r="N18" s="113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93"/>
      <c r="F19" s="96"/>
      <c r="G19" s="33"/>
      <c r="H19" s="33"/>
      <c r="I19" s="134"/>
      <c r="J19" s="134"/>
      <c r="K19" s="134"/>
      <c r="L19" s="134"/>
      <c r="M19" s="134"/>
      <c r="N19" s="135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93"/>
      <c r="F20" s="96"/>
      <c r="G20" s="155"/>
      <c r="H20" s="156"/>
      <c r="I20" s="156"/>
      <c r="J20" s="156"/>
      <c r="K20" s="156"/>
      <c r="L20" s="156"/>
      <c r="M20" s="156"/>
      <c r="N20" s="157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93"/>
      <c r="F21" s="96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54"/>
      <c r="C22" s="101"/>
      <c r="D22" s="102"/>
      <c r="E22" s="93"/>
      <c r="F22" s="96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93"/>
      <c r="F23" s="96"/>
      <c r="G23" s="151"/>
      <c r="H23" s="152"/>
      <c r="I23" s="152"/>
      <c r="J23" s="152"/>
      <c r="K23" s="152"/>
      <c r="L23" s="152"/>
      <c r="M23" s="152"/>
      <c r="N23" s="153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54"/>
      <c r="C24" s="101"/>
      <c r="D24" s="102"/>
      <c r="E24" s="93"/>
      <c r="F24" s="96"/>
      <c r="G24" s="158" t="s">
        <v>9</v>
      </c>
      <c r="H24" s="159"/>
      <c r="I24" s="159"/>
      <c r="J24" s="159"/>
      <c r="K24" s="159"/>
      <c r="L24" s="159"/>
      <c r="M24" s="159"/>
      <c r="N24" s="159"/>
      <c r="O24" s="159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54"/>
      <c r="C25" s="101"/>
      <c r="D25" s="102"/>
      <c r="E25" s="93"/>
      <c r="F25" s="96"/>
      <c r="G25" s="160"/>
      <c r="H25" s="134"/>
      <c r="I25" s="134"/>
      <c r="J25" s="134"/>
      <c r="K25" s="134"/>
      <c r="L25" s="134"/>
      <c r="M25" s="134"/>
      <c r="N25" s="134"/>
      <c r="O25" s="13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6"/>
      <c r="C26" s="137"/>
      <c r="D26" s="138"/>
      <c r="E26" s="93"/>
      <c r="F26" s="96"/>
      <c r="G26" s="24"/>
      <c r="H26" s="24"/>
      <c r="I26" s="131" t="s">
        <v>10</v>
      </c>
      <c r="J26" s="132"/>
      <c r="K26" s="132"/>
      <c r="L26" s="132"/>
      <c r="M26" s="132"/>
      <c r="N26" s="111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0"/>
      <c r="C27" s="141"/>
      <c r="D27" s="142"/>
      <c r="E27" s="93"/>
      <c r="F27" s="96"/>
      <c r="G27" s="42"/>
      <c r="H27" s="42"/>
      <c r="I27" s="112"/>
      <c r="J27" s="139"/>
      <c r="K27" s="139"/>
      <c r="L27" s="139"/>
      <c r="M27" s="139"/>
      <c r="N27" s="113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0"/>
      <c r="C28" s="141"/>
      <c r="D28" s="142"/>
      <c r="E28" s="93"/>
      <c r="F28" s="96"/>
      <c r="G28" s="42"/>
      <c r="H28" s="42"/>
      <c r="I28" s="112"/>
      <c r="J28" s="139"/>
      <c r="K28" s="139"/>
      <c r="L28" s="139"/>
      <c r="M28" s="139"/>
      <c r="N28" s="113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0"/>
      <c r="C29" s="141"/>
      <c r="D29" s="142"/>
      <c r="E29" s="93"/>
      <c r="F29" s="96"/>
      <c r="G29" s="42"/>
      <c r="H29" s="42"/>
      <c r="I29" s="112"/>
      <c r="J29" s="139"/>
      <c r="K29" s="139"/>
      <c r="L29" s="139"/>
      <c r="M29" s="139"/>
      <c r="N29" s="113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0"/>
      <c r="C30" s="141"/>
      <c r="D30" s="143"/>
      <c r="E30" s="93"/>
      <c r="F30" s="96"/>
      <c r="G30" s="42"/>
      <c r="H30" s="42"/>
      <c r="I30" s="112"/>
      <c r="J30" s="139"/>
      <c r="K30" s="139"/>
      <c r="L30" s="139"/>
      <c r="M30" s="139"/>
      <c r="N30" s="113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0"/>
      <c r="C31" s="141"/>
      <c r="D31" s="143"/>
      <c r="E31" s="93"/>
      <c r="F31" s="96"/>
      <c r="G31" s="42"/>
      <c r="H31" s="42"/>
      <c r="I31" s="112"/>
      <c r="J31" s="139"/>
      <c r="K31" s="139"/>
      <c r="L31" s="139"/>
      <c r="M31" s="139"/>
      <c r="N31" s="113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0"/>
      <c r="C32" s="141"/>
      <c r="D32" s="143"/>
      <c r="E32" s="93"/>
      <c r="F32" s="96"/>
      <c r="G32" s="42"/>
      <c r="H32" s="42"/>
      <c r="I32" s="123" t="str">
        <f>HYPERLINK("https://www.mercadolibre.com.co/ayuda/variantes-excel_5167","Quiero saber más")</f>
        <v>Quiero saber más</v>
      </c>
      <c r="J32" s="124"/>
      <c r="K32" s="124"/>
      <c r="L32" s="124"/>
      <c r="M32" s="124"/>
      <c r="N32" s="125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03"/>
      <c r="C33" s="101"/>
      <c r="D33" s="102"/>
      <c r="E33" s="93"/>
      <c r="F33" s="96"/>
      <c r="G33" s="144"/>
      <c r="H33" s="145"/>
      <c r="I33" s="145"/>
      <c r="J33" s="145"/>
      <c r="K33" s="145"/>
      <c r="L33" s="145"/>
      <c r="M33" s="145"/>
      <c r="N33" s="146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03"/>
      <c r="C34" s="101"/>
      <c r="D34" s="102"/>
      <c r="E34" s="93"/>
      <c r="F34" s="96"/>
      <c r="G34" s="147"/>
      <c r="H34" s="134"/>
      <c r="I34" s="134"/>
      <c r="J34" s="134"/>
      <c r="K34" s="134"/>
      <c r="L34" s="134"/>
      <c r="M34" s="134"/>
      <c r="N34" s="135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03"/>
      <c r="C35" s="101"/>
      <c r="D35" s="102"/>
      <c r="E35" s="93"/>
      <c r="F35" s="96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03"/>
      <c r="C36" s="101"/>
      <c r="D36" s="102"/>
      <c r="E36" s="93"/>
      <c r="F36" s="96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03"/>
      <c r="C37" s="101"/>
      <c r="D37" s="102"/>
      <c r="E37" s="93"/>
      <c r="F37" s="96"/>
      <c r="G37" s="24"/>
      <c r="H37" s="24"/>
      <c r="I37" s="131" t="s">
        <v>12</v>
      </c>
      <c r="J37" s="132"/>
      <c r="K37" s="132"/>
      <c r="L37" s="132"/>
      <c r="M37" s="132"/>
      <c r="N37" s="111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03"/>
      <c r="C38" s="101"/>
      <c r="D38" s="102"/>
      <c r="E38" s="93"/>
      <c r="F38" s="96"/>
      <c r="G38" s="24"/>
      <c r="H38" s="42"/>
      <c r="I38" s="133"/>
      <c r="J38" s="134"/>
      <c r="K38" s="134"/>
      <c r="L38" s="134"/>
      <c r="M38" s="134"/>
      <c r="N38" s="135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03"/>
      <c r="C39" s="101"/>
      <c r="D39" s="102"/>
      <c r="E39" s="93"/>
      <c r="F39" s="96"/>
      <c r="G39" s="24"/>
      <c r="H39" s="24"/>
      <c r="I39" s="123" t="str">
        <f>HYPERLINK("https://www.mercadolibre.com.co/ayuda/imagenesexcel_5121","Obtener las URLs de mis fotos")</f>
        <v>Obtener las URLs de mis fotos</v>
      </c>
      <c r="J39" s="124"/>
      <c r="K39" s="124"/>
      <c r="L39" s="124"/>
      <c r="M39" s="124"/>
      <c r="N39" s="125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03"/>
      <c r="C40" s="101"/>
      <c r="D40" s="102"/>
      <c r="E40" s="93"/>
      <c r="F40" s="96"/>
      <c r="G40" s="126"/>
      <c r="H40" s="127"/>
      <c r="I40" s="127"/>
      <c r="J40" s="127"/>
      <c r="K40" s="127"/>
      <c r="L40" s="127"/>
      <c r="M40" s="127"/>
      <c r="N40" s="127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93"/>
      <c r="F41" s="96"/>
      <c r="G41" s="128"/>
      <c r="H41" s="129"/>
      <c r="I41" s="129"/>
      <c r="J41" s="129"/>
      <c r="K41" s="129"/>
      <c r="L41" s="129"/>
      <c r="M41" s="129"/>
      <c r="N41" s="129"/>
      <c r="O41" s="130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03"/>
      <c r="C42" s="101"/>
      <c r="D42" s="102"/>
      <c r="E42" s="93"/>
      <c r="F42" s="96"/>
      <c r="G42" s="104" t="s">
        <v>13</v>
      </c>
      <c r="H42" s="105"/>
      <c r="I42" s="105"/>
      <c r="J42" s="105"/>
      <c r="K42" s="105"/>
      <c r="L42" s="105"/>
      <c r="M42" s="105"/>
      <c r="N42" s="105"/>
      <c r="O42" s="106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03"/>
      <c r="C43" s="101"/>
      <c r="D43" s="102"/>
      <c r="E43" s="94"/>
      <c r="F43" s="96"/>
      <c r="G43" s="107"/>
      <c r="H43" s="108"/>
      <c r="I43" s="108"/>
      <c r="J43" s="108"/>
      <c r="K43" s="108"/>
      <c r="L43" s="108"/>
      <c r="M43" s="108"/>
      <c r="N43" s="108"/>
      <c r="O43" s="109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96"/>
      <c r="G44" s="110"/>
      <c r="H44" s="111"/>
      <c r="I44" s="114" t="s">
        <v>14</v>
      </c>
      <c r="J44" s="88"/>
      <c r="K44" s="88"/>
      <c r="L44" s="88"/>
      <c r="M44" s="88"/>
      <c r="N44" s="88"/>
      <c r="O44" s="121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03"/>
      <c r="C45" s="101"/>
      <c r="D45" s="102"/>
      <c r="E45" s="92"/>
      <c r="F45" s="96"/>
      <c r="G45" s="112"/>
      <c r="H45" s="113"/>
      <c r="I45" s="115"/>
      <c r="J45" s="105"/>
      <c r="K45" s="105"/>
      <c r="L45" s="105"/>
      <c r="M45" s="105"/>
      <c r="N45" s="106"/>
      <c r="O45" s="122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03"/>
      <c r="C46" s="101"/>
      <c r="D46" s="102"/>
      <c r="E46" s="93"/>
      <c r="F46" s="96"/>
      <c r="G46" s="112"/>
      <c r="H46" s="113"/>
      <c r="I46" s="116" t="str">
        <f>HYPERLINK("https://www.mercadolibre.com.co/ayuda/805","¿Cómo sacar una buena foto para no perder exposición?")</f>
        <v>¿Cómo sacar una buena foto para no perder exposición?</v>
      </c>
      <c r="J46" s="117"/>
      <c r="K46" s="117"/>
      <c r="L46" s="117"/>
      <c r="M46" s="117"/>
      <c r="N46" s="118"/>
      <c r="O46" s="122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03"/>
      <c r="C47" s="101"/>
      <c r="D47" s="102"/>
      <c r="E47" s="93"/>
      <c r="F47" s="96"/>
      <c r="G47" s="112"/>
      <c r="H47" s="113"/>
      <c r="I47" s="119"/>
      <c r="J47" s="88"/>
      <c r="K47" s="88"/>
      <c r="L47" s="88"/>
      <c r="M47" s="88"/>
      <c r="N47" s="120"/>
      <c r="O47" s="122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03"/>
      <c r="C48" s="101"/>
      <c r="D48" s="102"/>
      <c r="E48" s="93"/>
      <c r="F48" s="96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03"/>
      <c r="C49" s="101"/>
      <c r="D49" s="102"/>
      <c r="E49" s="93"/>
      <c r="F49" s="96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03"/>
      <c r="C50" s="101"/>
      <c r="D50" s="102"/>
      <c r="E50" s="93"/>
      <c r="F50" s="96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03"/>
      <c r="C51" s="101"/>
      <c r="D51" s="102"/>
      <c r="E51" s="93"/>
      <c r="F51" s="96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03"/>
      <c r="C52" s="101"/>
      <c r="D52" s="102"/>
      <c r="E52" s="93"/>
      <c r="F52" s="96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03"/>
      <c r="C53" s="101"/>
      <c r="D53" s="102"/>
      <c r="E53" s="93"/>
      <c r="F53" s="96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03"/>
      <c r="C54" s="101"/>
      <c r="D54" s="102"/>
      <c r="E54" s="93"/>
      <c r="F54" s="96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03"/>
      <c r="C55" s="101"/>
      <c r="D55" s="102"/>
      <c r="E55" s="93"/>
      <c r="F55" s="96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03"/>
      <c r="C56" s="101"/>
      <c r="D56" s="102"/>
      <c r="E56" s="93"/>
      <c r="F56" s="96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03"/>
      <c r="C57" s="101"/>
      <c r="D57" s="102"/>
      <c r="E57" s="93"/>
      <c r="F57" s="96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03"/>
      <c r="C58" s="101"/>
      <c r="D58" s="102"/>
      <c r="E58" s="93"/>
      <c r="F58" s="96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03"/>
      <c r="C59" s="101"/>
      <c r="D59" s="102"/>
      <c r="E59" s="93"/>
      <c r="F59" s="96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03"/>
      <c r="C60" s="101"/>
      <c r="D60" s="102"/>
      <c r="E60" s="93"/>
      <c r="F60" s="96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03"/>
      <c r="C61" s="101"/>
      <c r="D61" s="102"/>
      <c r="E61" s="93"/>
      <c r="F61" s="96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03"/>
      <c r="C62" s="101"/>
      <c r="D62" s="102"/>
      <c r="E62" s="93"/>
      <c r="F62" s="96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03"/>
      <c r="C63" s="101"/>
      <c r="D63" s="102"/>
      <c r="E63" s="93"/>
      <c r="F63" s="96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03"/>
      <c r="C64" s="101"/>
      <c r="D64" s="102"/>
      <c r="E64" s="93"/>
      <c r="F64" s="96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03"/>
      <c r="C65" s="101"/>
      <c r="D65" s="102"/>
      <c r="E65" s="93"/>
      <c r="F65" s="96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03"/>
      <c r="C66" s="101"/>
      <c r="D66" s="102"/>
      <c r="E66" s="93"/>
      <c r="F66" s="96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03"/>
      <c r="C67" s="101"/>
      <c r="D67" s="102"/>
      <c r="E67" s="93"/>
      <c r="F67" s="96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03"/>
      <c r="C68" s="101"/>
      <c r="D68" s="102"/>
      <c r="E68" s="93"/>
      <c r="F68" s="96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03"/>
      <c r="C69" s="101"/>
      <c r="D69" s="102"/>
      <c r="E69" s="93"/>
      <c r="F69" s="96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03"/>
      <c r="C70" s="101"/>
      <c r="D70" s="102"/>
      <c r="E70" s="94"/>
      <c r="F70" s="97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Alternadores'!A1" display="Alternadores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2"/>
  <sheetViews>
    <sheetView workbookViewId="0"/>
  </sheetViews>
  <sheetFormatPr baseColWidth="10" defaultColWidth="9.140625" defaultRowHeight="12.75" x14ac:dyDescent="0.2"/>
  <sheetData>
    <row r="1" spans="1:6" x14ac:dyDescent="0.2">
      <c r="A1" t="s">
        <v>15</v>
      </c>
      <c r="B1" t="s">
        <v>16</v>
      </c>
      <c r="C1" t="s">
        <v>17</v>
      </c>
    </row>
    <row r="2" spans="1:6" x14ac:dyDescent="0.2">
      <c r="A2" t="s">
        <v>32</v>
      </c>
      <c r="B2" t="s">
        <v>33</v>
      </c>
      <c r="C2" t="s">
        <v>34</v>
      </c>
    </row>
    <row r="3" spans="1:6" x14ac:dyDescent="0.2">
      <c r="A3" t="s">
        <v>39</v>
      </c>
      <c r="B3" t="s">
        <v>40</v>
      </c>
    </row>
    <row r="4" spans="1:6" x14ac:dyDescent="0.2">
      <c r="A4" t="s">
        <v>43</v>
      </c>
      <c r="B4" t="s">
        <v>44</v>
      </c>
      <c r="C4" t="s">
        <v>45</v>
      </c>
    </row>
    <row r="5" spans="1:6" x14ac:dyDescent="0.2">
      <c r="A5" t="s">
        <v>53</v>
      </c>
      <c r="B5" t="s">
        <v>54</v>
      </c>
    </row>
    <row r="6" spans="1:6" x14ac:dyDescent="0.2">
      <c r="A6" t="s">
        <v>57</v>
      </c>
    </row>
    <row r="7" spans="1:6" x14ac:dyDescent="0.2">
      <c r="A7" t="s">
        <v>59</v>
      </c>
      <c r="B7" t="s">
        <v>60</v>
      </c>
      <c r="C7" t="s">
        <v>61</v>
      </c>
    </row>
    <row r="8" spans="1:6" x14ac:dyDescent="0.2">
      <c r="A8" t="s">
        <v>59</v>
      </c>
      <c r="B8" t="s">
        <v>60</v>
      </c>
      <c r="C8" t="s">
        <v>61</v>
      </c>
    </row>
    <row r="9" spans="1:6" x14ac:dyDescent="0.2">
      <c r="A9" t="s">
        <v>59</v>
      </c>
      <c r="B9" t="s">
        <v>64</v>
      </c>
      <c r="C9" t="s">
        <v>65</v>
      </c>
    </row>
    <row r="10" spans="1:6" x14ac:dyDescent="0.2">
      <c r="A10" t="s">
        <v>59</v>
      </c>
      <c r="B10" t="s">
        <v>68</v>
      </c>
      <c r="C10" t="s">
        <v>69</v>
      </c>
      <c r="D10" t="s">
        <v>70</v>
      </c>
    </row>
    <row r="11" spans="1:6" x14ac:dyDescent="0.2">
      <c r="A11" t="s">
        <v>59</v>
      </c>
      <c r="B11" t="s">
        <v>74</v>
      </c>
      <c r="C11" t="s">
        <v>75</v>
      </c>
      <c r="D11" t="s">
        <v>76</v>
      </c>
    </row>
    <row r="12" spans="1:6" x14ac:dyDescent="0.2">
      <c r="A12" t="s">
        <v>80</v>
      </c>
      <c r="B12" t="s">
        <v>81</v>
      </c>
      <c r="C12" t="s">
        <v>82</v>
      </c>
      <c r="D12" t="s">
        <v>83</v>
      </c>
      <c r="E12" t="s">
        <v>84</v>
      </c>
      <c r="F12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1001"/>
  <sheetViews>
    <sheetView tabSelected="1" workbookViewId="0">
      <pane xSplit="2" ySplit="6" topLeftCell="R365" activePane="bottomRight" state="frozen"/>
      <selection pane="topRight"/>
      <selection pane="bottomLeft"/>
      <selection pane="bottomRight" activeCell="A7" sqref="A7:X365"/>
    </sheetView>
  </sheetViews>
  <sheetFormatPr baseColWidth="10" defaultColWidth="9.140625" defaultRowHeight="14.25" x14ac:dyDescent="0.2"/>
  <cols>
    <col min="1" max="1" width="62.42578125" style="50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33.140625" customWidth="1"/>
    <col min="7" max="7" width="23.42578125" style="61" customWidth="1"/>
    <col min="8" max="8" width="23.42578125" style="63" customWidth="1"/>
    <col min="9" max="9" width="31.28515625" customWidth="1"/>
    <col min="10" max="10" width="26.140625" customWidth="1"/>
    <col min="11" max="11" width="43" style="67" customWidth="1"/>
    <col min="12" max="12" width="26.140625" style="69" customWidth="1"/>
    <col min="13" max="13" width="26.140625" customWidth="1"/>
    <col min="14" max="15" width="19.5703125" style="52" customWidth="1"/>
    <col min="16" max="19" width="27.28515625" customWidth="1"/>
    <col min="20" max="20" width="26.140625" customWidth="1"/>
    <col min="21" max="21" width="26.140625" style="79" customWidth="1"/>
    <col min="22" max="24" width="26.140625" customWidth="1"/>
  </cols>
  <sheetData>
    <row r="1" spans="1:24" ht="15" customHeight="1" x14ac:dyDescent="0.2">
      <c r="A1" s="192" t="s">
        <v>23</v>
      </c>
      <c r="B1" s="139"/>
      <c r="C1" s="196" t="s">
        <v>31</v>
      </c>
      <c r="D1" s="139"/>
      <c r="E1" s="178"/>
      <c r="F1" s="183" t="s">
        <v>52</v>
      </c>
      <c r="G1" s="184"/>
      <c r="H1" s="184"/>
      <c r="I1" s="139"/>
      <c r="J1" s="139"/>
      <c r="K1" s="185"/>
      <c r="L1" s="186"/>
      <c r="M1" s="177" t="s">
        <v>78</v>
      </c>
      <c r="N1" s="176"/>
      <c r="O1" s="176"/>
      <c r="P1" s="139"/>
      <c r="Q1" s="139"/>
      <c r="R1" s="139"/>
      <c r="S1" s="139"/>
      <c r="T1" s="139"/>
      <c r="U1" s="178"/>
      <c r="V1" s="139"/>
      <c r="W1" s="175" t="s">
        <v>88</v>
      </c>
      <c r="X1" s="139"/>
    </row>
    <row r="2" spans="1:24" ht="27" customHeight="1" x14ac:dyDescent="0.2">
      <c r="A2" s="193" t="s">
        <v>25</v>
      </c>
      <c r="B2" s="139"/>
      <c r="C2" s="197"/>
      <c r="D2" s="139"/>
      <c r="E2" s="178"/>
      <c r="F2" s="139"/>
      <c r="G2" s="184"/>
      <c r="H2" s="184"/>
      <c r="I2" s="139"/>
      <c r="J2" s="139"/>
      <c r="K2" s="185"/>
      <c r="L2" s="186"/>
      <c r="M2" s="139"/>
      <c r="N2" s="176"/>
      <c r="O2" s="176"/>
      <c r="P2" s="139"/>
      <c r="Q2" s="139"/>
      <c r="R2" s="139"/>
      <c r="S2" s="139"/>
      <c r="T2" s="139"/>
      <c r="U2" s="178"/>
      <c r="V2" s="139"/>
      <c r="W2" s="139"/>
      <c r="X2" s="139"/>
    </row>
    <row r="3" spans="1:24" ht="37.5" customHeight="1" x14ac:dyDescent="0.2">
      <c r="A3" s="51" t="s">
        <v>19</v>
      </c>
      <c r="B3" s="53" t="s">
        <v>22</v>
      </c>
      <c r="C3" s="55" t="s">
        <v>26</v>
      </c>
      <c r="D3" s="57" t="s">
        <v>29</v>
      </c>
      <c r="E3" s="59" t="s">
        <v>30</v>
      </c>
      <c r="F3" s="60" t="s">
        <v>35</v>
      </c>
      <c r="G3" s="189" t="s">
        <v>36</v>
      </c>
      <c r="H3" s="190" t="s">
        <v>36</v>
      </c>
      <c r="I3" s="191" t="s">
        <v>36</v>
      </c>
      <c r="J3" s="66" t="s">
        <v>46</v>
      </c>
      <c r="K3" s="68" t="s">
        <v>49</v>
      </c>
      <c r="L3" s="70" t="s">
        <v>51</v>
      </c>
      <c r="M3" s="71" t="s">
        <v>55</v>
      </c>
      <c r="N3" s="179" t="s">
        <v>56</v>
      </c>
      <c r="O3" s="180" t="s">
        <v>56</v>
      </c>
      <c r="P3" s="74" t="s">
        <v>58</v>
      </c>
      <c r="Q3" s="181" t="s">
        <v>62</v>
      </c>
      <c r="R3" s="182" t="s">
        <v>62</v>
      </c>
      <c r="S3" s="77" t="s">
        <v>66</v>
      </c>
      <c r="T3" s="78" t="s">
        <v>67</v>
      </c>
      <c r="U3" s="80" t="s">
        <v>71</v>
      </c>
      <c r="V3" s="81" t="s">
        <v>73</v>
      </c>
      <c r="W3" s="82" t="s">
        <v>79</v>
      </c>
      <c r="X3" s="83" t="s">
        <v>87</v>
      </c>
    </row>
    <row r="4" spans="1:24" ht="35.1" customHeight="1" x14ac:dyDescent="0.2">
      <c r="A4" s="194" t="s">
        <v>21</v>
      </c>
      <c r="B4" s="195" t="s">
        <v>21</v>
      </c>
      <c r="C4" s="176" t="s">
        <v>27</v>
      </c>
      <c r="D4" s="52" t="s">
        <v>20</v>
      </c>
      <c r="E4" s="52" t="s">
        <v>20</v>
      </c>
      <c r="F4" s="52" t="s">
        <v>20</v>
      </c>
      <c r="G4" s="62" t="s">
        <v>33</v>
      </c>
      <c r="H4" s="64" t="s">
        <v>34</v>
      </c>
      <c r="I4" s="65" t="s">
        <v>41</v>
      </c>
      <c r="J4" s="187" t="s">
        <v>47</v>
      </c>
      <c r="K4" s="188" t="s">
        <v>50</v>
      </c>
      <c r="L4" s="52" t="s">
        <v>20</v>
      </c>
      <c r="M4" s="52" t="s">
        <v>20</v>
      </c>
      <c r="N4" s="72" t="s">
        <v>33</v>
      </c>
      <c r="O4" s="73" t="s">
        <v>34</v>
      </c>
      <c r="P4" s="52" t="s">
        <v>20</v>
      </c>
      <c r="Q4" s="75" t="s">
        <v>33</v>
      </c>
      <c r="R4" s="76" t="s">
        <v>34</v>
      </c>
      <c r="S4" s="52" t="s">
        <v>20</v>
      </c>
      <c r="T4" s="52" t="s">
        <v>20</v>
      </c>
      <c r="U4" s="176" t="s">
        <v>72</v>
      </c>
      <c r="V4" s="176" t="s">
        <v>77</v>
      </c>
      <c r="W4" s="176" t="s">
        <v>86</v>
      </c>
      <c r="X4" s="52" t="s">
        <v>20</v>
      </c>
    </row>
    <row r="5" spans="1:24" ht="51" x14ac:dyDescent="0.2">
      <c r="A5" s="194" t="s">
        <v>21</v>
      </c>
      <c r="B5" s="195" t="s">
        <v>21</v>
      </c>
      <c r="C5" s="176" t="s">
        <v>27</v>
      </c>
      <c r="D5" s="52" t="s">
        <v>20</v>
      </c>
      <c r="E5" s="52" t="s">
        <v>20</v>
      </c>
      <c r="F5" s="52" t="s">
        <v>20</v>
      </c>
      <c r="G5" s="176" t="s">
        <v>37</v>
      </c>
      <c r="H5" s="176" t="s">
        <v>37</v>
      </c>
      <c r="I5" s="52" t="s">
        <v>42</v>
      </c>
      <c r="J5" s="187" t="s">
        <v>47</v>
      </c>
      <c r="K5" s="188" t="s">
        <v>50</v>
      </c>
      <c r="L5" s="52" t="s">
        <v>20</v>
      </c>
      <c r="M5" s="52" t="s">
        <v>20</v>
      </c>
      <c r="N5" s="52" t="s">
        <v>20</v>
      </c>
      <c r="O5" s="52" t="s">
        <v>20</v>
      </c>
      <c r="P5" s="52" t="s">
        <v>20</v>
      </c>
      <c r="Q5" s="176" t="s">
        <v>63</v>
      </c>
      <c r="R5" s="176" t="s">
        <v>63</v>
      </c>
      <c r="S5" s="52" t="s">
        <v>20</v>
      </c>
      <c r="T5" s="52" t="s">
        <v>20</v>
      </c>
      <c r="U5" s="176" t="s">
        <v>72</v>
      </c>
      <c r="V5" s="176" t="s">
        <v>77</v>
      </c>
      <c r="W5" s="176" t="s">
        <v>86</v>
      </c>
      <c r="X5" s="52" t="s">
        <v>20</v>
      </c>
    </row>
    <row r="6" spans="1:24" ht="27.6" customHeight="1" x14ac:dyDescent="0.2">
      <c r="A6" s="52" t="s">
        <v>20</v>
      </c>
      <c r="B6" s="52" t="s">
        <v>20</v>
      </c>
      <c r="C6" s="56" t="s">
        <v>28</v>
      </c>
      <c r="D6" s="52" t="s">
        <v>20</v>
      </c>
      <c r="E6" s="52" t="s">
        <v>20</v>
      </c>
      <c r="F6" s="52" t="s">
        <v>20</v>
      </c>
      <c r="G6" s="176" t="s">
        <v>38</v>
      </c>
      <c r="H6" s="176" t="s">
        <v>38</v>
      </c>
      <c r="I6" s="52" t="s">
        <v>20</v>
      </c>
      <c r="J6" s="56" t="s">
        <v>48</v>
      </c>
      <c r="K6" s="52" t="s">
        <v>20</v>
      </c>
      <c r="L6" s="52" t="s">
        <v>20</v>
      </c>
      <c r="M6" s="52" t="s">
        <v>20</v>
      </c>
      <c r="N6" s="52" t="s">
        <v>20</v>
      </c>
      <c r="O6" s="52" t="s">
        <v>20</v>
      </c>
      <c r="P6" s="52" t="s">
        <v>20</v>
      </c>
      <c r="Q6" s="52" t="s">
        <v>20</v>
      </c>
      <c r="R6" s="52" t="s">
        <v>20</v>
      </c>
      <c r="S6" s="52" t="s">
        <v>20</v>
      </c>
      <c r="T6" s="52" t="s">
        <v>20</v>
      </c>
      <c r="U6" s="52" t="s">
        <v>20</v>
      </c>
      <c r="V6" s="52" t="s">
        <v>20</v>
      </c>
      <c r="W6" s="52" t="s">
        <v>20</v>
      </c>
      <c r="X6" s="52" t="s">
        <v>20</v>
      </c>
    </row>
    <row r="7" spans="1:24" ht="199.5" x14ac:dyDescent="0.2">
      <c r="A7" s="84" t="s">
        <v>117</v>
      </c>
      <c r="B7">
        <f t="shared" ref="B7:B70" ca="1" si="0">LEN(INDIRECT(ADDRESS(ROW() + (0),COLUMN() + (-1))))</f>
        <v>41</v>
      </c>
      <c r="D7" s="84" t="s">
        <v>116</v>
      </c>
      <c r="E7" s="84" t="s">
        <v>126</v>
      </c>
      <c r="F7" t="s">
        <v>32</v>
      </c>
      <c r="G7" s="61">
        <v>2142000</v>
      </c>
      <c r="H7" s="63">
        <v>2142000</v>
      </c>
      <c r="I7" t="s">
        <v>39</v>
      </c>
      <c r="J7" t="s">
        <v>44</v>
      </c>
      <c r="K7" s="198" t="s">
        <v>2787</v>
      </c>
      <c r="M7" t="s">
        <v>54</v>
      </c>
      <c r="N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" t="s">
        <v>57</v>
      </c>
      <c r="Q7" t="s">
        <v>61</v>
      </c>
      <c r="R7" t="s">
        <v>61</v>
      </c>
      <c r="S7" t="s">
        <v>64</v>
      </c>
      <c r="T7" t="s">
        <v>69</v>
      </c>
      <c r="U7" s="79">
        <v>30</v>
      </c>
      <c r="V7" t="s">
        <v>74</v>
      </c>
      <c r="W7" t="s">
        <v>3139</v>
      </c>
      <c r="X7" t="s">
        <v>123</v>
      </c>
    </row>
    <row r="8" spans="1:24" ht="199.5" x14ac:dyDescent="0.2">
      <c r="A8" s="84" t="s">
        <v>129</v>
      </c>
      <c r="B8">
        <f t="shared" ca="1" si="0"/>
        <v>52</v>
      </c>
      <c r="C8" s="54" t="s">
        <v>3140</v>
      </c>
      <c r="D8" s="84" t="s">
        <v>128</v>
      </c>
      <c r="E8" s="84" t="s">
        <v>126</v>
      </c>
      <c r="F8" t="s">
        <v>32</v>
      </c>
      <c r="G8" s="61">
        <v>464000</v>
      </c>
      <c r="H8" s="63">
        <v>464000</v>
      </c>
      <c r="I8" t="s">
        <v>39</v>
      </c>
      <c r="J8" t="s">
        <v>44</v>
      </c>
      <c r="K8" s="198" t="s">
        <v>2788</v>
      </c>
      <c r="M8" t="s">
        <v>54</v>
      </c>
      <c r="N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" t="s">
        <v>57</v>
      </c>
      <c r="Q8" t="s">
        <v>61</v>
      </c>
      <c r="R8" t="s">
        <v>61</v>
      </c>
      <c r="S8" t="s">
        <v>64</v>
      </c>
      <c r="T8" t="s">
        <v>69</v>
      </c>
      <c r="U8" s="79">
        <v>30</v>
      </c>
      <c r="V8" t="s">
        <v>74</v>
      </c>
      <c r="W8" t="s">
        <v>3139</v>
      </c>
      <c r="X8" t="s">
        <v>132</v>
      </c>
    </row>
    <row r="9" spans="1:24" ht="199.5" x14ac:dyDescent="0.2">
      <c r="A9" s="84" t="s">
        <v>138</v>
      </c>
      <c r="B9">
        <f t="shared" ca="1" si="0"/>
        <v>53</v>
      </c>
      <c r="C9" s="54" t="s">
        <v>3141</v>
      </c>
      <c r="D9" s="84" t="s">
        <v>137</v>
      </c>
      <c r="E9" s="84" t="s">
        <v>144</v>
      </c>
      <c r="F9" t="s">
        <v>32</v>
      </c>
      <c r="G9" s="61">
        <v>618000</v>
      </c>
      <c r="H9" s="63">
        <v>618000</v>
      </c>
      <c r="I9" t="s">
        <v>39</v>
      </c>
      <c r="J9" t="s">
        <v>44</v>
      </c>
      <c r="K9" s="198" t="s">
        <v>2789</v>
      </c>
      <c r="M9" t="s">
        <v>54</v>
      </c>
      <c r="N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" t="s">
        <v>57</v>
      </c>
      <c r="Q9" t="s">
        <v>61</v>
      </c>
      <c r="R9" t="s">
        <v>61</v>
      </c>
      <c r="S9" t="s">
        <v>64</v>
      </c>
      <c r="T9" t="s">
        <v>69</v>
      </c>
      <c r="U9" s="79">
        <v>30</v>
      </c>
      <c r="V9" t="s">
        <v>74</v>
      </c>
      <c r="W9" t="s">
        <v>3139</v>
      </c>
      <c r="X9" t="s">
        <v>141</v>
      </c>
    </row>
    <row r="10" spans="1:24" ht="199.5" x14ac:dyDescent="0.2">
      <c r="A10" s="84" t="s">
        <v>148</v>
      </c>
      <c r="B10">
        <f t="shared" ca="1" si="0"/>
        <v>38</v>
      </c>
      <c r="C10" s="54" t="s">
        <v>3142</v>
      </c>
      <c r="D10" s="84" t="s">
        <v>147</v>
      </c>
      <c r="E10" s="84" t="s">
        <v>125</v>
      </c>
      <c r="F10" t="s">
        <v>32</v>
      </c>
      <c r="G10" s="61">
        <v>950000</v>
      </c>
      <c r="H10" s="63">
        <v>950000</v>
      </c>
      <c r="I10" t="s">
        <v>39</v>
      </c>
      <c r="J10" t="s">
        <v>44</v>
      </c>
      <c r="K10" s="198" t="s">
        <v>2790</v>
      </c>
      <c r="M10" t="s">
        <v>54</v>
      </c>
      <c r="N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" t="s">
        <v>57</v>
      </c>
      <c r="Q10" t="s">
        <v>61</v>
      </c>
      <c r="R10" t="s">
        <v>61</v>
      </c>
      <c r="S10" t="s">
        <v>64</v>
      </c>
      <c r="T10" t="s">
        <v>69</v>
      </c>
      <c r="U10" s="79">
        <v>30</v>
      </c>
      <c r="V10" t="s">
        <v>74</v>
      </c>
      <c r="W10" t="s">
        <v>3139</v>
      </c>
      <c r="X10" t="s">
        <v>2572</v>
      </c>
    </row>
    <row r="11" spans="1:24" ht="199.5" x14ac:dyDescent="0.2">
      <c r="A11" s="84" t="s">
        <v>157</v>
      </c>
      <c r="B11">
        <f t="shared" ca="1" si="0"/>
        <v>56</v>
      </c>
      <c r="D11" s="84" t="s">
        <v>156</v>
      </c>
      <c r="E11" s="84" t="s">
        <v>126</v>
      </c>
      <c r="F11" t="s">
        <v>32</v>
      </c>
      <c r="G11" s="61">
        <v>670000</v>
      </c>
      <c r="H11" s="63">
        <v>670000</v>
      </c>
      <c r="I11" t="s">
        <v>39</v>
      </c>
      <c r="J11" t="s">
        <v>44</v>
      </c>
      <c r="K11" s="198" t="s">
        <v>2791</v>
      </c>
      <c r="M11" t="s">
        <v>54</v>
      </c>
      <c r="N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" t="s">
        <v>57</v>
      </c>
      <c r="Q11" t="s">
        <v>61</v>
      </c>
      <c r="R11" t="s">
        <v>61</v>
      </c>
      <c r="S11" t="s">
        <v>64</v>
      </c>
      <c r="T11" t="s">
        <v>69</v>
      </c>
      <c r="U11" s="79">
        <v>30</v>
      </c>
      <c r="V11" t="s">
        <v>74</v>
      </c>
      <c r="W11" t="s">
        <v>3139</v>
      </c>
      <c r="X11" t="s">
        <v>160</v>
      </c>
    </row>
    <row r="12" spans="1:24" ht="199.5" x14ac:dyDescent="0.2">
      <c r="A12" s="84" t="s">
        <v>166</v>
      </c>
      <c r="B12">
        <f t="shared" ca="1" si="0"/>
        <v>43</v>
      </c>
      <c r="C12" s="54" t="s">
        <v>3143</v>
      </c>
      <c r="D12" s="84" t="s">
        <v>165</v>
      </c>
      <c r="E12" s="84" t="s">
        <v>169</v>
      </c>
      <c r="F12" t="s">
        <v>32</v>
      </c>
      <c r="G12" s="61">
        <v>508000</v>
      </c>
      <c r="H12" s="63">
        <v>508000</v>
      </c>
      <c r="I12" t="s">
        <v>39</v>
      </c>
      <c r="J12" t="s">
        <v>44</v>
      </c>
      <c r="K12" s="198" t="s">
        <v>2792</v>
      </c>
      <c r="M12" t="s">
        <v>54</v>
      </c>
      <c r="N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" t="s">
        <v>57</v>
      </c>
      <c r="Q12" t="s">
        <v>61</v>
      </c>
      <c r="R12" t="s">
        <v>61</v>
      </c>
      <c r="S12" t="s">
        <v>64</v>
      </c>
      <c r="T12" t="s">
        <v>69</v>
      </c>
      <c r="U12" s="79">
        <v>30</v>
      </c>
      <c r="V12" t="s">
        <v>74</v>
      </c>
      <c r="W12" t="s">
        <v>3139</v>
      </c>
      <c r="X12" t="s">
        <v>167</v>
      </c>
    </row>
    <row r="13" spans="1:24" ht="199.5" x14ac:dyDescent="0.2">
      <c r="A13" s="84" t="s">
        <v>172</v>
      </c>
      <c r="B13">
        <f t="shared" ca="1" si="0"/>
        <v>37</v>
      </c>
      <c r="C13" s="54" t="s">
        <v>3144</v>
      </c>
      <c r="D13" s="84" t="s">
        <v>171</v>
      </c>
      <c r="E13" s="84" t="s">
        <v>125</v>
      </c>
      <c r="F13" t="s">
        <v>32</v>
      </c>
      <c r="G13" s="61">
        <v>880000</v>
      </c>
      <c r="H13" s="63">
        <v>880000</v>
      </c>
      <c r="I13" t="s">
        <v>39</v>
      </c>
      <c r="J13" t="s">
        <v>44</v>
      </c>
      <c r="K13" s="198" t="s">
        <v>2793</v>
      </c>
      <c r="M13" t="s">
        <v>54</v>
      </c>
      <c r="N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" t="s">
        <v>57</v>
      </c>
      <c r="Q13" t="s">
        <v>61</v>
      </c>
      <c r="R13" t="s">
        <v>61</v>
      </c>
      <c r="S13" t="s">
        <v>64</v>
      </c>
      <c r="T13" t="s">
        <v>69</v>
      </c>
      <c r="U13" s="79">
        <v>30</v>
      </c>
      <c r="V13" t="s">
        <v>74</v>
      </c>
      <c r="W13" t="s">
        <v>3139</v>
      </c>
      <c r="X13" t="s">
        <v>2573</v>
      </c>
    </row>
    <row r="14" spans="1:24" ht="213.75" x14ac:dyDescent="0.2">
      <c r="A14" s="84" t="s">
        <v>181</v>
      </c>
      <c r="B14">
        <f t="shared" ca="1" si="0"/>
        <v>59</v>
      </c>
      <c r="C14" s="54" t="s">
        <v>3145</v>
      </c>
      <c r="D14" s="84" t="s">
        <v>180</v>
      </c>
      <c r="E14" s="84" t="s">
        <v>126</v>
      </c>
      <c r="F14" t="s">
        <v>32</v>
      </c>
      <c r="G14" s="61">
        <v>1170000</v>
      </c>
      <c r="H14" s="63">
        <v>1170000</v>
      </c>
      <c r="I14" t="s">
        <v>39</v>
      </c>
      <c r="J14" t="s">
        <v>44</v>
      </c>
      <c r="K14" s="198" t="s">
        <v>2794</v>
      </c>
      <c r="M14" t="s">
        <v>54</v>
      </c>
      <c r="N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" t="s">
        <v>57</v>
      </c>
      <c r="Q14" t="s">
        <v>61</v>
      </c>
      <c r="R14" t="s">
        <v>61</v>
      </c>
      <c r="S14" t="s">
        <v>64</v>
      </c>
      <c r="T14" t="s">
        <v>69</v>
      </c>
      <c r="U14" s="79">
        <v>30</v>
      </c>
      <c r="V14" t="s">
        <v>74</v>
      </c>
      <c r="W14" t="s">
        <v>3139</v>
      </c>
      <c r="X14" t="s">
        <v>184</v>
      </c>
    </row>
    <row r="15" spans="1:24" ht="199.5" x14ac:dyDescent="0.2">
      <c r="A15" s="84" t="s">
        <v>190</v>
      </c>
      <c r="B15">
        <f t="shared" ca="1" si="0"/>
        <v>52</v>
      </c>
      <c r="D15" s="84" t="s">
        <v>189</v>
      </c>
      <c r="E15" s="84" t="s">
        <v>126</v>
      </c>
      <c r="F15" t="s">
        <v>32</v>
      </c>
      <c r="G15" s="61">
        <v>1307000</v>
      </c>
      <c r="H15" s="63">
        <v>1307000</v>
      </c>
      <c r="I15" t="s">
        <v>39</v>
      </c>
      <c r="J15" t="s">
        <v>44</v>
      </c>
      <c r="K15" s="198" t="s">
        <v>2795</v>
      </c>
      <c r="M15" t="s">
        <v>54</v>
      </c>
      <c r="N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" t="s">
        <v>57</v>
      </c>
      <c r="Q15" t="s">
        <v>61</v>
      </c>
      <c r="R15" t="s">
        <v>61</v>
      </c>
      <c r="S15" t="s">
        <v>64</v>
      </c>
      <c r="T15" t="s">
        <v>69</v>
      </c>
      <c r="U15" s="79">
        <v>30</v>
      </c>
      <c r="V15" t="s">
        <v>74</v>
      </c>
      <c r="W15" t="s">
        <v>3139</v>
      </c>
      <c r="X15" t="s">
        <v>191</v>
      </c>
    </row>
    <row r="16" spans="1:24" ht="199.5" x14ac:dyDescent="0.2">
      <c r="A16" s="84" t="s">
        <v>197</v>
      </c>
      <c r="B16">
        <f t="shared" ca="1" si="0"/>
        <v>43</v>
      </c>
      <c r="C16" s="54" t="s">
        <v>3146</v>
      </c>
      <c r="D16" s="84" t="s">
        <v>196</v>
      </c>
      <c r="E16" s="84" t="s">
        <v>200</v>
      </c>
      <c r="F16" t="s">
        <v>32</v>
      </c>
      <c r="G16" s="61">
        <v>624000</v>
      </c>
      <c r="H16" s="63">
        <v>624000</v>
      </c>
      <c r="I16" t="s">
        <v>39</v>
      </c>
      <c r="J16" t="s">
        <v>44</v>
      </c>
      <c r="K16" s="198" t="s">
        <v>2796</v>
      </c>
      <c r="M16" t="s">
        <v>54</v>
      </c>
      <c r="N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" t="s">
        <v>57</v>
      </c>
      <c r="Q16" t="s">
        <v>61</v>
      </c>
      <c r="R16" t="s">
        <v>61</v>
      </c>
      <c r="S16" t="s">
        <v>64</v>
      </c>
      <c r="T16" t="s">
        <v>69</v>
      </c>
      <c r="U16" s="79">
        <v>30</v>
      </c>
      <c r="V16" t="s">
        <v>74</v>
      </c>
      <c r="W16" t="s">
        <v>3139</v>
      </c>
      <c r="X16" t="s">
        <v>198</v>
      </c>
    </row>
    <row r="17" spans="1:24" ht="213.75" x14ac:dyDescent="0.2">
      <c r="A17" s="84" t="s">
        <v>2496</v>
      </c>
      <c r="B17">
        <f t="shared" ca="1" si="0"/>
        <v>60</v>
      </c>
      <c r="D17" s="84" t="s">
        <v>202</v>
      </c>
      <c r="E17" s="84" t="s">
        <v>126</v>
      </c>
      <c r="F17" t="s">
        <v>32</v>
      </c>
      <c r="G17" s="61">
        <v>684000</v>
      </c>
      <c r="H17" s="63">
        <v>684000</v>
      </c>
      <c r="I17" t="s">
        <v>39</v>
      </c>
      <c r="J17" t="s">
        <v>44</v>
      </c>
      <c r="K17" s="198" t="s">
        <v>2797</v>
      </c>
      <c r="M17" t="s">
        <v>54</v>
      </c>
      <c r="N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" t="s">
        <v>57</v>
      </c>
      <c r="Q17" t="s">
        <v>61</v>
      </c>
      <c r="R17" t="s">
        <v>61</v>
      </c>
      <c r="S17" t="s">
        <v>64</v>
      </c>
      <c r="T17" t="s">
        <v>69</v>
      </c>
      <c r="U17" s="79">
        <v>30</v>
      </c>
      <c r="V17" t="s">
        <v>74</v>
      </c>
      <c r="W17" t="s">
        <v>3139</v>
      </c>
      <c r="X17" t="s">
        <v>206</v>
      </c>
    </row>
    <row r="18" spans="1:24" ht="199.5" x14ac:dyDescent="0.2">
      <c r="A18" s="84" t="s">
        <v>212</v>
      </c>
      <c r="B18">
        <f t="shared" ca="1" si="0"/>
        <v>59</v>
      </c>
      <c r="C18" s="54" t="s">
        <v>3147</v>
      </c>
      <c r="D18" s="84" t="s">
        <v>211</v>
      </c>
      <c r="E18" s="84" t="s">
        <v>200</v>
      </c>
      <c r="F18" t="s">
        <v>32</v>
      </c>
      <c r="G18" s="61">
        <v>740000</v>
      </c>
      <c r="H18" s="63">
        <v>740000</v>
      </c>
      <c r="I18" t="s">
        <v>39</v>
      </c>
      <c r="J18" t="s">
        <v>44</v>
      </c>
      <c r="K18" s="198" t="s">
        <v>2798</v>
      </c>
      <c r="M18" t="s">
        <v>54</v>
      </c>
      <c r="N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" t="s">
        <v>57</v>
      </c>
      <c r="Q18" t="s">
        <v>61</v>
      </c>
      <c r="R18" t="s">
        <v>61</v>
      </c>
      <c r="S18" t="s">
        <v>64</v>
      </c>
      <c r="T18" t="s">
        <v>69</v>
      </c>
      <c r="U18" s="79">
        <v>30</v>
      </c>
      <c r="V18" t="s">
        <v>74</v>
      </c>
      <c r="W18" t="s">
        <v>3139</v>
      </c>
      <c r="X18" t="s">
        <v>2574</v>
      </c>
    </row>
    <row r="19" spans="1:24" ht="199.5" x14ac:dyDescent="0.2">
      <c r="A19" s="84" t="s">
        <v>217</v>
      </c>
      <c r="B19">
        <f t="shared" ca="1" si="0"/>
        <v>34</v>
      </c>
      <c r="D19" s="84" t="s">
        <v>216</v>
      </c>
      <c r="E19" s="84" t="s">
        <v>126</v>
      </c>
      <c r="F19" t="s">
        <v>32</v>
      </c>
      <c r="G19" s="61">
        <v>631000</v>
      </c>
      <c r="H19" s="63">
        <v>631000</v>
      </c>
      <c r="I19" t="s">
        <v>39</v>
      </c>
      <c r="J19" t="s">
        <v>44</v>
      </c>
      <c r="K19" s="198" t="s">
        <v>2799</v>
      </c>
      <c r="M19" t="s">
        <v>54</v>
      </c>
      <c r="N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" t="s">
        <v>57</v>
      </c>
      <c r="Q19" t="s">
        <v>61</v>
      </c>
      <c r="R19" t="s">
        <v>61</v>
      </c>
      <c r="S19" t="s">
        <v>64</v>
      </c>
      <c r="T19" t="s">
        <v>69</v>
      </c>
      <c r="U19" s="79">
        <v>30</v>
      </c>
      <c r="V19" t="s">
        <v>74</v>
      </c>
      <c r="W19" t="s">
        <v>3139</v>
      </c>
      <c r="X19" t="s">
        <v>218</v>
      </c>
    </row>
    <row r="20" spans="1:24" ht="199.5" x14ac:dyDescent="0.2">
      <c r="A20" s="84" t="s">
        <v>224</v>
      </c>
      <c r="B20">
        <f t="shared" ca="1" si="0"/>
        <v>56</v>
      </c>
      <c r="C20" s="54" t="s">
        <v>3148</v>
      </c>
      <c r="D20" s="84" t="s">
        <v>223</v>
      </c>
      <c r="E20" s="84" t="s">
        <v>125</v>
      </c>
      <c r="F20" t="s">
        <v>32</v>
      </c>
      <c r="G20" s="61">
        <v>450000</v>
      </c>
      <c r="H20" s="63">
        <v>450000</v>
      </c>
      <c r="I20" t="s">
        <v>39</v>
      </c>
      <c r="J20" t="s">
        <v>44</v>
      </c>
      <c r="K20" s="198" t="s">
        <v>2800</v>
      </c>
      <c r="M20" t="s">
        <v>54</v>
      </c>
      <c r="N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" t="s">
        <v>57</v>
      </c>
      <c r="Q20" t="s">
        <v>61</v>
      </c>
      <c r="R20" t="s">
        <v>61</v>
      </c>
      <c r="S20" t="s">
        <v>64</v>
      </c>
      <c r="T20" t="s">
        <v>69</v>
      </c>
      <c r="U20" s="79">
        <v>30</v>
      </c>
      <c r="V20" t="s">
        <v>74</v>
      </c>
      <c r="W20" t="s">
        <v>3139</v>
      </c>
      <c r="X20" t="s">
        <v>225</v>
      </c>
    </row>
    <row r="21" spans="1:24" ht="199.5" x14ac:dyDescent="0.2">
      <c r="A21" s="84" t="s">
        <v>231</v>
      </c>
      <c r="B21">
        <f t="shared" ca="1" si="0"/>
        <v>48</v>
      </c>
      <c r="C21" s="54" t="s">
        <v>3149</v>
      </c>
      <c r="D21" s="84" t="s">
        <v>230</v>
      </c>
      <c r="E21" s="84" t="s">
        <v>169</v>
      </c>
      <c r="F21" t="s">
        <v>32</v>
      </c>
      <c r="G21" s="61">
        <v>426000</v>
      </c>
      <c r="H21" s="63">
        <v>426000</v>
      </c>
      <c r="I21" t="s">
        <v>39</v>
      </c>
      <c r="J21" t="s">
        <v>44</v>
      </c>
      <c r="K21" s="198" t="s">
        <v>2801</v>
      </c>
      <c r="M21" t="s">
        <v>54</v>
      </c>
      <c r="N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" t="s">
        <v>57</v>
      </c>
      <c r="Q21" t="s">
        <v>61</v>
      </c>
      <c r="R21" t="s">
        <v>61</v>
      </c>
      <c r="S21" t="s">
        <v>64</v>
      </c>
      <c r="T21" t="s">
        <v>69</v>
      </c>
      <c r="U21" s="79">
        <v>30</v>
      </c>
      <c r="V21" t="s">
        <v>74</v>
      </c>
      <c r="W21" t="s">
        <v>3139</v>
      </c>
      <c r="X21" t="s">
        <v>234</v>
      </c>
    </row>
    <row r="22" spans="1:24" ht="199.5" x14ac:dyDescent="0.2">
      <c r="A22" s="84" t="s">
        <v>240</v>
      </c>
      <c r="B22">
        <f t="shared" ca="1" si="0"/>
        <v>53</v>
      </c>
      <c r="D22" s="84" t="s">
        <v>239</v>
      </c>
      <c r="E22" s="84" t="s">
        <v>126</v>
      </c>
      <c r="F22" t="s">
        <v>32</v>
      </c>
      <c r="G22" s="61">
        <v>410000</v>
      </c>
      <c r="H22" s="63">
        <v>410000</v>
      </c>
      <c r="I22" t="s">
        <v>39</v>
      </c>
      <c r="J22" t="s">
        <v>44</v>
      </c>
      <c r="K22" s="198" t="s">
        <v>2802</v>
      </c>
      <c r="M22" t="s">
        <v>54</v>
      </c>
      <c r="N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" t="s">
        <v>57</v>
      </c>
      <c r="Q22" t="s">
        <v>61</v>
      </c>
      <c r="R22" t="s">
        <v>61</v>
      </c>
      <c r="S22" t="s">
        <v>64</v>
      </c>
      <c r="T22" t="s">
        <v>69</v>
      </c>
      <c r="U22" s="79">
        <v>30</v>
      </c>
      <c r="V22" t="s">
        <v>74</v>
      </c>
      <c r="W22" t="s">
        <v>3139</v>
      </c>
      <c r="X22" t="s">
        <v>241</v>
      </c>
    </row>
    <row r="23" spans="1:24" ht="199.5" x14ac:dyDescent="0.2">
      <c r="A23" s="84" t="s">
        <v>247</v>
      </c>
      <c r="B23">
        <f t="shared" ca="1" si="0"/>
        <v>53</v>
      </c>
      <c r="C23" s="54" t="s">
        <v>3150</v>
      </c>
      <c r="D23" s="84" t="s">
        <v>246</v>
      </c>
      <c r="E23" s="84" t="s">
        <v>126</v>
      </c>
      <c r="F23" t="s">
        <v>32</v>
      </c>
      <c r="G23" s="61">
        <v>484000</v>
      </c>
      <c r="H23" s="63">
        <v>484000</v>
      </c>
      <c r="I23" t="s">
        <v>39</v>
      </c>
      <c r="J23" t="s">
        <v>44</v>
      </c>
      <c r="K23" s="198" t="s">
        <v>2803</v>
      </c>
      <c r="M23" t="s">
        <v>54</v>
      </c>
      <c r="N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" t="s">
        <v>57</v>
      </c>
      <c r="Q23" t="s">
        <v>61</v>
      </c>
      <c r="R23" t="s">
        <v>61</v>
      </c>
      <c r="S23" t="s">
        <v>64</v>
      </c>
      <c r="T23" t="s">
        <v>69</v>
      </c>
      <c r="U23" s="79">
        <v>30</v>
      </c>
      <c r="V23" t="s">
        <v>74</v>
      </c>
      <c r="W23" t="s">
        <v>3139</v>
      </c>
      <c r="X23" t="s">
        <v>2575</v>
      </c>
    </row>
    <row r="24" spans="1:24" ht="199.5" x14ac:dyDescent="0.2">
      <c r="A24" s="84" t="s">
        <v>2497</v>
      </c>
      <c r="B24">
        <f t="shared" ca="1" si="0"/>
        <v>56</v>
      </c>
      <c r="C24" s="54" t="s">
        <v>3151</v>
      </c>
      <c r="D24" s="84" t="s">
        <v>251</v>
      </c>
      <c r="E24" s="84" t="s">
        <v>126</v>
      </c>
      <c r="F24" t="s">
        <v>32</v>
      </c>
      <c r="G24" s="61">
        <v>426000</v>
      </c>
      <c r="H24" s="63">
        <v>426000</v>
      </c>
      <c r="I24" t="s">
        <v>39</v>
      </c>
      <c r="J24" t="s">
        <v>44</v>
      </c>
      <c r="K24" s="198" t="s">
        <v>2804</v>
      </c>
      <c r="M24" t="s">
        <v>54</v>
      </c>
      <c r="N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" t="s">
        <v>57</v>
      </c>
      <c r="Q24" t="s">
        <v>61</v>
      </c>
      <c r="R24" t="s">
        <v>61</v>
      </c>
      <c r="S24" t="s">
        <v>64</v>
      </c>
      <c r="T24" t="s">
        <v>69</v>
      </c>
      <c r="U24" s="79">
        <v>30</v>
      </c>
      <c r="V24" t="s">
        <v>74</v>
      </c>
      <c r="W24" t="s">
        <v>3139</v>
      </c>
      <c r="X24" t="s">
        <v>253</v>
      </c>
    </row>
    <row r="25" spans="1:24" ht="199.5" x14ac:dyDescent="0.2">
      <c r="A25" s="84" t="s">
        <v>2498</v>
      </c>
      <c r="B25">
        <f t="shared" ca="1" si="0"/>
        <v>56</v>
      </c>
      <c r="C25" s="54" t="s">
        <v>3152</v>
      </c>
      <c r="D25" s="84" t="s">
        <v>254</v>
      </c>
      <c r="E25" s="84" t="s">
        <v>200</v>
      </c>
      <c r="F25" t="s">
        <v>32</v>
      </c>
      <c r="G25" s="61">
        <v>461000</v>
      </c>
      <c r="H25" s="63">
        <v>461000</v>
      </c>
      <c r="I25" t="s">
        <v>39</v>
      </c>
      <c r="J25" t="s">
        <v>44</v>
      </c>
      <c r="K25" s="198" t="s">
        <v>2805</v>
      </c>
      <c r="M25" t="s">
        <v>54</v>
      </c>
      <c r="N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" t="s">
        <v>57</v>
      </c>
      <c r="Q25" t="s">
        <v>61</v>
      </c>
      <c r="R25" t="s">
        <v>61</v>
      </c>
      <c r="S25" t="s">
        <v>64</v>
      </c>
      <c r="T25" t="s">
        <v>69</v>
      </c>
      <c r="U25" s="79">
        <v>30</v>
      </c>
      <c r="V25" t="s">
        <v>74</v>
      </c>
      <c r="W25" t="s">
        <v>3139</v>
      </c>
      <c r="X25" t="s">
        <v>256</v>
      </c>
    </row>
    <row r="26" spans="1:24" ht="213.75" x14ac:dyDescent="0.2">
      <c r="A26" s="84" t="s">
        <v>2499</v>
      </c>
      <c r="B26">
        <f t="shared" ca="1" si="0"/>
        <v>58</v>
      </c>
      <c r="C26" s="54" t="s">
        <v>3153</v>
      </c>
      <c r="D26" s="84" t="s">
        <v>259</v>
      </c>
      <c r="E26" s="84" t="s">
        <v>264</v>
      </c>
      <c r="F26" t="s">
        <v>32</v>
      </c>
      <c r="G26" s="61">
        <v>380000</v>
      </c>
      <c r="H26" s="63">
        <v>380000</v>
      </c>
      <c r="I26" t="s">
        <v>39</v>
      </c>
      <c r="J26" t="s">
        <v>45</v>
      </c>
      <c r="K26" s="198" t="s">
        <v>2806</v>
      </c>
      <c r="M26" t="s">
        <v>54</v>
      </c>
      <c r="N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" t="s">
        <v>57</v>
      </c>
      <c r="Q26" t="s">
        <v>61</v>
      </c>
      <c r="R26" t="s">
        <v>61</v>
      </c>
      <c r="S26" t="s">
        <v>64</v>
      </c>
      <c r="T26" t="s">
        <v>69</v>
      </c>
      <c r="U26" s="79">
        <v>90</v>
      </c>
      <c r="V26" t="s">
        <v>74</v>
      </c>
      <c r="W26" t="s">
        <v>3139</v>
      </c>
      <c r="X26" t="s">
        <v>261</v>
      </c>
    </row>
    <row r="27" spans="1:24" ht="199.5" x14ac:dyDescent="0.2">
      <c r="A27" s="84" t="s">
        <v>268</v>
      </c>
      <c r="B27">
        <f t="shared" ca="1" si="0"/>
        <v>55</v>
      </c>
      <c r="C27" s="54" t="s">
        <v>3154</v>
      </c>
      <c r="D27" s="84" t="s">
        <v>267</v>
      </c>
      <c r="E27" s="84" t="s">
        <v>200</v>
      </c>
      <c r="F27" t="s">
        <v>32</v>
      </c>
      <c r="G27" s="61">
        <v>426000</v>
      </c>
      <c r="H27" s="63">
        <v>426000</v>
      </c>
      <c r="I27" t="s">
        <v>39</v>
      </c>
      <c r="J27" t="s">
        <v>44</v>
      </c>
      <c r="K27" s="198" t="s">
        <v>2807</v>
      </c>
      <c r="M27" t="s">
        <v>54</v>
      </c>
      <c r="N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" t="s">
        <v>57</v>
      </c>
      <c r="Q27" t="s">
        <v>61</v>
      </c>
      <c r="R27" t="s">
        <v>61</v>
      </c>
      <c r="S27" t="s">
        <v>64</v>
      </c>
      <c r="T27" t="s">
        <v>69</v>
      </c>
      <c r="U27" s="79">
        <v>30</v>
      </c>
      <c r="V27" t="s">
        <v>74</v>
      </c>
      <c r="W27" t="s">
        <v>3139</v>
      </c>
      <c r="X27" t="s">
        <v>269</v>
      </c>
    </row>
    <row r="28" spans="1:24" ht="199.5" x14ac:dyDescent="0.2">
      <c r="A28" s="84" t="s">
        <v>271</v>
      </c>
      <c r="B28">
        <f t="shared" ca="1" si="0"/>
        <v>46</v>
      </c>
      <c r="C28" s="54" t="s">
        <v>3155</v>
      </c>
      <c r="D28" s="84" t="s">
        <v>270</v>
      </c>
      <c r="E28" s="84" t="s">
        <v>125</v>
      </c>
      <c r="F28" t="s">
        <v>32</v>
      </c>
      <c r="G28" s="61">
        <v>1182000</v>
      </c>
      <c r="H28" s="63">
        <v>1182000</v>
      </c>
      <c r="I28" t="s">
        <v>39</v>
      </c>
      <c r="J28" t="s">
        <v>44</v>
      </c>
      <c r="K28" s="198" t="s">
        <v>2808</v>
      </c>
      <c r="M28" t="s">
        <v>54</v>
      </c>
      <c r="N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" t="s">
        <v>57</v>
      </c>
      <c r="Q28" t="s">
        <v>61</v>
      </c>
      <c r="R28" t="s">
        <v>61</v>
      </c>
      <c r="S28" t="s">
        <v>64</v>
      </c>
      <c r="T28" t="s">
        <v>69</v>
      </c>
      <c r="U28" s="79">
        <v>30</v>
      </c>
      <c r="V28" t="s">
        <v>74</v>
      </c>
      <c r="W28" t="s">
        <v>3139</v>
      </c>
      <c r="X28" t="s">
        <v>2576</v>
      </c>
    </row>
    <row r="29" spans="1:24" ht="199.5" x14ac:dyDescent="0.2">
      <c r="A29" s="84" t="s">
        <v>278</v>
      </c>
      <c r="B29">
        <f t="shared" ca="1" si="0"/>
        <v>49</v>
      </c>
      <c r="C29" s="54" t="s">
        <v>3156</v>
      </c>
      <c r="D29" s="84" t="s">
        <v>277</v>
      </c>
      <c r="E29" s="84" t="s">
        <v>200</v>
      </c>
      <c r="F29" t="s">
        <v>32</v>
      </c>
      <c r="G29" s="61">
        <v>357000</v>
      </c>
      <c r="H29" s="63">
        <v>357000</v>
      </c>
      <c r="I29" t="s">
        <v>39</v>
      </c>
      <c r="J29" t="s">
        <v>44</v>
      </c>
      <c r="K29" s="198" t="s">
        <v>2809</v>
      </c>
      <c r="M29" t="s">
        <v>54</v>
      </c>
      <c r="N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" t="s">
        <v>57</v>
      </c>
      <c r="Q29" t="s">
        <v>61</v>
      </c>
      <c r="R29" t="s">
        <v>61</v>
      </c>
      <c r="S29" t="s">
        <v>64</v>
      </c>
      <c r="T29" t="s">
        <v>69</v>
      </c>
      <c r="U29" s="79">
        <v>30</v>
      </c>
      <c r="V29" t="s">
        <v>74</v>
      </c>
      <c r="W29" t="s">
        <v>3139</v>
      </c>
      <c r="X29" t="s">
        <v>279</v>
      </c>
    </row>
    <row r="30" spans="1:24" ht="199.5" x14ac:dyDescent="0.2">
      <c r="A30" s="84" t="s">
        <v>285</v>
      </c>
      <c r="B30">
        <f t="shared" ca="1" si="0"/>
        <v>60</v>
      </c>
      <c r="C30" s="54" t="s">
        <v>3157</v>
      </c>
      <c r="D30" s="84" t="s">
        <v>284</v>
      </c>
      <c r="E30" s="84" t="s">
        <v>125</v>
      </c>
      <c r="F30" t="s">
        <v>32</v>
      </c>
      <c r="G30" s="61">
        <v>717000</v>
      </c>
      <c r="H30" s="63">
        <v>717000</v>
      </c>
      <c r="I30" t="s">
        <v>39</v>
      </c>
      <c r="J30" t="s">
        <v>44</v>
      </c>
      <c r="K30" s="198" t="s">
        <v>2810</v>
      </c>
      <c r="M30" t="s">
        <v>54</v>
      </c>
      <c r="N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" t="s">
        <v>57</v>
      </c>
      <c r="Q30" t="s">
        <v>61</v>
      </c>
      <c r="R30" t="s">
        <v>61</v>
      </c>
      <c r="S30" t="s">
        <v>64</v>
      </c>
      <c r="T30" t="s">
        <v>69</v>
      </c>
      <c r="U30" s="79">
        <v>30</v>
      </c>
      <c r="V30" t="s">
        <v>74</v>
      </c>
      <c r="W30" t="s">
        <v>3139</v>
      </c>
      <c r="X30" t="s">
        <v>2577</v>
      </c>
    </row>
    <row r="31" spans="1:24" ht="199.5" x14ac:dyDescent="0.2">
      <c r="A31" s="84" t="s">
        <v>290</v>
      </c>
      <c r="B31">
        <f t="shared" ca="1" si="0"/>
        <v>52</v>
      </c>
      <c r="C31" s="54" t="s">
        <v>3158</v>
      </c>
      <c r="D31" s="84" t="s">
        <v>289</v>
      </c>
      <c r="E31" s="84" t="s">
        <v>126</v>
      </c>
      <c r="F31" t="s">
        <v>32</v>
      </c>
      <c r="G31" s="61">
        <v>605000</v>
      </c>
      <c r="H31" s="63">
        <v>605000</v>
      </c>
      <c r="I31" t="s">
        <v>39</v>
      </c>
      <c r="J31" t="s">
        <v>44</v>
      </c>
      <c r="K31" s="198" t="s">
        <v>2811</v>
      </c>
      <c r="M31" t="s">
        <v>54</v>
      </c>
      <c r="N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" t="s">
        <v>57</v>
      </c>
      <c r="Q31" t="s">
        <v>61</v>
      </c>
      <c r="R31" t="s">
        <v>61</v>
      </c>
      <c r="S31" t="s">
        <v>64</v>
      </c>
      <c r="T31" t="s">
        <v>69</v>
      </c>
      <c r="U31" s="79">
        <v>30</v>
      </c>
      <c r="V31" t="s">
        <v>74</v>
      </c>
      <c r="W31" t="s">
        <v>3139</v>
      </c>
      <c r="X31" t="s">
        <v>293</v>
      </c>
    </row>
    <row r="32" spans="1:24" ht="199.5" x14ac:dyDescent="0.2">
      <c r="A32" s="84" t="s">
        <v>2500</v>
      </c>
      <c r="B32">
        <f t="shared" ca="1" si="0"/>
        <v>55</v>
      </c>
      <c r="C32" s="54" t="s">
        <v>3159</v>
      </c>
      <c r="D32" s="84" t="s">
        <v>296</v>
      </c>
      <c r="E32" s="84" t="s">
        <v>301</v>
      </c>
      <c r="F32" t="s">
        <v>32</v>
      </c>
      <c r="G32" s="61">
        <v>554000</v>
      </c>
      <c r="H32" s="63">
        <v>554000</v>
      </c>
      <c r="I32" t="s">
        <v>39</v>
      </c>
      <c r="J32" t="s">
        <v>44</v>
      </c>
      <c r="K32" s="198" t="s">
        <v>2812</v>
      </c>
      <c r="M32" t="s">
        <v>54</v>
      </c>
      <c r="N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" t="s">
        <v>57</v>
      </c>
      <c r="Q32" t="s">
        <v>61</v>
      </c>
      <c r="R32" t="s">
        <v>61</v>
      </c>
      <c r="S32" t="s">
        <v>64</v>
      </c>
      <c r="T32" t="s">
        <v>69</v>
      </c>
      <c r="U32" s="79">
        <v>30</v>
      </c>
      <c r="V32" t="s">
        <v>74</v>
      </c>
      <c r="W32" t="s">
        <v>3139</v>
      </c>
      <c r="X32" t="s">
        <v>298</v>
      </c>
    </row>
    <row r="33" spans="1:24" ht="199.5" x14ac:dyDescent="0.2">
      <c r="A33" s="84" t="s">
        <v>305</v>
      </c>
      <c r="B33">
        <f t="shared" ca="1" si="0"/>
        <v>52</v>
      </c>
      <c r="C33" s="54" t="s">
        <v>3160</v>
      </c>
      <c r="D33" s="84" t="s">
        <v>304</v>
      </c>
      <c r="E33" s="84" t="s">
        <v>264</v>
      </c>
      <c r="F33" t="s">
        <v>32</v>
      </c>
      <c r="G33" s="61">
        <v>589000</v>
      </c>
      <c r="H33" s="63">
        <v>589000</v>
      </c>
      <c r="I33" t="s">
        <v>39</v>
      </c>
      <c r="J33" t="s">
        <v>44</v>
      </c>
      <c r="K33" s="198" t="s">
        <v>2813</v>
      </c>
      <c r="M33" t="s">
        <v>54</v>
      </c>
      <c r="N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" t="s">
        <v>57</v>
      </c>
      <c r="Q33" t="s">
        <v>61</v>
      </c>
      <c r="R33" t="s">
        <v>61</v>
      </c>
      <c r="S33" t="s">
        <v>64</v>
      </c>
      <c r="T33" t="s">
        <v>69</v>
      </c>
      <c r="U33" s="79">
        <v>30</v>
      </c>
      <c r="V33" t="s">
        <v>74</v>
      </c>
      <c r="W33" t="s">
        <v>3139</v>
      </c>
      <c r="X33" t="s">
        <v>306</v>
      </c>
    </row>
    <row r="34" spans="1:24" ht="199.5" x14ac:dyDescent="0.2">
      <c r="A34" s="84" t="s">
        <v>312</v>
      </c>
      <c r="B34">
        <f t="shared" ca="1" si="0"/>
        <v>56</v>
      </c>
      <c r="D34" s="84" t="s">
        <v>311</v>
      </c>
      <c r="E34" s="84" t="s">
        <v>126</v>
      </c>
      <c r="F34" t="s">
        <v>32</v>
      </c>
      <c r="G34" s="61">
        <v>450000</v>
      </c>
      <c r="H34" s="63">
        <v>450000</v>
      </c>
      <c r="I34" t="s">
        <v>39</v>
      </c>
      <c r="J34" t="s">
        <v>45</v>
      </c>
      <c r="K34" s="198" t="s">
        <v>2814</v>
      </c>
      <c r="M34" t="s">
        <v>54</v>
      </c>
      <c r="N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" t="s">
        <v>57</v>
      </c>
      <c r="Q34" t="s">
        <v>61</v>
      </c>
      <c r="R34" t="s">
        <v>61</v>
      </c>
      <c r="S34" t="s">
        <v>64</v>
      </c>
      <c r="T34" t="s">
        <v>69</v>
      </c>
      <c r="U34" s="79">
        <v>90</v>
      </c>
      <c r="V34" t="s">
        <v>74</v>
      </c>
      <c r="W34" t="s">
        <v>3139</v>
      </c>
      <c r="X34" t="s">
        <v>313</v>
      </c>
    </row>
    <row r="35" spans="1:24" ht="199.5" x14ac:dyDescent="0.2">
      <c r="A35" s="84" t="s">
        <v>317</v>
      </c>
      <c r="B35">
        <f t="shared" ca="1" si="0"/>
        <v>49</v>
      </c>
      <c r="C35" s="54" t="s">
        <v>3161</v>
      </c>
      <c r="D35" s="84" t="s">
        <v>316</v>
      </c>
      <c r="E35" s="84" t="s">
        <v>126</v>
      </c>
      <c r="F35" t="s">
        <v>32</v>
      </c>
      <c r="G35" s="61">
        <v>461000</v>
      </c>
      <c r="H35" s="63">
        <v>461000</v>
      </c>
      <c r="I35" t="s">
        <v>39</v>
      </c>
      <c r="J35" t="s">
        <v>44</v>
      </c>
      <c r="K35" s="198" t="s">
        <v>2815</v>
      </c>
      <c r="M35" t="s">
        <v>54</v>
      </c>
      <c r="N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" t="s">
        <v>57</v>
      </c>
      <c r="Q35" t="s">
        <v>61</v>
      </c>
      <c r="R35" t="s">
        <v>61</v>
      </c>
      <c r="S35" t="s">
        <v>64</v>
      </c>
      <c r="T35" t="s">
        <v>69</v>
      </c>
      <c r="U35" s="79">
        <v>30</v>
      </c>
      <c r="V35" t="s">
        <v>74</v>
      </c>
      <c r="W35" t="s">
        <v>3139</v>
      </c>
      <c r="X35" t="s">
        <v>318</v>
      </c>
    </row>
    <row r="36" spans="1:24" ht="199.5" x14ac:dyDescent="0.2">
      <c r="A36" s="84" t="s">
        <v>320</v>
      </c>
      <c r="B36">
        <f t="shared" ca="1" si="0"/>
        <v>52</v>
      </c>
      <c r="C36" s="54" t="s">
        <v>3162</v>
      </c>
      <c r="D36" s="84" t="s">
        <v>319</v>
      </c>
      <c r="E36" s="84" t="s">
        <v>125</v>
      </c>
      <c r="F36" t="s">
        <v>32</v>
      </c>
      <c r="G36" s="61">
        <v>694000</v>
      </c>
      <c r="H36" s="63">
        <v>694000</v>
      </c>
      <c r="I36" t="s">
        <v>39</v>
      </c>
      <c r="J36" t="s">
        <v>44</v>
      </c>
      <c r="K36" s="198" t="s">
        <v>2816</v>
      </c>
      <c r="M36" t="s">
        <v>54</v>
      </c>
      <c r="N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" t="s">
        <v>57</v>
      </c>
      <c r="Q36" t="s">
        <v>61</v>
      </c>
      <c r="R36" t="s">
        <v>61</v>
      </c>
      <c r="S36" t="s">
        <v>64</v>
      </c>
      <c r="T36" t="s">
        <v>69</v>
      </c>
      <c r="U36" s="79">
        <v>30</v>
      </c>
      <c r="V36" t="s">
        <v>74</v>
      </c>
      <c r="W36" t="s">
        <v>3139</v>
      </c>
      <c r="X36" t="s">
        <v>321</v>
      </c>
    </row>
    <row r="37" spans="1:24" ht="199.5" x14ac:dyDescent="0.2">
      <c r="A37" s="84" t="s">
        <v>327</v>
      </c>
      <c r="B37">
        <f t="shared" ca="1" si="0"/>
        <v>53</v>
      </c>
      <c r="C37" s="54" t="s">
        <v>3163</v>
      </c>
      <c r="D37" s="84" t="s">
        <v>326</v>
      </c>
      <c r="E37" s="84" t="s">
        <v>169</v>
      </c>
      <c r="F37" t="s">
        <v>32</v>
      </c>
      <c r="G37" s="61">
        <v>694000</v>
      </c>
      <c r="H37" s="63">
        <v>694000</v>
      </c>
      <c r="I37" t="s">
        <v>39</v>
      </c>
      <c r="J37" t="s">
        <v>44</v>
      </c>
      <c r="K37" s="198" t="s">
        <v>2817</v>
      </c>
      <c r="M37" t="s">
        <v>54</v>
      </c>
      <c r="N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" t="s">
        <v>57</v>
      </c>
      <c r="Q37" t="s">
        <v>61</v>
      </c>
      <c r="R37" t="s">
        <v>61</v>
      </c>
      <c r="S37" t="s">
        <v>64</v>
      </c>
      <c r="T37" t="s">
        <v>69</v>
      </c>
      <c r="U37" s="79">
        <v>30</v>
      </c>
      <c r="V37" t="s">
        <v>74</v>
      </c>
      <c r="W37" t="s">
        <v>3139</v>
      </c>
      <c r="X37" t="s">
        <v>328</v>
      </c>
    </row>
    <row r="38" spans="1:24" ht="199.5" x14ac:dyDescent="0.2">
      <c r="A38" s="84" t="s">
        <v>334</v>
      </c>
      <c r="B38">
        <f t="shared" ca="1" si="0"/>
        <v>38</v>
      </c>
      <c r="C38" s="54" t="s">
        <v>3164</v>
      </c>
      <c r="D38" s="84" t="s">
        <v>333</v>
      </c>
      <c r="E38" s="84" t="s">
        <v>169</v>
      </c>
      <c r="F38" t="s">
        <v>32</v>
      </c>
      <c r="G38" s="61">
        <v>938000</v>
      </c>
      <c r="H38" s="63">
        <v>938000</v>
      </c>
      <c r="I38" t="s">
        <v>39</v>
      </c>
      <c r="J38" t="s">
        <v>44</v>
      </c>
      <c r="K38" s="198" t="s">
        <v>2818</v>
      </c>
      <c r="M38" t="s">
        <v>54</v>
      </c>
      <c r="N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" t="s">
        <v>57</v>
      </c>
      <c r="Q38" t="s">
        <v>61</v>
      </c>
      <c r="R38" t="s">
        <v>61</v>
      </c>
      <c r="S38" t="s">
        <v>64</v>
      </c>
      <c r="T38" t="s">
        <v>69</v>
      </c>
      <c r="U38" s="79">
        <v>30</v>
      </c>
      <c r="V38" t="s">
        <v>74</v>
      </c>
      <c r="W38" t="s">
        <v>3139</v>
      </c>
      <c r="X38" t="s">
        <v>2578</v>
      </c>
    </row>
    <row r="39" spans="1:24" ht="185.25" x14ac:dyDescent="0.2">
      <c r="A39" s="84" t="s">
        <v>341</v>
      </c>
      <c r="B39">
        <f t="shared" ca="1" si="0"/>
        <v>30</v>
      </c>
      <c r="C39" s="54" t="s">
        <v>3165</v>
      </c>
      <c r="D39" s="84" t="s">
        <v>340</v>
      </c>
      <c r="E39" s="84" t="s">
        <v>126</v>
      </c>
      <c r="F39" t="s">
        <v>32</v>
      </c>
      <c r="G39" s="61">
        <v>333000</v>
      </c>
      <c r="H39" s="63">
        <v>333000</v>
      </c>
      <c r="I39" t="s">
        <v>39</v>
      </c>
      <c r="J39" t="s">
        <v>44</v>
      </c>
      <c r="K39" s="198" t="s">
        <v>2819</v>
      </c>
      <c r="M39" t="s">
        <v>54</v>
      </c>
      <c r="N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" t="s">
        <v>57</v>
      </c>
      <c r="Q39" t="s">
        <v>61</v>
      </c>
      <c r="R39" t="s">
        <v>61</v>
      </c>
      <c r="S39" t="s">
        <v>64</v>
      </c>
      <c r="T39" t="s">
        <v>69</v>
      </c>
      <c r="U39" s="79">
        <v>30</v>
      </c>
      <c r="V39" t="s">
        <v>74</v>
      </c>
      <c r="W39" t="s">
        <v>3139</v>
      </c>
      <c r="X39" t="s">
        <v>342</v>
      </c>
    </row>
    <row r="40" spans="1:24" ht="199.5" x14ac:dyDescent="0.2">
      <c r="A40" s="84" t="s">
        <v>346</v>
      </c>
      <c r="B40">
        <f t="shared" ca="1" si="0"/>
        <v>43</v>
      </c>
      <c r="C40" s="54" t="s">
        <v>3166</v>
      </c>
      <c r="D40" s="84" t="s">
        <v>345</v>
      </c>
      <c r="E40" s="84" t="s">
        <v>200</v>
      </c>
      <c r="F40" t="s">
        <v>32</v>
      </c>
      <c r="G40" s="61">
        <v>926000</v>
      </c>
      <c r="H40" s="63">
        <v>926000</v>
      </c>
      <c r="I40" t="s">
        <v>39</v>
      </c>
      <c r="J40" t="s">
        <v>44</v>
      </c>
      <c r="K40" s="198" t="s">
        <v>2820</v>
      </c>
      <c r="M40" t="s">
        <v>54</v>
      </c>
      <c r="N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" t="s">
        <v>57</v>
      </c>
      <c r="Q40" t="s">
        <v>61</v>
      </c>
      <c r="R40" t="s">
        <v>61</v>
      </c>
      <c r="S40" t="s">
        <v>64</v>
      </c>
      <c r="T40" t="s">
        <v>69</v>
      </c>
      <c r="U40" s="79">
        <v>30</v>
      </c>
      <c r="V40" t="s">
        <v>74</v>
      </c>
      <c r="W40" t="s">
        <v>3139</v>
      </c>
      <c r="X40" t="s">
        <v>347</v>
      </c>
    </row>
    <row r="41" spans="1:24" ht="199.5" x14ac:dyDescent="0.2">
      <c r="A41" s="84" t="s">
        <v>2501</v>
      </c>
      <c r="B41">
        <f t="shared" ca="1" si="0"/>
        <v>58</v>
      </c>
      <c r="C41" s="54" t="s">
        <v>3167</v>
      </c>
      <c r="D41" s="84" t="s">
        <v>350</v>
      </c>
      <c r="E41" s="84" t="s">
        <v>125</v>
      </c>
      <c r="F41" t="s">
        <v>32</v>
      </c>
      <c r="G41" s="61">
        <v>752000</v>
      </c>
      <c r="H41" s="63">
        <v>752000</v>
      </c>
      <c r="I41" t="s">
        <v>39</v>
      </c>
      <c r="J41" t="s">
        <v>44</v>
      </c>
      <c r="K41" s="198" t="s">
        <v>2821</v>
      </c>
      <c r="M41" t="s">
        <v>54</v>
      </c>
      <c r="N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" t="s">
        <v>57</v>
      </c>
      <c r="Q41" t="s">
        <v>61</v>
      </c>
      <c r="R41" t="s">
        <v>61</v>
      </c>
      <c r="S41" t="s">
        <v>64</v>
      </c>
      <c r="T41" t="s">
        <v>69</v>
      </c>
      <c r="U41" s="79">
        <v>30</v>
      </c>
      <c r="V41" t="s">
        <v>74</v>
      </c>
      <c r="W41" t="s">
        <v>3139</v>
      </c>
      <c r="X41" t="s">
        <v>352</v>
      </c>
    </row>
    <row r="42" spans="1:24" ht="199.5" x14ac:dyDescent="0.2">
      <c r="A42" s="84" t="s">
        <v>2502</v>
      </c>
      <c r="B42">
        <f t="shared" ca="1" si="0"/>
        <v>59</v>
      </c>
      <c r="C42" s="54" t="s">
        <v>3168</v>
      </c>
      <c r="D42" s="84" t="s">
        <v>357</v>
      </c>
      <c r="E42" s="84" t="s">
        <v>200</v>
      </c>
      <c r="F42" t="s">
        <v>32</v>
      </c>
      <c r="G42" s="61">
        <v>531000</v>
      </c>
      <c r="H42" s="63">
        <v>531000</v>
      </c>
      <c r="I42" t="s">
        <v>39</v>
      </c>
      <c r="J42" t="s">
        <v>44</v>
      </c>
      <c r="K42" s="198" t="s">
        <v>2822</v>
      </c>
      <c r="M42" t="s">
        <v>54</v>
      </c>
      <c r="N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" t="s">
        <v>57</v>
      </c>
      <c r="Q42" t="s">
        <v>61</v>
      </c>
      <c r="R42" t="s">
        <v>61</v>
      </c>
      <c r="S42" t="s">
        <v>64</v>
      </c>
      <c r="T42" t="s">
        <v>69</v>
      </c>
      <c r="U42" s="79">
        <v>30</v>
      </c>
      <c r="V42" t="s">
        <v>74</v>
      </c>
      <c r="W42" t="s">
        <v>3139</v>
      </c>
      <c r="X42" t="s">
        <v>359</v>
      </c>
    </row>
    <row r="43" spans="1:24" ht="199.5" x14ac:dyDescent="0.2">
      <c r="A43" s="84" t="s">
        <v>364</v>
      </c>
      <c r="B43">
        <f t="shared" ca="1" si="0"/>
        <v>57</v>
      </c>
      <c r="C43" s="54" t="s">
        <v>3169</v>
      </c>
      <c r="D43" s="84" t="s">
        <v>363</v>
      </c>
      <c r="E43" s="84" t="s">
        <v>125</v>
      </c>
      <c r="F43" t="s">
        <v>32</v>
      </c>
      <c r="G43" s="61">
        <v>391000</v>
      </c>
      <c r="H43" s="63">
        <v>391000</v>
      </c>
      <c r="I43" t="s">
        <v>39</v>
      </c>
      <c r="J43" t="s">
        <v>44</v>
      </c>
      <c r="K43" s="198" t="s">
        <v>2823</v>
      </c>
      <c r="M43" t="s">
        <v>54</v>
      </c>
      <c r="N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" t="s">
        <v>57</v>
      </c>
      <c r="Q43" t="s">
        <v>61</v>
      </c>
      <c r="R43" t="s">
        <v>61</v>
      </c>
      <c r="S43" t="s">
        <v>64</v>
      </c>
      <c r="T43" t="s">
        <v>69</v>
      </c>
      <c r="U43" s="79">
        <v>30</v>
      </c>
      <c r="V43" t="s">
        <v>74</v>
      </c>
      <c r="W43" t="s">
        <v>3139</v>
      </c>
      <c r="X43" t="s">
        <v>365</v>
      </c>
    </row>
    <row r="44" spans="1:24" ht="199.5" x14ac:dyDescent="0.2">
      <c r="A44" s="84" t="s">
        <v>367</v>
      </c>
      <c r="B44">
        <f t="shared" ca="1" si="0"/>
        <v>58</v>
      </c>
      <c r="C44" s="54" t="s">
        <v>3170</v>
      </c>
      <c r="D44" s="84" t="s">
        <v>366</v>
      </c>
      <c r="E44" s="84" t="s">
        <v>126</v>
      </c>
      <c r="F44" t="s">
        <v>32</v>
      </c>
      <c r="G44" s="61">
        <v>438000</v>
      </c>
      <c r="H44" s="63">
        <v>438000</v>
      </c>
      <c r="I44" t="s">
        <v>39</v>
      </c>
      <c r="J44" t="s">
        <v>44</v>
      </c>
      <c r="K44" s="198" t="s">
        <v>2824</v>
      </c>
      <c r="M44" t="s">
        <v>54</v>
      </c>
      <c r="N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" t="s">
        <v>57</v>
      </c>
      <c r="Q44" t="s">
        <v>61</v>
      </c>
      <c r="R44" t="s">
        <v>61</v>
      </c>
      <c r="S44" t="s">
        <v>64</v>
      </c>
      <c r="T44" t="s">
        <v>69</v>
      </c>
      <c r="U44" s="79">
        <v>30</v>
      </c>
      <c r="V44" t="s">
        <v>74</v>
      </c>
      <c r="W44" t="s">
        <v>3139</v>
      </c>
      <c r="X44" t="s">
        <v>368</v>
      </c>
    </row>
    <row r="45" spans="1:24" ht="199.5" x14ac:dyDescent="0.2">
      <c r="A45" s="84" t="s">
        <v>372</v>
      </c>
      <c r="B45">
        <f t="shared" ca="1" si="0"/>
        <v>36</v>
      </c>
      <c r="C45" s="54" t="s">
        <v>3171</v>
      </c>
      <c r="D45" s="84" t="s">
        <v>371</v>
      </c>
      <c r="E45" s="84" t="s">
        <v>125</v>
      </c>
      <c r="F45" t="s">
        <v>32</v>
      </c>
      <c r="G45" s="61">
        <v>579000</v>
      </c>
      <c r="H45" s="63">
        <v>579000</v>
      </c>
      <c r="I45" t="s">
        <v>39</v>
      </c>
      <c r="J45" t="s">
        <v>44</v>
      </c>
      <c r="K45" s="198" t="s">
        <v>2825</v>
      </c>
      <c r="M45" t="s">
        <v>54</v>
      </c>
      <c r="N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" t="s">
        <v>57</v>
      </c>
      <c r="Q45" t="s">
        <v>61</v>
      </c>
      <c r="R45" t="s">
        <v>61</v>
      </c>
      <c r="S45" t="s">
        <v>64</v>
      </c>
      <c r="T45" t="s">
        <v>69</v>
      </c>
      <c r="U45" s="79">
        <v>30</v>
      </c>
      <c r="V45" t="s">
        <v>74</v>
      </c>
      <c r="W45" t="s">
        <v>3139</v>
      </c>
      <c r="X45" t="s">
        <v>2579</v>
      </c>
    </row>
    <row r="46" spans="1:24" ht="199.5" x14ac:dyDescent="0.2">
      <c r="A46" s="84" t="s">
        <v>379</v>
      </c>
      <c r="B46">
        <f t="shared" ca="1" si="0"/>
        <v>53</v>
      </c>
      <c r="C46" s="54" t="s">
        <v>3172</v>
      </c>
      <c r="D46" s="84" t="s">
        <v>378</v>
      </c>
      <c r="E46" s="84" t="s">
        <v>200</v>
      </c>
      <c r="F46" t="s">
        <v>32</v>
      </c>
      <c r="G46" s="61">
        <v>484000</v>
      </c>
      <c r="H46" s="63">
        <v>484000</v>
      </c>
      <c r="I46" t="s">
        <v>39</v>
      </c>
      <c r="J46" t="s">
        <v>44</v>
      </c>
      <c r="K46" s="198" t="s">
        <v>2826</v>
      </c>
      <c r="M46" t="s">
        <v>54</v>
      </c>
      <c r="N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" t="s">
        <v>57</v>
      </c>
      <c r="Q46" t="s">
        <v>61</v>
      </c>
      <c r="R46" t="s">
        <v>61</v>
      </c>
      <c r="S46" t="s">
        <v>64</v>
      </c>
      <c r="T46" t="s">
        <v>69</v>
      </c>
      <c r="U46" s="79">
        <v>30</v>
      </c>
      <c r="V46" t="s">
        <v>74</v>
      </c>
      <c r="W46" t="s">
        <v>3139</v>
      </c>
      <c r="X46" t="s">
        <v>382</v>
      </c>
    </row>
    <row r="47" spans="1:24" ht="199.5" x14ac:dyDescent="0.2">
      <c r="A47" s="84" t="s">
        <v>384</v>
      </c>
      <c r="B47">
        <f t="shared" ca="1" si="0"/>
        <v>43</v>
      </c>
      <c r="C47" s="54" t="s">
        <v>3173</v>
      </c>
      <c r="D47" s="84" t="s">
        <v>383</v>
      </c>
      <c r="E47" s="84" t="s">
        <v>200</v>
      </c>
      <c r="F47" t="s">
        <v>32</v>
      </c>
      <c r="G47" s="61">
        <v>798000</v>
      </c>
      <c r="H47" s="63">
        <v>798000</v>
      </c>
      <c r="I47" t="s">
        <v>39</v>
      </c>
      <c r="J47" t="s">
        <v>44</v>
      </c>
      <c r="K47" s="198" t="s">
        <v>2827</v>
      </c>
      <c r="M47" t="s">
        <v>54</v>
      </c>
      <c r="N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" t="s">
        <v>57</v>
      </c>
      <c r="Q47" t="s">
        <v>61</v>
      </c>
      <c r="R47" t="s">
        <v>61</v>
      </c>
      <c r="S47" t="s">
        <v>64</v>
      </c>
      <c r="T47" t="s">
        <v>69</v>
      </c>
      <c r="U47" s="79">
        <v>30</v>
      </c>
      <c r="V47" t="s">
        <v>74</v>
      </c>
      <c r="W47" t="s">
        <v>3139</v>
      </c>
      <c r="X47" t="s">
        <v>385</v>
      </c>
    </row>
    <row r="48" spans="1:24" ht="199.5" x14ac:dyDescent="0.2">
      <c r="A48" s="84" t="s">
        <v>389</v>
      </c>
      <c r="B48">
        <f t="shared" ca="1" si="0"/>
        <v>47</v>
      </c>
      <c r="C48" s="54" t="s">
        <v>3174</v>
      </c>
      <c r="D48" s="84" t="s">
        <v>388</v>
      </c>
      <c r="E48" s="84" t="s">
        <v>126</v>
      </c>
      <c r="F48" t="s">
        <v>32</v>
      </c>
      <c r="G48" s="61">
        <v>1089000</v>
      </c>
      <c r="H48" s="63">
        <v>1089000</v>
      </c>
      <c r="I48" t="s">
        <v>39</v>
      </c>
      <c r="J48" t="s">
        <v>44</v>
      </c>
      <c r="K48" s="198" t="s">
        <v>2828</v>
      </c>
      <c r="M48" t="s">
        <v>54</v>
      </c>
      <c r="N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" t="s">
        <v>57</v>
      </c>
      <c r="Q48" t="s">
        <v>61</v>
      </c>
      <c r="R48" t="s">
        <v>61</v>
      </c>
      <c r="S48" t="s">
        <v>64</v>
      </c>
      <c r="T48" t="s">
        <v>69</v>
      </c>
      <c r="U48" s="79">
        <v>30</v>
      </c>
      <c r="V48" t="s">
        <v>74</v>
      </c>
      <c r="W48" t="s">
        <v>3139</v>
      </c>
      <c r="X48" t="s">
        <v>2580</v>
      </c>
    </row>
    <row r="49" spans="1:24" ht="199.5" x14ac:dyDescent="0.2">
      <c r="A49" s="84" t="s">
        <v>2503</v>
      </c>
      <c r="B49">
        <f t="shared" ca="1" si="0"/>
        <v>56</v>
      </c>
      <c r="C49" s="54" t="s">
        <v>3175</v>
      </c>
      <c r="D49" s="84" t="s">
        <v>393</v>
      </c>
      <c r="E49" s="84" t="s">
        <v>126</v>
      </c>
      <c r="F49" t="s">
        <v>32</v>
      </c>
      <c r="G49" s="61">
        <v>659000</v>
      </c>
      <c r="H49" s="63">
        <v>659000</v>
      </c>
      <c r="I49" t="s">
        <v>39</v>
      </c>
      <c r="J49" t="s">
        <v>44</v>
      </c>
      <c r="K49" s="198" t="s">
        <v>2829</v>
      </c>
      <c r="M49" t="s">
        <v>54</v>
      </c>
      <c r="N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" t="s">
        <v>57</v>
      </c>
      <c r="Q49" t="s">
        <v>61</v>
      </c>
      <c r="R49" t="s">
        <v>61</v>
      </c>
      <c r="S49" t="s">
        <v>64</v>
      </c>
      <c r="T49" t="s">
        <v>69</v>
      </c>
      <c r="U49" s="79">
        <v>30</v>
      </c>
      <c r="V49" t="s">
        <v>74</v>
      </c>
      <c r="W49" t="s">
        <v>3139</v>
      </c>
      <c r="X49" t="s">
        <v>395</v>
      </c>
    </row>
    <row r="50" spans="1:24" ht="199.5" x14ac:dyDescent="0.2">
      <c r="A50" s="84" t="s">
        <v>2504</v>
      </c>
      <c r="B50">
        <f t="shared" ca="1" si="0"/>
        <v>37</v>
      </c>
      <c r="C50" s="54" t="s">
        <v>3176</v>
      </c>
      <c r="D50" s="84" t="s">
        <v>398</v>
      </c>
      <c r="E50" s="84" t="s">
        <v>402</v>
      </c>
      <c r="F50" t="s">
        <v>32</v>
      </c>
      <c r="G50" s="61">
        <v>519000</v>
      </c>
      <c r="H50" s="63">
        <v>519000</v>
      </c>
      <c r="I50" t="s">
        <v>39</v>
      </c>
      <c r="J50" t="s">
        <v>44</v>
      </c>
      <c r="K50" s="198" t="s">
        <v>2830</v>
      </c>
      <c r="M50" t="s">
        <v>54</v>
      </c>
      <c r="N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" t="s">
        <v>57</v>
      </c>
      <c r="Q50" t="s">
        <v>61</v>
      </c>
      <c r="R50" t="s">
        <v>61</v>
      </c>
      <c r="S50" t="s">
        <v>64</v>
      </c>
      <c r="T50" t="s">
        <v>69</v>
      </c>
      <c r="U50" s="79">
        <v>30</v>
      </c>
      <c r="V50" t="s">
        <v>74</v>
      </c>
      <c r="W50" t="s">
        <v>3139</v>
      </c>
      <c r="X50" t="s">
        <v>400</v>
      </c>
    </row>
    <row r="51" spans="1:24" ht="199.5" x14ac:dyDescent="0.2">
      <c r="A51" s="84" t="s">
        <v>405</v>
      </c>
      <c r="B51">
        <f t="shared" ca="1" si="0"/>
        <v>53</v>
      </c>
      <c r="C51" s="54" t="s">
        <v>3177</v>
      </c>
      <c r="D51" s="84" t="s">
        <v>404</v>
      </c>
      <c r="E51" s="84" t="s">
        <v>126</v>
      </c>
      <c r="F51" t="s">
        <v>32</v>
      </c>
      <c r="G51" s="61">
        <v>456000</v>
      </c>
      <c r="H51" s="63">
        <v>456000</v>
      </c>
      <c r="I51" t="s">
        <v>39</v>
      </c>
      <c r="J51" t="s">
        <v>44</v>
      </c>
      <c r="K51" s="198" t="s">
        <v>2831</v>
      </c>
      <c r="M51" t="s">
        <v>54</v>
      </c>
      <c r="N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" t="s">
        <v>57</v>
      </c>
      <c r="Q51" t="s">
        <v>61</v>
      </c>
      <c r="R51" t="s">
        <v>61</v>
      </c>
      <c r="S51" t="s">
        <v>64</v>
      </c>
      <c r="T51" t="s">
        <v>69</v>
      </c>
      <c r="U51" s="79">
        <v>30</v>
      </c>
      <c r="V51" t="s">
        <v>74</v>
      </c>
      <c r="W51" t="s">
        <v>3139</v>
      </c>
      <c r="X51" t="s">
        <v>406</v>
      </c>
    </row>
    <row r="52" spans="1:24" ht="213.75" x14ac:dyDescent="0.2">
      <c r="A52" s="84" t="s">
        <v>2505</v>
      </c>
      <c r="B52">
        <f t="shared" ca="1" si="0"/>
        <v>59</v>
      </c>
      <c r="C52" s="54" t="s">
        <v>3178</v>
      </c>
      <c r="D52" s="84" t="s">
        <v>411</v>
      </c>
      <c r="E52" s="84" t="s">
        <v>125</v>
      </c>
      <c r="F52" t="s">
        <v>32</v>
      </c>
      <c r="G52" s="61">
        <v>449000</v>
      </c>
      <c r="H52" s="63">
        <v>449000</v>
      </c>
      <c r="I52" t="s">
        <v>39</v>
      </c>
      <c r="J52" t="s">
        <v>44</v>
      </c>
      <c r="K52" s="198" t="s">
        <v>2832</v>
      </c>
      <c r="M52" t="s">
        <v>54</v>
      </c>
      <c r="N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" t="s">
        <v>57</v>
      </c>
      <c r="Q52" t="s">
        <v>61</v>
      </c>
      <c r="R52" t="s">
        <v>61</v>
      </c>
      <c r="S52" t="s">
        <v>64</v>
      </c>
      <c r="T52" t="s">
        <v>69</v>
      </c>
      <c r="U52" s="79">
        <v>30</v>
      </c>
      <c r="V52" t="s">
        <v>74</v>
      </c>
      <c r="W52" t="s">
        <v>3139</v>
      </c>
      <c r="X52" t="s">
        <v>2581</v>
      </c>
    </row>
    <row r="53" spans="1:24" ht="199.5" x14ac:dyDescent="0.2">
      <c r="A53" s="84" t="s">
        <v>417</v>
      </c>
      <c r="B53">
        <f t="shared" ca="1" si="0"/>
        <v>57</v>
      </c>
      <c r="C53" s="54" t="s">
        <v>3179</v>
      </c>
      <c r="D53" s="84" t="s">
        <v>416</v>
      </c>
      <c r="E53" s="84" t="s">
        <v>419</v>
      </c>
      <c r="F53" t="s">
        <v>32</v>
      </c>
      <c r="G53" s="61">
        <v>670000</v>
      </c>
      <c r="H53" s="63">
        <v>670000</v>
      </c>
      <c r="I53" t="s">
        <v>39</v>
      </c>
      <c r="J53" t="s">
        <v>44</v>
      </c>
      <c r="K53" s="198" t="s">
        <v>2833</v>
      </c>
      <c r="M53" t="s">
        <v>54</v>
      </c>
      <c r="N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" t="s">
        <v>57</v>
      </c>
      <c r="Q53" t="s">
        <v>61</v>
      </c>
      <c r="R53" t="s">
        <v>61</v>
      </c>
      <c r="S53" t="s">
        <v>64</v>
      </c>
      <c r="T53" t="s">
        <v>69</v>
      </c>
      <c r="U53" s="79">
        <v>30</v>
      </c>
      <c r="V53" t="s">
        <v>74</v>
      </c>
      <c r="W53" t="s">
        <v>3139</v>
      </c>
      <c r="X53" t="s">
        <v>418</v>
      </c>
    </row>
    <row r="54" spans="1:24" ht="199.5" x14ac:dyDescent="0.2">
      <c r="A54" s="84" t="s">
        <v>421</v>
      </c>
      <c r="B54">
        <f t="shared" ca="1" si="0"/>
        <v>57</v>
      </c>
      <c r="C54" s="54" t="s">
        <v>3180</v>
      </c>
      <c r="D54" s="84" t="s">
        <v>420</v>
      </c>
      <c r="E54" s="84" t="s">
        <v>169</v>
      </c>
      <c r="F54" t="s">
        <v>32</v>
      </c>
      <c r="G54" s="61">
        <v>659000</v>
      </c>
      <c r="H54" s="63">
        <v>659000</v>
      </c>
      <c r="I54" t="s">
        <v>39</v>
      </c>
      <c r="J54" t="s">
        <v>44</v>
      </c>
      <c r="K54" s="198" t="s">
        <v>2834</v>
      </c>
      <c r="M54" t="s">
        <v>54</v>
      </c>
      <c r="N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" t="s">
        <v>57</v>
      </c>
      <c r="Q54" t="s">
        <v>61</v>
      </c>
      <c r="R54" t="s">
        <v>61</v>
      </c>
      <c r="S54" t="s">
        <v>64</v>
      </c>
      <c r="T54" t="s">
        <v>69</v>
      </c>
      <c r="U54" s="79">
        <v>30</v>
      </c>
      <c r="V54" t="s">
        <v>74</v>
      </c>
      <c r="W54" t="s">
        <v>3139</v>
      </c>
      <c r="X54" t="s">
        <v>2582</v>
      </c>
    </row>
    <row r="55" spans="1:24" ht="199.5" x14ac:dyDescent="0.2">
      <c r="A55" s="84" t="s">
        <v>2506</v>
      </c>
      <c r="B55">
        <f t="shared" ca="1" si="0"/>
        <v>54</v>
      </c>
      <c r="C55" s="54" t="s">
        <v>3181</v>
      </c>
      <c r="D55" s="84" t="s">
        <v>423</v>
      </c>
      <c r="E55" s="84" t="s">
        <v>427</v>
      </c>
      <c r="F55" t="s">
        <v>32</v>
      </c>
      <c r="G55" s="61">
        <v>676000</v>
      </c>
      <c r="H55" s="63">
        <v>676000</v>
      </c>
      <c r="I55" t="s">
        <v>39</v>
      </c>
      <c r="J55" t="s">
        <v>44</v>
      </c>
      <c r="K55" s="198" t="s">
        <v>2835</v>
      </c>
      <c r="M55" t="s">
        <v>54</v>
      </c>
      <c r="N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" t="s">
        <v>57</v>
      </c>
      <c r="Q55" t="s">
        <v>61</v>
      </c>
      <c r="R55" t="s">
        <v>61</v>
      </c>
      <c r="S55" t="s">
        <v>64</v>
      </c>
      <c r="T55" t="s">
        <v>69</v>
      </c>
      <c r="U55" s="79">
        <v>30</v>
      </c>
      <c r="V55" t="s">
        <v>74</v>
      </c>
      <c r="W55" t="s">
        <v>3139</v>
      </c>
      <c r="X55" t="s">
        <v>425</v>
      </c>
    </row>
    <row r="56" spans="1:24" ht="199.5" x14ac:dyDescent="0.2">
      <c r="A56" s="84" t="s">
        <v>430</v>
      </c>
      <c r="B56">
        <f t="shared" ca="1" si="0"/>
        <v>54</v>
      </c>
      <c r="C56" s="54" t="s">
        <v>3182</v>
      </c>
      <c r="D56" s="84" t="s">
        <v>429</v>
      </c>
      <c r="E56" s="84" t="s">
        <v>264</v>
      </c>
      <c r="F56" t="s">
        <v>32</v>
      </c>
      <c r="G56" s="61">
        <v>676000</v>
      </c>
      <c r="H56" s="63">
        <v>676000</v>
      </c>
      <c r="I56" t="s">
        <v>39</v>
      </c>
      <c r="J56" t="s">
        <v>44</v>
      </c>
      <c r="K56" s="198" t="s">
        <v>2836</v>
      </c>
      <c r="M56" t="s">
        <v>54</v>
      </c>
      <c r="N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" t="s">
        <v>57</v>
      </c>
      <c r="Q56" t="s">
        <v>61</v>
      </c>
      <c r="R56" t="s">
        <v>61</v>
      </c>
      <c r="S56" t="s">
        <v>64</v>
      </c>
      <c r="T56" t="s">
        <v>69</v>
      </c>
      <c r="U56" s="79">
        <v>30</v>
      </c>
      <c r="V56" t="s">
        <v>74</v>
      </c>
      <c r="W56" t="s">
        <v>3139</v>
      </c>
      <c r="X56" t="s">
        <v>431</v>
      </c>
    </row>
    <row r="57" spans="1:24" ht="199.5" x14ac:dyDescent="0.2">
      <c r="A57" s="84" t="s">
        <v>433</v>
      </c>
      <c r="B57">
        <f t="shared" ca="1" si="0"/>
        <v>57</v>
      </c>
      <c r="C57" s="54" t="s">
        <v>3183</v>
      </c>
      <c r="D57" s="84" t="s">
        <v>432</v>
      </c>
      <c r="E57" s="84" t="s">
        <v>436</v>
      </c>
      <c r="F57" t="s">
        <v>32</v>
      </c>
      <c r="G57" s="61">
        <v>537000</v>
      </c>
      <c r="H57" s="63">
        <v>537000</v>
      </c>
      <c r="I57" t="s">
        <v>39</v>
      </c>
      <c r="J57" t="s">
        <v>44</v>
      </c>
      <c r="K57" s="198" t="s">
        <v>2837</v>
      </c>
      <c r="M57" t="s">
        <v>54</v>
      </c>
      <c r="N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" t="s">
        <v>57</v>
      </c>
      <c r="Q57" t="s">
        <v>61</v>
      </c>
      <c r="R57" t="s">
        <v>61</v>
      </c>
      <c r="S57" t="s">
        <v>64</v>
      </c>
      <c r="T57" t="s">
        <v>69</v>
      </c>
      <c r="U57" s="79">
        <v>30</v>
      </c>
      <c r="V57" t="s">
        <v>74</v>
      </c>
      <c r="W57" t="s">
        <v>3139</v>
      </c>
      <c r="X57" t="s">
        <v>434</v>
      </c>
    </row>
    <row r="58" spans="1:24" ht="199.5" x14ac:dyDescent="0.2">
      <c r="A58" s="84" t="s">
        <v>439</v>
      </c>
      <c r="B58">
        <f t="shared" ca="1" si="0"/>
        <v>54</v>
      </c>
      <c r="C58" s="54" t="s">
        <v>3184</v>
      </c>
      <c r="D58" s="84" t="s">
        <v>438</v>
      </c>
      <c r="E58" s="84" t="s">
        <v>264</v>
      </c>
      <c r="F58" t="s">
        <v>32</v>
      </c>
      <c r="G58" s="61">
        <v>374000</v>
      </c>
      <c r="H58" s="63">
        <v>374000</v>
      </c>
      <c r="I58" t="s">
        <v>39</v>
      </c>
      <c r="J58" t="s">
        <v>45</v>
      </c>
      <c r="K58" s="198" t="s">
        <v>2838</v>
      </c>
      <c r="M58" t="s">
        <v>54</v>
      </c>
      <c r="N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" t="s">
        <v>57</v>
      </c>
      <c r="Q58" t="s">
        <v>61</v>
      </c>
      <c r="R58" t="s">
        <v>61</v>
      </c>
      <c r="S58" t="s">
        <v>64</v>
      </c>
      <c r="T58" t="s">
        <v>69</v>
      </c>
      <c r="U58" s="79">
        <v>90</v>
      </c>
      <c r="V58" t="s">
        <v>74</v>
      </c>
      <c r="W58" t="s">
        <v>3139</v>
      </c>
      <c r="X58" t="s">
        <v>442</v>
      </c>
    </row>
    <row r="59" spans="1:24" ht="199.5" x14ac:dyDescent="0.2">
      <c r="A59" s="84" t="s">
        <v>2507</v>
      </c>
      <c r="B59">
        <f t="shared" ca="1" si="0"/>
        <v>49</v>
      </c>
      <c r="C59" s="54" t="s">
        <v>3185</v>
      </c>
      <c r="D59" s="84" t="s">
        <v>445</v>
      </c>
      <c r="E59" s="84" t="s">
        <v>126</v>
      </c>
      <c r="F59" t="s">
        <v>32</v>
      </c>
      <c r="G59" s="61">
        <v>1031000</v>
      </c>
      <c r="H59" s="63">
        <v>1031000</v>
      </c>
      <c r="I59" t="s">
        <v>39</v>
      </c>
      <c r="J59" t="s">
        <v>44</v>
      </c>
      <c r="K59" s="198" t="s">
        <v>2839</v>
      </c>
      <c r="M59" t="s">
        <v>54</v>
      </c>
      <c r="N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" t="s">
        <v>57</v>
      </c>
      <c r="Q59" t="s">
        <v>61</v>
      </c>
      <c r="R59" t="s">
        <v>61</v>
      </c>
      <c r="S59" t="s">
        <v>64</v>
      </c>
      <c r="T59" t="s">
        <v>69</v>
      </c>
      <c r="U59" s="79">
        <v>30</v>
      </c>
      <c r="V59" t="s">
        <v>74</v>
      </c>
      <c r="W59" t="s">
        <v>3139</v>
      </c>
      <c r="X59" t="s">
        <v>2583</v>
      </c>
    </row>
    <row r="60" spans="1:24" ht="199.5" x14ac:dyDescent="0.2">
      <c r="A60" s="84" t="s">
        <v>451</v>
      </c>
      <c r="B60">
        <f t="shared" ca="1" si="0"/>
        <v>44</v>
      </c>
      <c r="C60" s="54" t="s">
        <v>3186</v>
      </c>
      <c r="D60" s="84" t="s">
        <v>450</v>
      </c>
      <c r="E60" s="84" t="s">
        <v>126</v>
      </c>
      <c r="F60" t="s">
        <v>32</v>
      </c>
      <c r="G60" s="61">
        <v>612000</v>
      </c>
      <c r="H60" s="63">
        <v>612000</v>
      </c>
      <c r="I60" t="s">
        <v>39</v>
      </c>
      <c r="J60" t="s">
        <v>44</v>
      </c>
      <c r="K60" s="198" t="s">
        <v>2840</v>
      </c>
      <c r="M60" t="s">
        <v>54</v>
      </c>
      <c r="N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" t="s">
        <v>57</v>
      </c>
      <c r="Q60" t="s">
        <v>61</v>
      </c>
      <c r="R60" t="s">
        <v>61</v>
      </c>
      <c r="S60" t="s">
        <v>64</v>
      </c>
      <c r="T60" t="s">
        <v>69</v>
      </c>
      <c r="U60" s="79">
        <v>30</v>
      </c>
      <c r="V60" t="s">
        <v>74</v>
      </c>
      <c r="W60" t="s">
        <v>3139</v>
      </c>
      <c r="X60" t="s">
        <v>2584</v>
      </c>
    </row>
    <row r="61" spans="1:24" ht="199.5" x14ac:dyDescent="0.2">
      <c r="A61" s="84" t="s">
        <v>456</v>
      </c>
      <c r="B61">
        <f t="shared" ca="1" si="0"/>
        <v>49</v>
      </c>
      <c r="C61" s="54" t="s">
        <v>3187</v>
      </c>
      <c r="D61" s="84" t="s">
        <v>455</v>
      </c>
      <c r="E61" s="84" t="s">
        <v>126</v>
      </c>
      <c r="F61" t="s">
        <v>32</v>
      </c>
      <c r="G61" s="61">
        <v>415000</v>
      </c>
      <c r="H61" s="63">
        <v>415000</v>
      </c>
      <c r="I61" t="s">
        <v>39</v>
      </c>
      <c r="J61" t="s">
        <v>44</v>
      </c>
      <c r="K61" s="198" t="s">
        <v>2841</v>
      </c>
      <c r="M61" t="s">
        <v>54</v>
      </c>
      <c r="N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" t="s">
        <v>57</v>
      </c>
      <c r="Q61" t="s">
        <v>61</v>
      </c>
      <c r="R61" t="s">
        <v>61</v>
      </c>
      <c r="S61" t="s">
        <v>64</v>
      </c>
      <c r="T61" t="s">
        <v>69</v>
      </c>
      <c r="U61" s="79">
        <v>30</v>
      </c>
      <c r="V61" t="s">
        <v>74</v>
      </c>
      <c r="W61" t="s">
        <v>3139</v>
      </c>
      <c r="X61" t="s">
        <v>2585</v>
      </c>
    </row>
    <row r="62" spans="1:24" ht="199.5" x14ac:dyDescent="0.2">
      <c r="A62" s="84" t="s">
        <v>459</v>
      </c>
      <c r="B62">
        <f t="shared" ca="1" si="0"/>
        <v>44</v>
      </c>
      <c r="C62" s="54" t="s">
        <v>3188</v>
      </c>
      <c r="D62" s="84" t="s">
        <v>458</v>
      </c>
      <c r="E62" s="84" t="s">
        <v>126</v>
      </c>
      <c r="F62" t="s">
        <v>32</v>
      </c>
      <c r="G62" s="61">
        <v>752000</v>
      </c>
      <c r="H62" s="63">
        <v>752000</v>
      </c>
      <c r="I62" t="s">
        <v>39</v>
      </c>
      <c r="J62" t="s">
        <v>44</v>
      </c>
      <c r="K62" s="198" t="s">
        <v>2842</v>
      </c>
      <c r="M62" t="s">
        <v>54</v>
      </c>
      <c r="N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" t="s">
        <v>57</v>
      </c>
      <c r="Q62" t="s">
        <v>61</v>
      </c>
      <c r="R62" t="s">
        <v>61</v>
      </c>
      <c r="S62" t="s">
        <v>64</v>
      </c>
      <c r="T62" t="s">
        <v>69</v>
      </c>
      <c r="U62" s="79">
        <v>30</v>
      </c>
      <c r="V62" t="s">
        <v>74</v>
      </c>
      <c r="W62" t="s">
        <v>3139</v>
      </c>
      <c r="X62" t="s">
        <v>460</v>
      </c>
    </row>
    <row r="63" spans="1:24" ht="199.5" x14ac:dyDescent="0.2">
      <c r="A63" s="84" t="s">
        <v>462</v>
      </c>
      <c r="B63">
        <f t="shared" ca="1" si="0"/>
        <v>58</v>
      </c>
      <c r="C63" s="54" t="s">
        <v>3189</v>
      </c>
      <c r="D63" s="84" t="s">
        <v>461</v>
      </c>
      <c r="E63" s="84" t="s">
        <v>125</v>
      </c>
      <c r="F63" t="s">
        <v>32</v>
      </c>
      <c r="G63" s="61">
        <v>891000</v>
      </c>
      <c r="H63" s="63">
        <v>891000</v>
      </c>
      <c r="I63" t="s">
        <v>39</v>
      </c>
      <c r="J63" t="s">
        <v>44</v>
      </c>
      <c r="K63" s="198" t="s">
        <v>2843</v>
      </c>
      <c r="M63" t="s">
        <v>54</v>
      </c>
      <c r="N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" t="s">
        <v>57</v>
      </c>
      <c r="Q63" t="s">
        <v>61</v>
      </c>
      <c r="R63" t="s">
        <v>61</v>
      </c>
      <c r="S63" t="s">
        <v>64</v>
      </c>
      <c r="T63" t="s">
        <v>69</v>
      </c>
      <c r="U63" s="79">
        <v>30</v>
      </c>
      <c r="V63" t="s">
        <v>74</v>
      </c>
      <c r="W63" t="s">
        <v>3139</v>
      </c>
      <c r="X63" t="s">
        <v>2586</v>
      </c>
    </row>
    <row r="64" spans="1:24" ht="199.5" x14ac:dyDescent="0.2">
      <c r="A64" s="84" t="s">
        <v>465</v>
      </c>
      <c r="B64">
        <f t="shared" ca="1" si="0"/>
        <v>53</v>
      </c>
      <c r="C64" s="54" t="s">
        <v>3190</v>
      </c>
      <c r="D64" s="84" t="s">
        <v>464</v>
      </c>
      <c r="E64" s="84" t="s">
        <v>126</v>
      </c>
      <c r="F64" t="s">
        <v>32</v>
      </c>
      <c r="G64" s="61">
        <v>473000</v>
      </c>
      <c r="H64" s="63">
        <v>473000</v>
      </c>
      <c r="I64" t="s">
        <v>39</v>
      </c>
      <c r="J64" t="s">
        <v>44</v>
      </c>
      <c r="K64" s="198" t="s">
        <v>2844</v>
      </c>
      <c r="M64" t="s">
        <v>54</v>
      </c>
      <c r="N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" t="s">
        <v>57</v>
      </c>
      <c r="Q64" t="s">
        <v>61</v>
      </c>
      <c r="R64" t="s">
        <v>61</v>
      </c>
      <c r="S64" t="s">
        <v>64</v>
      </c>
      <c r="T64" t="s">
        <v>69</v>
      </c>
      <c r="U64" s="79">
        <v>30</v>
      </c>
      <c r="V64" t="s">
        <v>74</v>
      </c>
      <c r="W64" t="s">
        <v>3139</v>
      </c>
      <c r="X64" t="s">
        <v>466</v>
      </c>
    </row>
    <row r="65" spans="1:24" ht="199.5" x14ac:dyDescent="0.2">
      <c r="A65" s="84" t="s">
        <v>2508</v>
      </c>
      <c r="B65">
        <f t="shared" ca="1" si="0"/>
        <v>51</v>
      </c>
      <c r="C65" s="54" t="s">
        <v>3191</v>
      </c>
      <c r="D65" s="84" t="s">
        <v>467</v>
      </c>
      <c r="E65" s="84" t="s">
        <v>169</v>
      </c>
      <c r="F65" t="s">
        <v>32</v>
      </c>
      <c r="G65" s="61">
        <v>833000</v>
      </c>
      <c r="H65" s="63">
        <v>833000</v>
      </c>
      <c r="I65" t="s">
        <v>39</v>
      </c>
      <c r="J65" t="s">
        <v>44</v>
      </c>
      <c r="K65" s="198" t="s">
        <v>2845</v>
      </c>
      <c r="M65" t="s">
        <v>54</v>
      </c>
      <c r="N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" t="s">
        <v>57</v>
      </c>
      <c r="Q65" t="s">
        <v>61</v>
      </c>
      <c r="R65" t="s">
        <v>61</v>
      </c>
      <c r="S65" t="s">
        <v>64</v>
      </c>
      <c r="T65" t="s">
        <v>69</v>
      </c>
      <c r="U65" s="79">
        <v>30</v>
      </c>
      <c r="V65" t="s">
        <v>74</v>
      </c>
      <c r="W65" t="s">
        <v>3139</v>
      </c>
      <c r="X65" t="s">
        <v>469</v>
      </c>
    </row>
    <row r="66" spans="1:24" ht="199.5" x14ac:dyDescent="0.2">
      <c r="A66" s="84" t="s">
        <v>2509</v>
      </c>
      <c r="B66">
        <f t="shared" ca="1" si="0"/>
        <v>41</v>
      </c>
      <c r="C66" s="54" t="s">
        <v>3192</v>
      </c>
      <c r="D66" s="84" t="s">
        <v>472</v>
      </c>
      <c r="E66" s="84" t="s">
        <v>200</v>
      </c>
      <c r="F66" t="s">
        <v>32</v>
      </c>
      <c r="G66" s="61">
        <v>484000</v>
      </c>
      <c r="H66" s="63">
        <v>484000</v>
      </c>
      <c r="I66" t="s">
        <v>39</v>
      </c>
      <c r="J66" t="s">
        <v>44</v>
      </c>
      <c r="K66" s="198" t="s">
        <v>2846</v>
      </c>
      <c r="M66" t="s">
        <v>54</v>
      </c>
      <c r="N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" t="s">
        <v>57</v>
      </c>
      <c r="Q66" t="s">
        <v>61</v>
      </c>
      <c r="R66" t="s">
        <v>61</v>
      </c>
      <c r="S66" t="s">
        <v>64</v>
      </c>
      <c r="T66" t="s">
        <v>69</v>
      </c>
      <c r="U66" s="79">
        <v>30</v>
      </c>
      <c r="V66" t="s">
        <v>74</v>
      </c>
      <c r="W66" t="s">
        <v>3139</v>
      </c>
      <c r="X66" t="s">
        <v>2587</v>
      </c>
    </row>
    <row r="67" spans="1:24" ht="199.5" x14ac:dyDescent="0.2">
      <c r="A67" s="84" t="s">
        <v>476</v>
      </c>
      <c r="B67">
        <f t="shared" ca="1" si="0"/>
        <v>55</v>
      </c>
      <c r="C67" s="54" t="s">
        <v>3193</v>
      </c>
      <c r="D67" s="84" t="s">
        <v>475</v>
      </c>
      <c r="E67" s="84" t="s">
        <v>169</v>
      </c>
      <c r="F67" t="s">
        <v>32</v>
      </c>
      <c r="G67" s="61">
        <v>775000</v>
      </c>
      <c r="H67" s="63">
        <v>775000</v>
      </c>
      <c r="I67" t="s">
        <v>39</v>
      </c>
      <c r="J67" t="s">
        <v>44</v>
      </c>
      <c r="K67" s="198" t="s">
        <v>2847</v>
      </c>
      <c r="M67" t="s">
        <v>54</v>
      </c>
      <c r="N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" t="s">
        <v>57</v>
      </c>
      <c r="Q67" t="s">
        <v>61</v>
      </c>
      <c r="R67" t="s">
        <v>61</v>
      </c>
      <c r="S67" t="s">
        <v>64</v>
      </c>
      <c r="T67" t="s">
        <v>69</v>
      </c>
      <c r="U67" s="79">
        <v>30</v>
      </c>
      <c r="V67" t="s">
        <v>74</v>
      </c>
      <c r="W67" t="s">
        <v>3139</v>
      </c>
      <c r="X67" t="s">
        <v>477</v>
      </c>
    </row>
    <row r="68" spans="1:24" ht="213.75" x14ac:dyDescent="0.2">
      <c r="A68" s="84" t="s">
        <v>2510</v>
      </c>
      <c r="B68">
        <f t="shared" ca="1" si="0"/>
        <v>51</v>
      </c>
      <c r="C68" s="54" t="s">
        <v>3194</v>
      </c>
      <c r="D68" s="84" t="s">
        <v>480</v>
      </c>
      <c r="E68" s="84" t="s">
        <v>200</v>
      </c>
      <c r="F68" t="s">
        <v>32</v>
      </c>
      <c r="G68" s="61">
        <v>833000</v>
      </c>
      <c r="H68" s="63">
        <v>833000</v>
      </c>
      <c r="I68" t="s">
        <v>39</v>
      </c>
      <c r="J68" t="s">
        <v>44</v>
      </c>
      <c r="K68" s="198" t="s">
        <v>2848</v>
      </c>
      <c r="M68" t="s">
        <v>54</v>
      </c>
      <c r="N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" t="s">
        <v>57</v>
      </c>
      <c r="Q68" t="s">
        <v>61</v>
      </c>
      <c r="R68" t="s">
        <v>61</v>
      </c>
      <c r="S68" t="s">
        <v>64</v>
      </c>
      <c r="T68" t="s">
        <v>69</v>
      </c>
      <c r="U68" s="79">
        <v>30</v>
      </c>
      <c r="V68" t="s">
        <v>74</v>
      </c>
      <c r="W68" t="s">
        <v>3139</v>
      </c>
      <c r="X68" t="s">
        <v>2588</v>
      </c>
    </row>
    <row r="69" spans="1:24" ht="199.5" x14ac:dyDescent="0.2">
      <c r="A69" s="84" t="s">
        <v>486</v>
      </c>
      <c r="B69">
        <f t="shared" ca="1" si="0"/>
        <v>49</v>
      </c>
      <c r="C69" s="54" t="s">
        <v>3195</v>
      </c>
      <c r="D69" s="84" t="s">
        <v>485</v>
      </c>
      <c r="E69" s="84" t="s">
        <v>126</v>
      </c>
      <c r="F69" t="s">
        <v>32</v>
      </c>
      <c r="G69" s="61">
        <v>682000</v>
      </c>
      <c r="H69" s="63">
        <v>682000</v>
      </c>
      <c r="I69" t="s">
        <v>39</v>
      </c>
      <c r="J69" t="s">
        <v>44</v>
      </c>
      <c r="K69" s="198" t="s">
        <v>2849</v>
      </c>
      <c r="M69" t="s">
        <v>54</v>
      </c>
      <c r="N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" t="s">
        <v>57</v>
      </c>
      <c r="Q69" t="s">
        <v>61</v>
      </c>
      <c r="R69" t="s">
        <v>61</v>
      </c>
      <c r="S69" t="s">
        <v>64</v>
      </c>
      <c r="T69" t="s">
        <v>69</v>
      </c>
      <c r="U69" s="79">
        <v>30</v>
      </c>
      <c r="V69" t="s">
        <v>74</v>
      </c>
      <c r="W69" t="s">
        <v>3139</v>
      </c>
      <c r="X69" t="s">
        <v>487</v>
      </c>
    </row>
    <row r="70" spans="1:24" ht="199.5" x14ac:dyDescent="0.2">
      <c r="A70" s="84" t="s">
        <v>489</v>
      </c>
      <c r="B70">
        <f t="shared" ca="1" si="0"/>
        <v>49</v>
      </c>
      <c r="C70" s="54" t="s">
        <v>3196</v>
      </c>
      <c r="D70" s="84" t="s">
        <v>488</v>
      </c>
      <c r="E70" s="84" t="s">
        <v>126</v>
      </c>
      <c r="F70" t="s">
        <v>32</v>
      </c>
      <c r="G70" s="61">
        <v>938000</v>
      </c>
      <c r="H70" s="63">
        <v>938000</v>
      </c>
      <c r="I70" t="s">
        <v>39</v>
      </c>
      <c r="J70" t="s">
        <v>45</v>
      </c>
      <c r="K70" s="198" t="s">
        <v>2850</v>
      </c>
      <c r="M70" t="s">
        <v>54</v>
      </c>
      <c r="N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" t="s">
        <v>57</v>
      </c>
      <c r="Q70" t="s">
        <v>61</v>
      </c>
      <c r="R70" t="s">
        <v>61</v>
      </c>
      <c r="S70" t="s">
        <v>64</v>
      </c>
      <c r="T70" t="s">
        <v>69</v>
      </c>
      <c r="U70" s="79">
        <v>90</v>
      </c>
      <c r="V70" t="s">
        <v>74</v>
      </c>
      <c r="W70" t="s">
        <v>3139</v>
      </c>
      <c r="X70" t="s">
        <v>2589</v>
      </c>
    </row>
    <row r="71" spans="1:24" ht="199.5" x14ac:dyDescent="0.2">
      <c r="A71" s="84" t="s">
        <v>494</v>
      </c>
      <c r="B71">
        <f t="shared" ref="B71:B134" ca="1" si="1">LEN(INDIRECT(ADDRESS(ROW() + (0),COLUMN() + (-1))))</f>
        <v>45</v>
      </c>
      <c r="C71" s="54" t="s">
        <v>3197</v>
      </c>
      <c r="D71" s="84" t="s">
        <v>493</v>
      </c>
      <c r="E71" s="84" t="s">
        <v>419</v>
      </c>
      <c r="F71" t="s">
        <v>32</v>
      </c>
      <c r="G71" s="61">
        <v>473000</v>
      </c>
      <c r="H71" s="63">
        <v>473000</v>
      </c>
      <c r="I71" t="s">
        <v>39</v>
      </c>
      <c r="J71" t="s">
        <v>44</v>
      </c>
      <c r="K71" s="198" t="s">
        <v>2851</v>
      </c>
      <c r="M71" t="s">
        <v>54</v>
      </c>
      <c r="N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" t="s">
        <v>57</v>
      </c>
      <c r="Q71" t="s">
        <v>61</v>
      </c>
      <c r="R71" t="s">
        <v>61</v>
      </c>
      <c r="S71" t="s">
        <v>64</v>
      </c>
      <c r="T71" t="s">
        <v>69</v>
      </c>
      <c r="U71" s="79">
        <v>30</v>
      </c>
      <c r="V71" t="s">
        <v>74</v>
      </c>
      <c r="W71" t="s">
        <v>3139</v>
      </c>
      <c r="X71" t="s">
        <v>495</v>
      </c>
    </row>
    <row r="72" spans="1:24" ht="199.5" x14ac:dyDescent="0.2">
      <c r="A72" s="84" t="s">
        <v>497</v>
      </c>
      <c r="B72">
        <f t="shared" ca="1" si="1"/>
        <v>56</v>
      </c>
      <c r="C72" s="54" t="s">
        <v>3198</v>
      </c>
      <c r="D72" s="84" t="s">
        <v>496</v>
      </c>
      <c r="E72" s="84" t="s">
        <v>264</v>
      </c>
      <c r="F72" t="s">
        <v>32</v>
      </c>
      <c r="G72" s="61">
        <v>391000</v>
      </c>
      <c r="H72" s="63">
        <v>391000</v>
      </c>
      <c r="I72" t="s">
        <v>39</v>
      </c>
      <c r="J72" t="s">
        <v>45</v>
      </c>
      <c r="K72" s="198" t="s">
        <v>2852</v>
      </c>
      <c r="M72" t="s">
        <v>54</v>
      </c>
      <c r="N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" t="s">
        <v>57</v>
      </c>
      <c r="Q72" t="s">
        <v>61</v>
      </c>
      <c r="R72" t="s">
        <v>61</v>
      </c>
      <c r="S72" t="s">
        <v>64</v>
      </c>
      <c r="T72" t="s">
        <v>69</v>
      </c>
      <c r="U72" s="79">
        <v>90</v>
      </c>
      <c r="V72" t="s">
        <v>74</v>
      </c>
      <c r="W72" t="s">
        <v>3139</v>
      </c>
      <c r="X72" t="s">
        <v>498</v>
      </c>
    </row>
    <row r="73" spans="1:24" ht="199.5" x14ac:dyDescent="0.2">
      <c r="A73" s="84" t="s">
        <v>500</v>
      </c>
      <c r="B73">
        <f t="shared" ca="1" si="1"/>
        <v>60</v>
      </c>
      <c r="C73" s="54" t="s">
        <v>3199</v>
      </c>
      <c r="D73" s="84" t="s">
        <v>499</v>
      </c>
      <c r="E73" s="84" t="s">
        <v>126</v>
      </c>
      <c r="F73" t="s">
        <v>32</v>
      </c>
      <c r="G73" s="61">
        <v>496000</v>
      </c>
      <c r="H73" s="63">
        <v>496000</v>
      </c>
      <c r="I73" t="s">
        <v>39</v>
      </c>
      <c r="J73" t="s">
        <v>44</v>
      </c>
      <c r="K73" s="198" t="s">
        <v>2853</v>
      </c>
      <c r="M73" t="s">
        <v>54</v>
      </c>
      <c r="N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" t="s">
        <v>57</v>
      </c>
      <c r="Q73" t="s">
        <v>61</v>
      </c>
      <c r="R73" t="s">
        <v>61</v>
      </c>
      <c r="S73" t="s">
        <v>64</v>
      </c>
      <c r="T73" t="s">
        <v>69</v>
      </c>
      <c r="U73" s="79">
        <v>30</v>
      </c>
      <c r="V73" t="s">
        <v>74</v>
      </c>
      <c r="W73" t="s">
        <v>3139</v>
      </c>
      <c r="X73" t="s">
        <v>2590</v>
      </c>
    </row>
    <row r="74" spans="1:24" ht="199.5" x14ac:dyDescent="0.2">
      <c r="A74" s="84" t="s">
        <v>505</v>
      </c>
      <c r="B74">
        <f t="shared" ca="1" si="1"/>
        <v>43</v>
      </c>
      <c r="C74" s="54" t="s">
        <v>3200</v>
      </c>
      <c r="D74" s="84" t="s">
        <v>504</v>
      </c>
      <c r="E74" s="84" t="s">
        <v>125</v>
      </c>
      <c r="F74" t="s">
        <v>32</v>
      </c>
      <c r="G74" s="61">
        <v>1159000</v>
      </c>
      <c r="H74" s="63">
        <v>1159000</v>
      </c>
      <c r="I74" t="s">
        <v>39</v>
      </c>
      <c r="J74" t="s">
        <v>45</v>
      </c>
      <c r="K74" s="198" t="s">
        <v>2854</v>
      </c>
      <c r="M74" t="s">
        <v>54</v>
      </c>
      <c r="N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" t="s">
        <v>57</v>
      </c>
      <c r="Q74" t="s">
        <v>61</v>
      </c>
      <c r="R74" t="s">
        <v>61</v>
      </c>
      <c r="S74" t="s">
        <v>64</v>
      </c>
      <c r="T74" t="s">
        <v>69</v>
      </c>
      <c r="U74" s="79">
        <v>90</v>
      </c>
      <c r="V74" t="s">
        <v>74</v>
      </c>
      <c r="W74" t="s">
        <v>3139</v>
      </c>
      <c r="X74" t="s">
        <v>2591</v>
      </c>
    </row>
    <row r="75" spans="1:24" ht="199.5" x14ac:dyDescent="0.2">
      <c r="A75" s="84" t="s">
        <v>512</v>
      </c>
      <c r="B75">
        <f t="shared" ca="1" si="1"/>
        <v>42</v>
      </c>
      <c r="C75" s="54" t="s">
        <v>3201</v>
      </c>
      <c r="D75" s="84" t="s">
        <v>511</v>
      </c>
      <c r="E75" s="84" t="s">
        <v>126</v>
      </c>
      <c r="F75" t="s">
        <v>32</v>
      </c>
      <c r="G75" s="61">
        <v>461000</v>
      </c>
      <c r="H75" s="63">
        <v>461000</v>
      </c>
      <c r="I75" t="s">
        <v>39</v>
      </c>
      <c r="J75" t="s">
        <v>44</v>
      </c>
      <c r="K75" s="198" t="s">
        <v>2855</v>
      </c>
      <c r="M75" t="s">
        <v>54</v>
      </c>
      <c r="N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" t="s">
        <v>57</v>
      </c>
      <c r="Q75" t="s">
        <v>61</v>
      </c>
      <c r="R75" t="s">
        <v>61</v>
      </c>
      <c r="S75" t="s">
        <v>64</v>
      </c>
      <c r="T75" t="s">
        <v>69</v>
      </c>
      <c r="U75" s="79">
        <v>30</v>
      </c>
      <c r="V75" t="s">
        <v>74</v>
      </c>
      <c r="W75" t="s">
        <v>3139</v>
      </c>
      <c r="X75" t="s">
        <v>513</v>
      </c>
    </row>
    <row r="76" spans="1:24" ht="199.5" x14ac:dyDescent="0.2">
      <c r="A76" s="84" t="s">
        <v>2511</v>
      </c>
      <c r="B76">
        <f t="shared" ca="1" si="1"/>
        <v>56</v>
      </c>
      <c r="C76" s="54" t="s">
        <v>3202</v>
      </c>
      <c r="D76" s="84" t="s">
        <v>514</v>
      </c>
      <c r="E76" s="84" t="s">
        <v>200</v>
      </c>
      <c r="F76" t="s">
        <v>32</v>
      </c>
      <c r="G76" s="61">
        <v>601000</v>
      </c>
      <c r="H76" s="63">
        <v>601000</v>
      </c>
      <c r="I76" t="s">
        <v>39</v>
      </c>
      <c r="J76" t="s">
        <v>44</v>
      </c>
      <c r="K76" s="198" t="s">
        <v>2856</v>
      </c>
      <c r="M76" t="s">
        <v>54</v>
      </c>
      <c r="N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" t="s">
        <v>57</v>
      </c>
      <c r="Q76" t="s">
        <v>61</v>
      </c>
      <c r="R76" t="s">
        <v>61</v>
      </c>
      <c r="S76" t="s">
        <v>64</v>
      </c>
      <c r="T76" t="s">
        <v>69</v>
      </c>
      <c r="U76" s="79">
        <v>30</v>
      </c>
      <c r="V76" t="s">
        <v>74</v>
      </c>
      <c r="W76" t="s">
        <v>3139</v>
      </c>
      <c r="X76" t="s">
        <v>516</v>
      </c>
    </row>
    <row r="77" spans="1:24" ht="199.5" x14ac:dyDescent="0.2">
      <c r="A77" s="84" t="s">
        <v>518</v>
      </c>
      <c r="B77">
        <f t="shared" ca="1" si="1"/>
        <v>42</v>
      </c>
      <c r="C77" s="54" t="s">
        <v>3203</v>
      </c>
      <c r="D77" s="84" t="s">
        <v>517</v>
      </c>
      <c r="E77" s="84" t="s">
        <v>126</v>
      </c>
      <c r="F77" t="s">
        <v>32</v>
      </c>
      <c r="G77" s="61">
        <v>717000</v>
      </c>
      <c r="H77" s="63">
        <v>717000</v>
      </c>
      <c r="I77" t="s">
        <v>39</v>
      </c>
      <c r="J77" t="s">
        <v>44</v>
      </c>
      <c r="K77" s="198" t="s">
        <v>2857</v>
      </c>
      <c r="M77" t="s">
        <v>54</v>
      </c>
      <c r="N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" t="s">
        <v>57</v>
      </c>
      <c r="Q77" t="s">
        <v>61</v>
      </c>
      <c r="R77" t="s">
        <v>61</v>
      </c>
      <c r="S77" t="s">
        <v>64</v>
      </c>
      <c r="T77" t="s">
        <v>69</v>
      </c>
      <c r="U77" s="79">
        <v>30</v>
      </c>
      <c r="V77" t="s">
        <v>74</v>
      </c>
      <c r="W77" t="s">
        <v>3139</v>
      </c>
      <c r="X77" t="s">
        <v>2592</v>
      </c>
    </row>
    <row r="78" spans="1:24" ht="199.5" x14ac:dyDescent="0.2">
      <c r="A78" s="84" t="s">
        <v>2512</v>
      </c>
      <c r="B78">
        <f t="shared" ca="1" si="1"/>
        <v>54</v>
      </c>
      <c r="C78" s="54" t="s">
        <v>3204</v>
      </c>
      <c r="D78" s="84" t="s">
        <v>520</v>
      </c>
      <c r="E78" s="84" t="s">
        <v>125</v>
      </c>
      <c r="F78" t="s">
        <v>32</v>
      </c>
      <c r="G78" s="61">
        <v>891000</v>
      </c>
      <c r="H78" s="63">
        <v>891000</v>
      </c>
      <c r="I78" t="s">
        <v>39</v>
      </c>
      <c r="J78" t="s">
        <v>44</v>
      </c>
      <c r="K78" s="198" t="s">
        <v>2858</v>
      </c>
      <c r="M78" t="s">
        <v>54</v>
      </c>
      <c r="N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" t="s">
        <v>57</v>
      </c>
      <c r="Q78" t="s">
        <v>61</v>
      </c>
      <c r="R78" t="s">
        <v>61</v>
      </c>
      <c r="S78" t="s">
        <v>64</v>
      </c>
      <c r="T78" t="s">
        <v>69</v>
      </c>
      <c r="U78" s="79">
        <v>30</v>
      </c>
      <c r="V78" t="s">
        <v>74</v>
      </c>
      <c r="W78" t="s">
        <v>3139</v>
      </c>
      <c r="X78" t="s">
        <v>522</v>
      </c>
    </row>
    <row r="79" spans="1:24" ht="199.5" x14ac:dyDescent="0.2">
      <c r="A79" s="84" t="s">
        <v>524</v>
      </c>
      <c r="B79">
        <f t="shared" ca="1" si="1"/>
        <v>55</v>
      </c>
      <c r="C79" s="54" t="s">
        <v>3205</v>
      </c>
      <c r="D79" s="84" t="s">
        <v>523</v>
      </c>
      <c r="E79" s="84" t="s">
        <v>144</v>
      </c>
      <c r="F79" t="s">
        <v>32</v>
      </c>
      <c r="G79" s="61">
        <v>717000</v>
      </c>
      <c r="H79" s="63">
        <v>717000</v>
      </c>
      <c r="I79" t="s">
        <v>39</v>
      </c>
      <c r="J79" t="s">
        <v>44</v>
      </c>
      <c r="K79" s="198" t="s">
        <v>2859</v>
      </c>
      <c r="M79" t="s">
        <v>54</v>
      </c>
      <c r="N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" t="s">
        <v>57</v>
      </c>
      <c r="Q79" t="s">
        <v>61</v>
      </c>
      <c r="R79" t="s">
        <v>61</v>
      </c>
      <c r="S79" t="s">
        <v>64</v>
      </c>
      <c r="T79" t="s">
        <v>69</v>
      </c>
      <c r="U79" s="79">
        <v>30</v>
      </c>
      <c r="V79" t="s">
        <v>74</v>
      </c>
      <c r="W79" t="s">
        <v>3139</v>
      </c>
      <c r="X79" t="s">
        <v>525</v>
      </c>
    </row>
    <row r="80" spans="1:24" ht="199.5" x14ac:dyDescent="0.2">
      <c r="A80" s="84" t="s">
        <v>527</v>
      </c>
      <c r="B80">
        <f t="shared" ca="1" si="1"/>
        <v>47</v>
      </c>
      <c r="C80" s="54" t="s">
        <v>3206</v>
      </c>
      <c r="D80" s="84" t="s">
        <v>526</v>
      </c>
      <c r="E80" s="84" t="s">
        <v>530</v>
      </c>
      <c r="F80" t="s">
        <v>32</v>
      </c>
      <c r="G80" s="61">
        <v>705000</v>
      </c>
      <c r="H80" s="63">
        <v>705000</v>
      </c>
      <c r="I80" t="s">
        <v>39</v>
      </c>
      <c r="J80" t="s">
        <v>44</v>
      </c>
      <c r="K80" s="198" t="s">
        <v>2860</v>
      </c>
      <c r="M80" t="s">
        <v>54</v>
      </c>
      <c r="N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" t="s">
        <v>57</v>
      </c>
      <c r="Q80" t="s">
        <v>61</v>
      </c>
      <c r="R80" t="s">
        <v>61</v>
      </c>
      <c r="S80" t="s">
        <v>64</v>
      </c>
      <c r="T80" t="s">
        <v>69</v>
      </c>
      <c r="U80" s="79">
        <v>30</v>
      </c>
      <c r="V80" t="s">
        <v>74</v>
      </c>
      <c r="W80" t="s">
        <v>3139</v>
      </c>
      <c r="X80" t="s">
        <v>528</v>
      </c>
    </row>
    <row r="81" spans="1:24" ht="199.5" x14ac:dyDescent="0.2">
      <c r="A81" s="84" t="s">
        <v>533</v>
      </c>
      <c r="B81">
        <f t="shared" ca="1" si="1"/>
        <v>40</v>
      </c>
      <c r="C81" s="54" t="s">
        <v>3207</v>
      </c>
      <c r="D81" s="84" t="s">
        <v>532</v>
      </c>
      <c r="E81" s="84" t="s">
        <v>200</v>
      </c>
      <c r="F81" t="s">
        <v>32</v>
      </c>
      <c r="G81" s="61">
        <v>1147000</v>
      </c>
      <c r="H81" s="63">
        <v>1147000</v>
      </c>
      <c r="I81" t="s">
        <v>39</v>
      </c>
      <c r="J81" t="s">
        <v>45</v>
      </c>
      <c r="K81" s="198" t="s">
        <v>2861</v>
      </c>
      <c r="M81" t="s">
        <v>54</v>
      </c>
      <c r="N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" t="s">
        <v>57</v>
      </c>
      <c r="Q81" t="s">
        <v>61</v>
      </c>
      <c r="R81" t="s">
        <v>61</v>
      </c>
      <c r="S81" t="s">
        <v>64</v>
      </c>
      <c r="T81" t="s">
        <v>69</v>
      </c>
      <c r="U81" s="79">
        <v>90</v>
      </c>
      <c r="V81" t="s">
        <v>74</v>
      </c>
      <c r="W81" t="s">
        <v>3139</v>
      </c>
      <c r="X81" t="s">
        <v>534</v>
      </c>
    </row>
    <row r="82" spans="1:24" ht="199.5" x14ac:dyDescent="0.2">
      <c r="A82" s="84" t="s">
        <v>538</v>
      </c>
      <c r="B82">
        <f t="shared" ca="1" si="1"/>
        <v>54</v>
      </c>
      <c r="C82" s="54" t="s">
        <v>3208</v>
      </c>
      <c r="D82" s="84" t="s">
        <v>537</v>
      </c>
      <c r="E82" s="84" t="s">
        <v>125</v>
      </c>
      <c r="F82" t="s">
        <v>32</v>
      </c>
      <c r="G82" s="61">
        <v>496000</v>
      </c>
      <c r="H82" s="63">
        <v>496000</v>
      </c>
      <c r="I82" t="s">
        <v>39</v>
      </c>
      <c r="J82" t="s">
        <v>44</v>
      </c>
      <c r="K82" s="198" t="s">
        <v>2862</v>
      </c>
      <c r="M82" t="s">
        <v>54</v>
      </c>
      <c r="N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" t="s">
        <v>57</v>
      </c>
      <c r="Q82" t="s">
        <v>61</v>
      </c>
      <c r="R82" t="s">
        <v>61</v>
      </c>
      <c r="S82" t="s">
        <v>64</v>
      </c>
      <c r="T82" t="s">
        <v>69</v>
      </c>
      <c r="U82" s="79">
        <v>30</v>
      </c>
      <c r="V82" t="s">
        <v>74</v>
      </c>
      <c r="W82" t="s">
        <v>3139</v>
      </c>
      <c r="X82" t="s">
        <v>539</v>
      </c>
    </row>
    <row r="83" spans="1:24" ht="199.5" x14ac:dyDescent="0.2">
      <c r="A83" s="84" t="s">
        <v>541</v>
      </c>
      <c r="B83">
        <f t="shared" ca="1" si="1"/>
        <v>60</v>
      </c>
      <c r="C83" s="54" t="s">
        <v>3209</v>
      </c>
      <c r="D83" s="84" t="s">
        <v>540</v>
      </c>
      <c r="E83" s="84" t="s">
        <v>200</v>
      </c>
      <c r="F83" t="s">
        <v>32</v>
      </c>
      <c r="G83" s="61">
        <v>752000</v>
      </c>
      <c r="H83" s="63">
        <v>752000</v>
      </c>
      <c r="I83" t="s">
        <v>39</v>
      </c>
      <c r="J83" t="s">
        <v>44</v>
      </c>
      <c r="K83" s="198" t="s">
        <v>2863</v>
      </c>
      <c r="M83" t="s">
        <v>54</v>
      </c>
      <c r="N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" t="s">
        <v>57</v>
      </c>
      <c r="Q83" t="s">
        <v>61</v>
      </c>
      <c r="R83" t="s">
        <v>61</v>
      </c>
      <c r="S83" t="s">
        <v>64</v>
      </c>
      <c r="T83" t="s">
        <v>69</v>
      </c>
      <c r="U83" s="79">
        <v>30</v>
      </c>
      <c r="V83" t="s">
        <v>74</v>
      </c>
      <c r="W83" t="s">
        <v>3139</v>
      </c>
      <c r="X83" t="s">
        <v>542</v>
      </c>
    </row>
    <row r="84" spans="1:24" ht="199.5" x14ac:dyDescent="0.2">
      <c r="A84" s="84" t="s">
        <v>544</v>
      </c>
      <c r="B84">
        <f t="shared" ca="1" si="1"/>
        <v>52</v>
      </c>
      <c r="C84" s="54" t="s">
        <v>3210</v>
      </c>
      <c r="D84" s="84" t="s">
        <v>543</v>
      </c>
      <c r="E84" s="84" t="s">
        <v>200</v>
      </c>
      <c r="F84" t="s">
        <v>32</v>
      </c>
      <c r="G84" s="61">
        <v>589000</v>
      </c>
      <c r="H84" s="63">
        <v>589000</v>
      </c>
      <c r="I84" t="s">
        <v>39</v>
      </c>
      <c r="J84" t="s">
        <v>44</v>
      </c>
      <c r="K84" s="198" t="s">
        <v>2864</v>
      </c>
      <c r="M84" t="s">
        <v>54</v>
      </c>
      <c r="N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" t="s">
        <v>57</v>
      </c>
      <c r="Q84" t="s">
        <v>61</v>
      </c>
      <c r="R84" t="s">
        <v>61</v>
      </c>
      <c r="S84" t="s">
        <v>64</v>
      </c>
      <c r="T84" t="s">
        <v>69</v>
      </c>
      <c r="U84" s="79">
        <v>30</v>
      </c>
      <c r="V84" t="s">
        <v>74</v>
      </c>
      <c r="W84" t="s">
        <v>3139</v>
      </c>
      <c r="X84" t="s">
        <v>545</v>
      </c>
    </row>
    <row r="85" spans="1:24" ht="199.5" x14ac:dyDescent="0.2">
      <c r="A85" s="84" t="s">
        <v>547</v>
      </c>
      <c r="B85">
        <f t="shared" ca="1" si="1"/>
        <v>42</v>
      </c>
      <c r="C85" s="54" t="s">
        <v>3211</v>
      </c>
      <c r="D85" s="84" t="s">
        <v>546</v>
      </c>
      <c r="E85" s="84" t="s">
        <v>200</v>
      </c>
      <c r="F85" t="s">
        <v>32</v>
      </c>
      <c r="G85" s="61">
        <v>636000</v>
      </c>
      <c r="H85" s="63">
        <v>636000</v>
      </c>
      <c r="I85" t="s">
        <v>39</v>
      </c>
      <c r="J85" t="s">
        <v>44</v>
      </c>
      <c r="K85" s="198" t="s">
        <v>2865</v>
      </c>
      <c r="M85" t="s">
        <v>54</v>
      </c>
      <c r="N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" t="s">
        <v>57</v>
      </c>
      <c r="Q85" t="s">
        <v>61</v>
      </c>
      <c r="R85" t="s">
        <v>61</v>
      </c>
      <c r="S85" t="s">
        <v>64</v>
      </c>
      <c r="T85" t="s">
        <v>69</v>
      </c>
      <c r="U85" s="79">
        <v>30</v>
      </c>
      <c r="V85" t="s">
        <v>74</v>
      </c>
      <c r="W85" t="s">
        <v>3139</v>
      </c>
      <c r="X85" t="s">
        <v>548</v>
      </c>
    </row>
    <row r="86" spans="1:24" ht="199.5" x14ac:dyDescent="0.2">
      <c r="A86" s="84" t="s">
        <v>2513</v>
      </c>
      <c r="B86">
        <f t="shared" ca="1" si="1"/>
        <v>56</v>
      </c>
      <c r="C86" s="54" t="s">
        <v>3212</v>
      </c>
      <c r="D86" s="84" t="s">
        <v>551</v>
      </c>
      <c r="E86" s="84" t="s">
        <v>264</v>
      </c>
      <c r="F86" t="s">
        <v>32</v>
      </c>
      <c r="G86" s="61">
        <v>554000</v>
      </c>
      <c r="H86" s="63">
        <v>554000</v>
      </c>
      <c r="I86" t="s">
        <v>39</v>
      </c>
      <c r="J86" t="s">
        <v>44</v>
      </c>
      <c r="K86" s="198" t="s">
        <v>2866</v>
      </c>
      <c r="M86" t="s">
        <v>54</v>
      </c>
      <c r="N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" t="s">
        <v>57</v>
      </c>
      <c r="Q86" t="s">
        <v>61</v>
      </c>
      <c r="R86" t="s">
        <v>61</v>
      </c>
      <c r="S86" t="s">
        <v>64</v>
      </c>
      <c r="T86" t="s">
        <v>69</v>
      </c>
      <c r="U86" s="79">
        <v>30</v>
      </c>
      <c r="V86" t="s">
        <v>74</v>
      </c>
      <c r="W86" t="s">
        <v>3139</v>
      </c>
      <c r="X86" t="s">
        <v>2593</v>
      </c>
    </row>
    <row r="87" spans="1:24" ht="199.5" x14ac:dyDescent="0.2">
      <c r="A87" s="84" t="s">
        <v>557</v>
      </c>
      <c r="B87">
        <f t="shared" ca="1" si="1"/>
        <v>60</v>
      </c>
      <c r="C87" s="54" t="s">
        <v>3213</v>
      </c>
      <c r="D87" s="84" t="s">
        <v>556</v>
      </c>
      <c r="E87" s="84" t="s">
        <v>200</v>
      </c>
      <c r="F87" t="s">
        <v>32</v>
      </c>
      <c r="G87" s="61">
        <v>647000</v>
      </c>
      <c r="H87" s="63">
        <v>647000</v>
      </c>
      <c r="I87" t="s">
        <v>39</v>
      </c>
      <c r="J87" t="s">
        <v>44</v>
      </c>
      <c r="K87" s="198" t="s">
        <v>2867</v>
      </c>
      <c r="M87" t="s">
        <v>54</v>
      </c>
      <c r="N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" t="s">
        <v>57</v>
      </c>
      <c r="Q87" t="s">
        <v>61</v>
      </c>
      <c r="R87" t="s">
        <v>61</v>
      </c>
      <c r="S87" t="s">
        <v>64</v>
      </c>
      <c r="T87" t="s">
        <v>69</v>
      </c>
      <c r="U87" s="79">
        <v>30</v>
      </c>
      <c r="V87" t="s">
        <v>74</v>
      </c>
      <c r="W87" t="s">
        <v>3139</v>
      </c>
      <c r="X87" t="s">
        <v>2594</v>
      </c>
    </row>
    <row r="88" spans="1:24" ht="199.5" x14ac:dyDescent="0.2">
      <c r="A88" s="84" t="s">
        <v>560</v>
      </c>
      <c r="B88">
        <f t="shared" ca="1" si="1"/>
        <v>34</v>
      </c>
      <c r="C88" s="54" t="s">
        <v>3214</v>
      </c>
      <c r="D88" s="84" t="s">
        <v>559</v>
      </c>
      <c r="E88" s="84" t="s">
        <v>125</v>
      </c>
      <c r="F88" t="s">
        <v>32</v>
      </c>
      <c r="G88" s="61">
        <v>566000</v>
      </c>
      <c r="H88" s="63">
        <v>566000</v>
      </c>
      <c r="I88" t="s">
        <v>39</v>
      </c>
      <c r="J88" t="s">
        <v>44</v>
      </c>
      <c r="K88" s="198" t="s">
        <v>2868</v>
      </c>
      <c r="M88" t="s">
        <v>54</v>
      </c>
      <c r="N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" t="s">
        <v>57</v>
      </c>
      <c r="Q88" t="s">
        <v>61</v>
      </c>
      <c r="R88" t="s">
        <v>61</v>
      </c>
      <c r="S88" t="s">
        <v>64</v>
      </c>
      <c r="T88" t="s">
        <v>69</v>
      </c>
      <c r="U88" s="79">
        <v>30</v>
      </c>
      <c r="V88" t="s">
        <v>74</v>
      </c>
      <c r="W88" t="s">
        <v>3139</v>
      </c>
      <c r="X88" t="s">
        <v>2595</v>
      </c>
    </row>
    <row r="89" spans="1:24" ht="199.5" x14ac:dyDescent="0.2">
      <c r="A89" s="84" t="s">
        <v>563</v>
      </c>
      <c r="B89">
        <f t="shared" ca="1" si="1"/>
        <v>54</v>
      </c>
      <c r="C89" s="54" t="s">
        <v>3215</v>
      </c>
      <c r="D89" s="84" t="s">
        <v>562</v>
      </c>
      <c r="E89" s="84" t="s">
        <v>200</v>
      </c>
      <c r="F89" t="s">
        <v>32</v>
      </c>
      <c r="G89" s="61">
        <v>659000</v>
      </c>
      <c r="H89" s="63">
        <v>659000</v>
      </c>
      <c r="I89" t="s">
        <v>39</v>
      </c>
      <c r="J89" t="s">
        <v>44</v>
      </c>
      <c r="K89" s="198" t="s">
        <v>2869</v>
      </c>
      <c r="M89" t="s">
        <v>54</v>
      </c>
      <c r="N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" t="s">
        <v>57</v>
      </c>
      <c r="Q89" t="s">
        <v>61</v>
      </c>
      <c r="R89" t="s">
        <v>61</v>
      </c>
      <c r="S89" t="s">
        <v>64</v>
      </c>
      <c r="T89" t="s">
        <v>69</v>
      </c>
      <c r="U89" s="79">
        <v>30</v>
      </c>
      <c r="V89" t="s">
        <v>74</v>
      </c>
      <c r="W89" t="s">
        <v>3139</v>
      </c>
      <c r="X89" t="s">
        <v>564</v>
      </c>
    </row>
    <row r="90" spans="1:24" ht="199.5" x14ac:dyDescent="0.2">
      <c r="A90" s="84" t="s">
        <v>566</v>
      </c>
      <c r="B90">
        <f t="shared" ca="1" si="1"/>
        <v>40</v>
      </c>
      <c r="C90" s="54" t="s">
        <v>3216</v>
      </c>
      <c r="D90" s="84" t="s">
        <v>565</v>
      </c>
      <c r="E90" s="84" t="s">
        <v>169</v>
      </c>
      <c r="F90" t="s">
        <v>32</v>
      </c>
      <c r="G90" s="61">
        <v>798000</v>
      </c>
      <c r="H90" s="63">
        <v>798000</v>
      </c>
      <c r="I90" t="s">
        <v>39</v>
      </c>
      <c r="J90" t="s">
        <v>44</v>
      </c>
      <c r="K90" s="198" t="s">
        <v>2870</v>
      </c>
      <c r="M90" t="s">
        <v>54</v>
      </c>
      <c r="N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" t="s">
        <v>57</v>
      </c>
      <c r="Q90" t="s">
        <v>61</v>
      </c>
      <c r="R90" t="s">
        <v>61</v>
      </c>
      <c r="S90" t="s">
        <v>64</v>
      </c>
      <c r="T90" t="s">
        <v>69</v>
      </c>
      <c r="U90" s="79">
        <v>30</v>
      </c>
      <c r="V90" t="s">
        <v>74</v>
      </c>
      <c r="W90" t="s">
        <v>3139</v>
      </c>
      <c r="X90" t="s">
        <v>567</v>
      </c>
    </row>
    <row r="91" spans="1:24" ht="213.75" x14ac:dyDescent="0.2">
      <c r="A91" s="84" t="s">
        <v>2514</v>
      </c>
      <c r="B91">
        <f t="shared" ca="1" si="1"/>
        <v>58</v>
      </c>
      <c r="C91" s="54" t="s">
        <v>3217</v>
      </c>
      <c r="D91" s="84" t="s">
        <v>568</v>
      </c>
      <c r="E91" s="84" t="s">
        <v>125</v>
      </c>
      <c r="F91" t="s">
        <v>32</v>
      </c>
      <c r="G91" s="61">
        <v>717000</v>
      </c>
      <c r="H91" s="63">
        <v>717000</v>
      </c>
      <c r="I91" t="s">
        <v>39</v>
      </c>
      <c r="J91" t="s">
        <v>44</v>
      </c>
      <c r="K91" s="198" t="s">
        <v>2871</v>
      </c>
      <c r="M91" t="s">
        <v>54</v>
      </c>
      <c r="N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" t="s">
        <v>57</v>
      </c>
      <c r="Q91" t="s">
        <v>61</v>
      </c>
      <c r="R91" t="s">
        <v>61</v>
      </c>
      <c r="S91" t="s">
        <v>64</v>
      </c>
      <c r="T91" t="s">
        <v>69</v>
      </c>
      <c r="U91" s="79">
        <v>30</v>
      </c>
      <c r="V91" t="s">
        <v>74</v>
      </c>
      <c r="W91" t="s">
        <v>3139</v>
      </c>
      <c r="X91" t="s">
        <v>570</v>
      </c>
    </row>
    <row r="92" spans="1:24" ht="199.5" x14ac:dyDescent="0.2">
      <c r="A92" s="84" t="s">
        <v>572</v>
      </c>
      <c r="B92">
        <f t="shared" ca="1" si="1"/>
        <v>48</v>
      </c>
      <c r="C92" s="54" t="s">
        <v>3218</v>
      </c>
      <c r="D92" s="84" t="s">
        <v>571</v>
      </c>
      <c r="E92" s="84" t="s">
        <v>125</v>
      </c>
      <c r="F92" t="s">
        <v>32</v>
      </c>
      <c r="G92" s="61">
        <v>540000</v>
      </c>
      <c r="H92" s="63">
        <v>540000</v>
      </c>
      <c r="I92" t="s">
        <v>39</v>
      </c>
      <c r="J92" t="s">
        <v>44</v>
      </c>
      <c r="K92" s="198" t="s">
        <v>2872</v>
      </c>
      <c r="M92" t="s">
        <v>54</v>
      </c>
      <c r="N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" t="s">
        <v>57</v>
      </c>
      <c r="Q92" t="s">
        <v>61</v>
      </c>
      <c r="R92" t="s">
        <v>61</v>
      </c>
      <c r="S92" t="s">
        <v>64</v>
      </c>
      <c r="T92" t="s">
        <v>69</v>
      </c>
      <c r="U92" s="79">
        <v>30</v>
      </c>
      <c r="V92" t="s">
        <v>74</v>
      </c>
      <c r="W92" t="s">
        <v>3139</v>
      </c>
      <c r="X92" t="s">
        <v>573</v>
      </c>
    </row>
    <row r="93" spans="1:24" ht="199.5" x14ac:dyDescent="0.2">
      <c r="A93" s="84" t="s">
        <v>577</v>
      </c>
      <c r="B93">
        <f t="shared" ca="1" si="1"/>
        <v>56</v>
      </c>
      <c r="C93" s="54" t="s">
        <v>3219</v>
      </c>
      <c r="D93" s="84" t="s">
        <v>576</v>
      </c>
      <c r="E93" s="84" t="s">
        <v>126</v>
      </c>
      <c r="F93" t="s">
        <v>32</v>
      </c>
      <c r="G93" s="61">
        <v>711000</v>
      </c>
      <c r="H93" s="63">
        <v>711000</v>
      </c>
      <c r="I93" t="s">
        <v>39</v>
      </c>
      <c r="J93" t="s">
        <v>44</v>
      </c>
      <c r="K93" s="198" t="s">
        <v>2873</v>
      </c>
      <c r="M93" t="s">
        <v>54</v>
      </c>
      <c r="N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" t="s">
        <v>57</v>
      </c>
      <c r="Q93" t="s">
        <v>61</v>
      </c>
      <c r="R93" t="s">
        <v>61</v>
      </c>
      <c r="S93" t="s">
        <v>64</v>
      </c>
      <c r="T93" t="s">
        <v>69</v>
      </c>
      <c r="U93" s="79">
        <v>30</v>
      </c>
      <c r="V93" t="s">
        <v>74</v>
      </c>
      <c r="W93" t="s">
        <v>3139</v>
      </c>
      <c r="X93" t="s">
        <v>580</v>
      </c>
    </row>
    <row r="94" spans="1:24" ht="199.5" x14ac:dyDescent="0.2">
      <c r="A94" s="84" t="s">
        <v>585</v>
      </c>
      <c r="B94">
        <f t="shared" ca="1" si="1"/>
        <v>57</v>
      </c>
      <c r="D94" s="84" t="s">
        <v>584</v>
      </c>
      <c r="E94" s="84" t="s">
        <v>126</v>
      </c>
      <c r="F94" t="s">
        <v>32</v>
      </c>
      <c r="G94" s="61">
        <v>1066000</v>
      </c>
      <c r="H94" s="63">
        <v>1066000</v>
      </c>
      <c r="I94" t="s">
        <v>39</v>
      </c>
      <c r="J94" t="s">
        <v>44</v>
      </c>
      <c r="K94" s="198" t="s">
        <v>2874</v>
      </c>
      <c r="M94" t="s">
        <v>54</v>
      </c>
      <c r="N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" t="s">
        <v>57</v>
      </c>
      <c r="Q94" t="s">
        <v>61</v>
      </c>
      <c r="R94" t="s">
        <v>61</v>
      </c>
      <c r="S94" t="s">
        <v>64</v>
      </c>
      <c r="T94" t="s">
        <v>69</v>
      </c>
      <c r="U94" s="79">
        <v>30</v>
      </c>
      <c r="V94" t="s">
        <v>74</v>
      </c>
      <c r="W94" t="s">
        <v>3139</v>
      </c>
      <c r="X94" t="s">
        <v>2596</v>
      </c>
    </row>
    <row r="95" spans="1:24" ht="199.5" x14ac:dyDescent="0.2">
      <c r="A95" s="84" t="s">
        <v>2515</v>
      </c>
      <c r="B95">
        <f t="shared" ca="1" si="1"/>
        <v>34</v>
      </c>
      <c r="C95" s="54" t="s">
        <v>3220</v>
      </c>
      <c r="D95" s="84" t="s">
        <v>587</v>
      </c>
      <c r="E95" s="84" t="s">
        <v>125</v>
      </c>
      <c r="F95" t="s">
        <v>32</v>
      </c>
      <c r="G95" s="61">
        <v>540000</v>
      </c>
      <c r="H95" s="63">
        <v>540000</v>
      </c>
      <c r="I95" t="s">
        <v>39</v>
      </c>
      <c r="J95" t="s">
        <v>44</v>
      </c>
      <c r="K95" s="198" t="s">
        <v>2875</v>
      </c>
      <c r="M95" t="s">
        <v>54</v>
      </c>
      <c r="N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" t="s">
        <v>57</v>
      </c>
      <c r="Q95" t="s">
        <v>61</v>
      </c>
      <c r="R95" t="s">
        <v>61</v>
      </c>
      <c r="S95" t="s">
        <v>64</v>
      </c>
      <c r="T95" t="s">
        <v>69</v>
      </c>
      <c r="U95" s="79">
        <v>30</v>
      </c>
      <c r="V95" t="s">
        <v>74</v>
      </c>
      <c r="W95" t="s">
        <v>3139</v>
      </c>
      <c r="X95" t="s">
        <v>2597</v>
      </c>
    </row>
    <row r="96" spans="1:24" ht="199.5" x14ac:dyDescent="0.2">
      <c r="A96" s="84" t="s">
        <v>591</v>
      </c>
      <c r="B96">
        <f t="shared" ca="1" si="1"/>
        <v>43</v>
      </c>
      <c r="C96" s="54" t="s">
        <v>3221</v>
      </c>
      <c r="D96" s="84" t="s">
        <v>590</v>
      </c>
      <c r="E96" s="84" t="s">
        <v>125</v>
      </c>
      <c r="F96" t="s">
        <v>32</v>
      </c>
      <c r="G96" s="61">
        <v>659000</v>
      </c>
      <c r="H96" s="63">
        <v>659000</v>
      </c>
      <c r="I96" t="s">
        <v>39</v>
      </c>
      <c r="J96" t="s">
        <v>44</v>
      </c>
      <c r="K96" s="198" t="s">
        <v>2876</v>
      </c>
      <c r="M96" t="s">
        <v>54</v>
      </c>
      <c r="N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" t="s">
        <v>57</v>
      </c>
      <c r="Q96" t="s">
        <v>61</v>
      </c>
      <c r="R96" t="s">
        <v>61</v>
      </c>
      <c r="S96" t="s">
        <v>64</v>
      </c>
      <c r="T96" t="s">
        <v>69</v>
      </c>
      <c r="U96" s="79">
        <v>30</v>
      </c>
      <c r="V96" t="s">
        <v>74</v>
      </c>
      <c r="W96" t="s">
        <v>3139</v>
      </c>
      <c r="X96" t="s">
        <v>2598</v>
      </c>
    </row>
    <row r="97" spans="1:24" ht="185.25" x14ac:dyDescent="0.2">
      <c r="A97" s="84" t="s">
        <v>594</v>
      </c>
      <c r="B97">
        <f t="shared" ca="1" si="1"/>
        <v>32</v>
      </c>
      <c r="C97" s="54" t="s">
        <v>3222</v>
      </c>
      <c r="D97" s="84" t="s">
        <v>593</v>
      </c>
      <c r="E97" s="84" t="s">
        <v>200</v>
      </c>
      <c r="F97" t="s">
        <v>32</v>
      </c>
      <c r="G97" s="61">
        <v>880000</v>
      </c>
      <c r="H97" s="63">
        <v>880000</v>
      </c>
      <c r="I97" t="s">
        <v>39</v>
      </c>
      <c r="J97" t="s">
        <v>44</v>
      </c>
      <c r="K97" s="198" t="s">
        <v>2877</v>
      </c>
      <c r="M97" t="s">
        <v>54</v>
      </c>
      <c r="N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" t="s">
        <v>57</v>
      </c>
      <c r="Q97" t="s">
        <v>61</v>
      </c>
      <c r="R97" t="s">
        <v>61</v>
      </c>
      <c r="S97" t="s">
        <v>64</v>
      </c>
      <c r="T97" t="s">
        <v>69</v>
      </c>
      <c r="U97" s="79">
        <v>30</v>
      </c>
      <c r="V97" t="s">
        <v>74</v>
      </c>
      <c r="W97" t="s">
        <v>3139</v>
      </c>
      <c r="X97" t="s">
        <v>595</v>
      </c>
    </row>
    <row r="98" spans="1:24" ht="199.5" x14ac:dyDescent="0.2">
      <c r="A98" s="84" t="s">
        <v>597</v>
      </c>
      <c r="B98">
        <f t="shared" ca="1" si="1"/>
        <v>53</v>
      </c>
      <c r="C98" s="54" t="s">
        <v>3223</v>
      </c>
      <c r="D98" s="84" t="s">
        <v>596</v>
      </c>
      <c r="E98" s="84" t="s">
        <v>200</v>
      </c>
      <c r="F98" t="s">
        <v>32</v>
      </c>
      <c r="G98" s="61">
        <v>298000</v>
      </c>
      <c r="H98" s="63">
        <v>298000</v>
      </c>
      <c r="I98" t="s">
        <v>39</v>
      </c>
      <c r="J98" t="s">
        <v>44</v>
      </c>
      <c r="K98" s="198" t="s">
        <v>2878</v>
      </c>
      <c r="M98" t="s">
        <v>54</v>
      </c>
      <c r="N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" t="s">
        <v>57</v>
      </c>
      <c r="Q98" t="s">
        <v>61</v>
      </c>
      <c r="R98" t="s">
        <v>61</v>
      </c>
      <c r="S98" t="s">
        <v>64</v>
      </c>
      <c r="T98" t="s">
        <v>69</v>
      </c>
      <c r="U98" s="79">
        <v>30</v>
      </c>
      <c r="V98" t="s">
        <v>74</v>
      </c>
      <c r="W98" t="s">
        <v>3139</v>
      </c>
      <c r="X98" t="s">
        <v>598</v>
      </c>
    </row>
    <row r="99" spans="1:24" ht="199.5" x14ac:dyDescent="0.2">
      <c r="A99" s="84" t="s">
        <v>604</v>
      </c>
      <c r="B99">
        <f t="shared" ca="1" si="1"/>
        <v>51</v>
      </c>
      <c r="C99" s="54" t="s">
        <v>3224</v>
      </c>
      <c r="D99" s="84" t="s">
        <v>603</v>
      </c>
      <c r="E99" s="84" t="s">
        <v>169</v>
      </c>
      <c r="F99" t="s">
        <v>32</v>
      </c>
      <c r="G99" s="61">
        <v>508000</v>
      </c>
      <c r="H99" s="63">
        <v>508000</v>
      </c>
      <c r="I99" t="s">
        <v>39</v>
      </c>
      <c r="J99" t="s">
        <v>44</v>
      </c>
      <c r="K99" s="198" t="s">
        <v>2879</v>
      </c>
      <c r="M99" t="s">
        <v>54</v>
      </c>
      <c r="N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" t="s">
        <v>57</v>
      </c>
      <c r="Q99" t="s">
        <v>61</v>
      </c>
      <c r="R99" t="s">
        <v>61</v>
      </c>
      <c r="S99" t="s">
        <v>64</v>
      </c>
      <c r="T99" t="s">
        <v>69</v>
      </c>
      <c r="U99" s="79">
        <v>30</v>
      </c>
      <c r="V99" t="s">
        <v>74</v>
      </c>
      <c r="W99" t="s">
        <v>3139</v>
      </c>
      <c r="X99" t="s">
        <v>2599</v>
      </c>
    </row>
    <row r="100" spans="1:24" ht="199.5" x14ac:dyDescent="0.2">
      <c r="A100" s="84" t="s">
        <v>607</v>
      </c>
      <c r="B100">
        <f t="shared" ca="1" si="1"/>
        <v>60</v>
      </c>
      <c r="C100" s="54" t="s">
        <v>3225</v>
      </c>
      <c r="D100" s="84" t="s">
        <v>606</v>
      </c>
      <c r="E100" s="84" t="s">
        <v>436</v>
      </c>
      <c r="F100" t="s">
        <v>32</v>
      </c>
      <c r="G100" s="61">
        <v>391000</v>
      </c>
      <c r="H100" s="63">
        <v>391000</v>
      </c>
      <c r="I100" t="s">
        <v>39</v>
      </c>
      <c r="J100" t="s">
        <v>45</v>
      </c>
      <c r="K100" s="198" t="s">
        <v>2880</v>
      </c>
      <c r="M100" t="s">
        <v>54</v>
      </c>
      <c r="N1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0" t="s">
        <v>57</v>
      </c>
      <c r="Q100" t="s">
        <v>61</v>
      </c>
      <c r="R100" t="s">
        <v>61</v>
      </c>
      <c r="S100" t="s">
        <v>64</v>
      </c>
      <c r="T100" t="s">
        <v>69</v>
      </c>
      <c r="U100" s="79">
        <v>90</v>
      </c>
      <c r="V100" t="s">
        <v>74</v>
      </c>
      <c r="W100" t="s">
        <v>3139</v>
      </c>
      <c r="X100" t="s">
        <v>2600</v>
      </c>
    </row>
    <row r="101" spans="1:24" ht="199.5" x14ac:dyDescent="0.2">
      <c r="A101" s="84" t="s">
        <v>610</v>
      </c>
      <c r="B101">
        <f t="shared" ca="1" si="1"/>
        <v>55</v>
      </c>
      <c r="C101" s="54" t="s">
        <v>3226</v>
      </c>
      <c r="D101" s="84" t="s">
        <v>609</v>
      </c>
      <c r="E101" s="84" t="s">
        <v>200</v>
      </c>
      <c r="F101" t="s">
        <v>32</v>
      </c>
      <c r="G101" s="61">
        <v>682000</v>
      </c>
      <c r="H101" s="63">
        <v>682000</v>
      </c>
      <c r="I101" t="s">
        <v>39</v>
      </c>
      <c r="J101" t="s">
        <v>44</v>
      </c>
      <c r="K101" s="198" t="s">
        <v>2881</v>
      </c>
      <c r="M101" t="s">
        <v>54</v>
      </c>
      <c r="N1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1" t="s">
        <v>57</v>
      </c>
      <c r="Q101" t="s">
        <v>61</v>
      </c>
      <c r="R101" t="s">
        <v>61</v>
      </c>
      <c r="S101" t="s">
        <v>64</v>
      </c>
      <c r="T101" t="s">
        <v>69</v>
      </c>
      <c r="U101" s="79">
        <v>30</v>
      </c>
      <c r="V101" t="s">
        <v>74</v>
      </c>
      <c r="W101" t="s">
        <v>3139</v>
      </c>
      <c r="X101" t="s">
        <v>2601</v>
      </c>
    </row>
    <row r="102" spans="1:24" ht="199.5" x14ac:dyDescent="0.2">
      <c r="A102" s="84" t="s">
        <v>613</v>
      </c>
      <c r="B102">
        <f t="shared" ca="1" si="1"/>
        <v>38</v>
      </c>
      <c r="C102" s="54" t="s">
        <v>3227</v>
      </c>
      <c r="D102" s="84" t="s">
        <v>612</v>
      </c>
      <c r="E102" s="84" t="s">
        <v>126</v>
      </c>
      <c r="F102" t="s">
        <v>32</v>
      </c>
      <c r="G102" s="61">
        <v>647000</v>
      </c>
      <c r="H102" s="63">
        <v>647000</v>
      </c>
      <c r="I102" t="s">
        <v>39</v>
      </c>
      <c r="J102" t="s">
        <v>44</v>
      </c>
      <c r="K102" s="198" t="s">
        <v>2882</v>
      </c>
      <c r="M102" t="s">
        <v>54</v>
      </c>
      <c r="N1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2" t="s">
        <v>57</v>
      </c>
      <c r="Q102" t="s">
        <v>61</v>
      </c>
      <c r="R102" t="s">
        <v>61</v>
      </c>
      <c r="S102" t="s">
        <v>64</v>
      </c>
      <c r="T102" t="s">
        <v>69</v>
      </c>
      <c r="U102" s="79">
        <v>30</v>
      </c>
      <c r="V102" t="s">
        <v>74</v>
      </c>
      <c r="W102" t="s">
        <v>3139</v>
      </c>
      <c r="X102" t="s">
        <v>2602</v>
      </c>
    </row>
    <row r="103" spans="1:24" ht="199.5" x14ac:dyDescent="0.2">
      <c r="A103" s="84" t="s">
        <v>616</v>
      </c>
      <c r="B103">
        <f t="shared" ca="1" si="1"/>
        <v>52</v>
      </c>
      <c r="C103" s="54" t="s">
        <v>3228</v>
      </c>
      <c r="D103" s="84" t="s">
        <v>615</v>
      </c>
      <c r="E103" s="84" t="s">
        <v>125</v>
      </c>
      <c r="F103" t="s">
        <v>32</v>
      </c>
      <c r="G103" s="61">
        <v>264000</v>
      </c>
      <c r="H103" s="63">
        <v>264000</v>
      </c>
      <c r="I103" t="s">
        <v>39</v>
      </c>
      <c r="J103" t="s">
        <v>44</v>
      </c>
      <c r="K103" s="198" t="s">
        <v>2883</v>
      </c>
      <c r="M103" t="s">
        <v>54</v>
      </c>
      <c r="N1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3" t="s">
        <v>57</v>
      </c>
      <c r="Q103" t="s">
        <v>61</v>
      </c>
      <c r="R103" t="s">
        <v>61</v>
      </c>
      <c r="S103" t="s">
        <v>64</v>
      </c>
      <c r="T103" t="s">
        <v>69</v>
      </c>
      <c r="U103" s="79">
        <v>30</v>
      </c>
      <c r="V103" t="s">
        <v>74</v>
      </c>
      <c r="W103" t="s">
        <v>3139</v>
      </c>
      <c r="X103" t="s">
        <v>617</v>
      </c>
    </row>
    <row r="104" spans="1:24" ht="199.5" x14ac:dyDescent="0.2">
      <c r="A104" s="84" t="s">
        <v>623</v>
      </c>
      <c r="B104">
        <f t="shared" ca="1" si="1"/>
        <v>40</v>
      </c>
      <c r="C104" s="54" t="s">
        <v>3229</v>
      </c>
      <c r="D104" s="84" t="s">
        <v>622</v>
      </c>
      <c r="E104" s="84" t="s">
        <v>126</v>
      </c>
      <c r="F104" t="s">
        <v>32</v>
      </c>
      <c r="G104" s="61">
        <v>697000</v>
      </c>
      <c r="H104" s="63">
        <v>697000</v>
      </c>
      <c r="I104" t="s">
        <v>39</v>
      </c>
      <c r="J104" t="s">
        <v>45</v>
      </c>
      <c r="K104" s="198" t="s">
        <v>2884</v>
      </c>
      <c r="M104" t="s">
        <v>54</v>
      </c>
      <c r="N1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4" t="s">
        <v>57</v>
      </c>
      <c r="Q104" t="s">
        <v>61</v>
      </c>
      <c r="R104" t="s">
        <v>61</v>
      </c>
      <c r="S104" t="s">
        <v>64</v>
      </c>
      <c r="T104" t="s">
        <v>69</v>
      </c>
      <c r="U104" s="79">
        <v>90</v>
      </c>
      <c r="V104" t="s">
        <v>74</v>
      </c>
      <c r="W104" t="s">
        <v>3139</v>
      </c>
      <c r="X104" t="s">
        <v>2603</v>
      </c>
    </row>
    <row r="105" spans="1:24" ht="199.5" x14ac:dyDescent="0.2">
      <c r="A105" s="84" t="s">
        <v>2516</v>
      </c>
      <c r="B105">
        <f t="shared" ca="1" si="1"/>
        <v>56</v>
      </c>
      <c r="C105" s="54" t="s">
        <v>3230</v>
      </c>
      <c r="D105" s="84" t="s">
        <v>625</v>
      </c>
      <c r="E105" s="84" t="s">
        <v>628</v>
      </c>
      <c r="F105" t="s">
        <v>32</v>
      </c>
      <c r="G105" s="61">
        <v>496000</v>
      </c>
      <c r="H105" s="63">
        <v>496000</v>
      </c>
      <c r="I105" t="s">
        <v>39</v>
      </c>
      <c r="J105" t="s">
        <v>44</v>
      </c>
      <c r="K105" s="198" t="s">
        <v>2885</v>
      </c>
      <c r="M105" t="s">
        <v>54</v>
      </c>
      <c r="N1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5" t="s">
        <v>57</v>
      </c>
      <c r="Q105" t="s">
        <v>61</v>
      </c>
      <c r="R105" t="s">
        <v>61</v>
      </c>
      <c r="S105" t="s">
        <v>64</v>
      </c>
      <c r="T105" t="s">
        <v>69</v>
      </c>
      <c r="U105" s="79">
        <v>30</v>
      </c>
      <c r="V105" t="s">
        <v>74</v>
      </c>
      <c r="W105" t="s">
        <v>3139</v>
      </c>
      <c r="X105" t="s">
        <v>627</v>
      </c>
    </row>
    <row r="106" spans="1:24" ht="199.5" x14ac:dyDescent="0.2">
      <c r="A106" s="84" t="s">
        <v>630</v>
      </c>
      <c r="B106">
        <f t="shared" ca="1" si="1"/>
        <v>47</v>
      </c>
      <c r="C106" s="54" t="s">
        <v>3231</v>
      </c>
      <c r="D106" s="84" t="s">
        <v>629</v>
      </c>
      <c r="E106" s="84" t="s">
        <v>436</v>
      </c>
      <c r="F106" t="s">
        <v>32</v>
      </c>
      <c r="G106" s="61">
        <v>432000</v>
      </c>
      <c r="H106" s="63">
        <v>432000</v>
      </c>
      <c r="I106" t="s">
        <v>39</v>
      </c>
      <c r="J106" t="s">
        <v>45</v>
      </c>
      <c r="K106" s="198" t="s">
        <v>2886</v>
      </c>
      <c r="M106" t="s">
        <v>54</v>
      </c>
      <c r="N1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6" t="s">
        <v>57</v>
      </c>
      <c r="Q106" t="s">
        <v>61</v>
      </c>
      <c r="R106" t="s">
        <v>61</v>
      </c>
      <c r="S106" t="s">
        <v>64</v>
      </c>
      <c r="T106" t="s">
        <v>69</v>
      </c>
      <c r="U106" s="79">
        <v>90</v>
      </c>
      <c r="V106" t="s">
        <v>74</v>
      </c>
      <c r="W106" t="s">
        <v>3139</v>
      </c>
      <c r="X106" t="s">
        <v>631</v>
      </c>
    </row>
    <row r="107" spans="1:24" ht="199.5" x14ac:dyDescent="0.2">
      <c r="A107" s="84" t="s">
        <v>2517</v>
      </c>
      <c r="B107">
        <f t="shared" ca="1" si="1"/>
        <v>58</v>
      </c>
      <c r="C107" s="54" t="s">
        <v>3232</v>
      </c>
      <c r="D107" s="84" t="s">
        <v>634</v>
      </c>
      <c r="E107" s="84" t="s">
        <v>200</v>
      </c>
      <c r="F107" t="s">
        <v>32</v>
      </c>
      <c r="G107" s="61">
        <v>496000</v>
      </c>
      <c r="H107" s="63">
        <v>496000</v>
      </c>
      <c r="I107" t="s">
        <v>39</v>
      </c>
      <c r="J107" t="s">
        <v>44</v>
      </c>
      <c r="K107" s="198" t="s">
        <v>2887</v>
      </c>
      <c r="M107" t="s">
        <v>54</v>
      </c>
      <c r="N1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7" t="s">
        <v>57</v>
      </c>
      <c r="Q107" t="s">
        <v>61</v>
      </c>
      <c r="R107" t="s">
        <v>61</v>
      </c>
      <c r="S107" t="s">
        <v>64</v>
      </c>
      <c r="T107" t="s">
        <v>69</v>
      </c>
      <c r="U107" s="79">
        <v>30</v>
      </c>
      <c r="V107" t="s">
        <v>74</v>
      </c>
      <c r="W107" t="s">
        <v>3139</v>
      </c>
      <c r="X107" t="s">
        <v>638</v>
      </c>
    </row>
    <row r="108" spans="1:24" ht="185.25" x14ac:dyDescent="0.2">
      <c r="A108" s="84" t="s">
        <v>640</v>
      </c>
      <c r="B108">
        <f t="shared" ca="1" si="1"/>
        <v>30</v>
      </c>
      <c r="C108" s="54" t="s">
        <v>3233</v>
      </c>
      <c r="D108" s="84" t="s">
        <v>639</v>
      </c>
      <c r="E108" s="84" t="s">
        <v>125</v>
      </c>
      <c r="F108" t="s">
        <v>32</v>
      </c>
      <c r="G108" s="61">
        <v>814000</v>
      </c>
      <c r="H108" s="63">
        <v>814000</v>
      </c>
      <c r="I108" t="s">
        <v>39</v>
      </c>
      <c r="J108" t="s">
        <v>44</v>
      </c>
      <c r="K108" s="198" t="s">
        <v>2888</v>
      </c>
      <c r="M108" t="s">
        <v>54</v>
      </c>
      <c r="N1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8" t="s">
        <v>57</v>
      </c>
      <c r="Q108" t="s">
        <v>61</v>
      </c>
      <c r="R108" t="s">
        <v>61</v>
      </c>
      <c r="S108" t="s">
        <v>64</v>
      </c>
      <c r="T108" t="s">
        <v>69</v>
      </c>
      <c r="U108" s="79">
        <v>30</v>
      </c>
      <c r="V108" t="s">
        <v>74</v>
      </c>
      <c r="W108" t="s">
        <v>3139</v>
      </c>
      <c r="X108" t="s">
        <v>641</v>
      </c>
    </row>
    <row r="109" spans="1:24" ht="199.5" x14ac:dyDescent="0.2">
      <c r="A109" s="84" t="s">
        <v>647</v>
      </c>
      <c r="B109">
        <f t="shared" ca="1" si="1"/>
        <v>46</v>
      </c>
      <c r="C109" s="54" t="s">
        <v>3234</v>
      </c>
      <c r="D109" s="84" t="s">
        <v>646</v>
      </c>
      <c r="E109" s="84" t="s">
        <v>125</v>
      </c>
      <c r="F109" t="s">
        <v>32</v>
      </c>
      <c r="G109" s="61">
        <v>601000</v>
      </c>
      <c r="H109" s="63">
        <v>601000</v>
      </c>
      <c r="I109" t="s">
        <v>39</v>
      </c>
      <c r="J109" t="s">
        <v>44</v>
      </c>
      <c r="K109" s="198" t="s">
        <v>2889</v>
      </c>
      <c r="M109" t="s">
        <v>54</v>
      </c>
      <c r="N1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9" t="s">
        <v>57</v>
      </c>
      <c r="Q109" t="s">
        <v>61</v>
      </c>
      <c r="R109" t="s">
        <v>61</v>
      </c>
      <c r="S109" t="s">
        <v>64</v>
      </c>
      <c r="T109" t="s">
        <v>69</v>
      </c>
      <c r="U109" s="79">
        <v>30</v>
      </c>
      <c r="V109" t="s">
        <v>74</v>
      </c>
      <c r="W109" t="s">
        <v>3139</v>
      </c>
      <c r="X109" t="s">
        <v>648</v>
      </c>
    </row>
    <row r="110" spans="1:24" ht="199.5" x14ac:dyDescent="0.2">
      <c r="A110" s="84" t="s">
        <v>650</v>
      </c>
      <c r="B110">
        <f t="shared" ca="1" si="1"/>
        <v>48</v>
      </c>
      <c r="C110" s="54" t="s">
        <v>3235</v>
      </c>
      <c r="D110" s="84" t="s">
        <v>649</v>
      </c>
      <c r="E110" s="84" t="s">
        <v>126</v>
      </c>
      <c r="F110" t="s">
        <v>32</v>
      </c>
      <c r="G110" s="61">
        <v>382000</v>
      </c>
      <c r="H110" s="63">
        <v>382000</v>
      </c>
      <c r="I110" t="s">
        <v>39</v>
      </c>
      <c r="J110" t="s">
        <v>44</v>
      </c>
      <c r="K110" s="198" t="s">
        <v>2890</v>
      </c>
      <c r="M110" t="s">
        <v>54</v>
      </c>
      <c r="N1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0" t="s">
        <v>57</v>
      </c>
      <c r="Q110" t="s">
        <v>61</v>
      </c>
      <c r="R110" t="s">
        <v>61</v>
      </c>
      <c r="S110" t="s">
        <v>64</v>
      </c>
      <c r="T110" t="s">
        <v>69</v>
      </c>
      <c r="U110" s="79">
        <v>30</v>
      </c>
      <c r="V110" t="s">
        <v>74</v>
      </c>
      <c r="W110" t="s">
        <v>3139</v>
      </c>
      <c r="X110" t="s">
        <v>651</v>
      </c>
    </row>
    <row r="111" spans="1:24" ht="199.5" x14ac:dyDescent="0.2">
      <c r="A111" s="84" t="s">
        <v>655</v>
      </c>
      <c r="B111">
        <f t="shared" ca="1" si="1"/>
        <v>42</v>
      </c>
      <c r="C111" s="54" t="s">
        <v>3236</v>
      </c>
      <c r="D111" s="84" t="s">
        <v>654</v>
      </c>
      <c r="E111" s="84" t="s">
        <v>658</v>
      </c>
      <c r="F111" t="s">
        <v>32</v>
      </c>
      <c r="G111" s="61">
        <v>514000</v>
      </c>
      <c r="H111" s="63">
        <v>514000</v>
      </c>
      <c r="I111" t="s">
        <v>39</v>
      </c>
      <c r="J111" t="s">
        <v>44</v>
      </c>
      <c r="K111" s="198" t="s">
        <v>2891</v>
      </c>
      <c r="M111" t="s">
        <v>54</v>
      </c>
      <c r="N1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1" t="s">
        <v>57</v>
      </c>
      <c r="Q111" t="s">
        <v>61</v>
      </c>
      <c r="R111" t="s">
        <v>61</v>
      </c>
      <c r="S111" t="s">
        <v>64</v>
      </c>
      <c r="T111" t="s">
        <v>69</v>
      </c>
      <c r="U111" s="79">
        <v>30</v>
      </c>
      <c r="V111" t="s">
        <v>74</v>
      </c>
      <c r="W111" t="s">
        <v>3139</v>
      </c>
      <c r="X111" t="s">
        <v>656</v>
      </c>
    </row>
    <row r="112" spans="1:24" ht="199.5" x14ac:dyDescent="0.2">
      <c r="A112" s="84" t="s">
        <v>661</v>
      </c>
      <c r="B112">
        <f t="shared" ca="1" si="1"/>
        <v>48</v>
      </c>
      <c r="C112" s="54" t="s">
        <v>3237</v>
      </c>
      <c r="D112" s="84" t="s">
        <v>660</v>
      </c>
      <c r="E112" s="84" t="s">
        <v>264</v>
      </c>
      <c r="F112" t="s">
        <v>32</v>
      </c>
      <c r="G112" s="61">
        <v>450000</v>
      </c>
      <c r="H112" s="63">
        <v>450000</v>
      </c>
      <c r="I112" t="s">
        <v>39</v>
      </c>
      <c r="J112" t="s">
        <v>45</v>
      </c>
      <c r="K112" s="198" t="s">
        <v>2892</v>
      </c>
      <c r="M112" t="s">
        <v>54</v>
      </c>
      <c r="N1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2" t="s">
        <v>57</v>
      </c>
      <c r="Q112" t="s">
        <v>61</v>
      </c>
      <c r="R112" t="s">
        <v>61</v>
      </c>
      <c r="S112" t="s">
        <v>64</v>
      </c>
      <c r="T112" t="s">
        <v>69</v>
      </c>
      <c r="U112" s="79">
        <v>90</v>
      </c>
      <c r="V112" t="s">
        <v>74</v>
      </c>
      <c r="W112" t="s">
        <v>3139</v>
      </c>
      <c r="X112" t="s">
        <v>662</v>
      </c>
    </row>
    <row r="113" spans="1:24" ht="199.5" x14ac:dyDescent="0.2">
      <c r="A113" s="84" t="s">
        <v>664</v>
      </c>
      <c r="B113">
        <f t="shared" ca="1" si="1"/>
        <v>56</v>
      </c>
      <c r="C113" s="54" t="s">
        <v>3238</v>
      </c>
      <c r="D113" s="84" t="s">
        <v>663</v>
      </c>
      <c r="E113" s="84" t="s">
        <v>667</v>
      </c>
      <c r="F113" t="s">
        <v>32</v>
      </c>
      <c r="G113" s="61">
        <v>479000</v>
      </c>
      <c r="H113" s="63">
        <v>479000</v>
      </c>
      <c r="I113" t="s">
        <v>39</v>
      </c>
      <c r="J113" t="s">
        <v>44</v>
      </c>
      <c r="K113" s="198" t="s">
        <v>2893</v>
      </c>
      <c r="M113" t="s">
        <v>54</v>
      </c>
      <c r="N1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3" t="s">
        <v>57</v>
      </c>
      <c r="Q113" t="s">
        <v>61</v>
      </c>
      <c r="R113" t="s">
        <v>61</v>
      </c>
      <c r="S113" t="s">
        <v>64</v>
      </c>
      <c r="T113" t="s">
        <v>69</v>
      </c>
      <c r="U113" s="79">
        <v>30</v>
      </c>
      <c r="V113" t="s">
        <v>74</v>
      </c>
      <c r="W113" t="s">
        <v>3139</v>
      </c>
      <c r="X113" t="s">
        <v>665</v>
      </c>
    </row>
    <row r="114" spans="1:24" ht="213.75" x14ac:dyDescent="0.2">
      <c r="A114" s="84" t="s">
        <v>2518</v>
      </c>
      <c r="B114">
        <f t="shared" ca="1" si="1"/>
        <v>57</v>
      </c>
      <c r="C114" s="54" t="s">
        <v>3239</v>
      </c>
      <c r="D114" s="84" t="s">
        <v>669</v>
      </c>
      <c r="E114" s="84" t="s">
        <v>264</v>
      </c>
      <c r="F114" t="s">
        <v>32</v>
      </c>
      <c r="G114" s="61">
        <v>764000</v>
      </c>
      <c r="H114" s="63">
        <v>764000</v>
      </c>
      <c r="I114" t="s">
        <v>39</v>
      </c>
      <c r="J114" t="s">
        <v>44</v>
      </c>
      <c r="K114" s="198" t="s">
        <v>2894</v>
      </c>
      <c r="M114" t="s">
        <v>54</v>
      </c>
      <c r="N1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4" t="s">
        <v>57</v>
      </c>
      <c r="Q114" t="s">
        <v>61</v>
      </c>
      <c r="R114" t="s">
        <v>61</v>
      </c>
      <c r="S114" t="s">
        <v>64</v>
      </c>
      <c r="T114" t="s">
        <v>69</v>
      </c>
      <c r="U114" s="79">
        <v>30</v>
      </c>
      <c r="V114" t="s">
        <v>74</v>
      </c>
      <c r="W114" t="s">
        <v>3139</v>
      </c>
      <c r="X114" t="s">
        <v>671</v>
      </c>
    </row>
    <row r="115" spans="1:24" ht="199.5" x14ac:dyDescent="0.2">
      <c r="A115" s="84" t="s">
        <v>2519</v>
      </c>
      <c r="B115">
        <f t="shared" ca="1" si="1"/>
        <v>59</v>
      </c>
      <c r="C115" s="54" t="s">
        <v>3240</v>
      </c>
      <c r="D115" s="84" t="s">
        <v>672</v>
      </c>
      <c r="E115" s="84" t="s">
        <v>169</v>
      </c>
      <c r="F115" t="s">
        <v>32</v>
      </c>
      <c r="G115" s="61">
        <v>537000</v>
      </c>
      <c r="H115" s="63">
        <v>537000</v>
      </c>
      <c r="I115" t="s">
        <v>39</v>
      </c>
      <c r="J115" t="s">
        <v>44</v>
      </c>
      <c r="K115" s="198" t="s">
        <v>2895</v>
      </c>
      <c r="M115" t="s">
        <v>54</v>
      </c>
      <c r="N1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5" t="s">
        <v>57</v>
      </c>
      <c r="Q115" t="s">
        <v>61</v>
      </c>
      <c r="R115" t="s">
        <v>61</v>
      </c>
      <c r="S115" t="s">
        <v>64</v>
      </c>
      <c r="T115" t="s">
        <v>69</v>
      </c>
      <c r="U115" s="79">
        <v>30</v>
      </c>
      <c r="V115" t="s">
        <v>74</v>
      </c>
      <c r="W115" t="s">
        <v>3139</v>
      </c>
      <c r="X115" t="s">
        <v>674</v>
      </c>
    </row>
    <row r="116" spans="1:24" ht="199.5" x14ac:dyDescent="0.2">
      <c r="A116" s="84" t="s">
        <v>678</v>
      </c>
      <c r="B116">
        <f t="shared" ca="1" si="1"/>
        <v>46</v>
      </c>
      <c r="C116" s="54" t="s">
        <v>3241</v>
      </c>
      <c r="D116" s="84" t="s">
        <v>677</v>
      </c>
      <c r="E116" s="84" t="s">
        <v>680</v>
      </c>
      <c r="F116" t="s">
        <v>32</v>
      </c>
      <c r="G116" s="61">
        <v>636000</v>
      </c>
      <c r="H116" s="63">
        <v>636000</v>
      </c>
      <c r="I116" t="s">
        <v>39</v>
      </c>
      <c r="J116" t="s">
        <v>44</v>
      </c>
      <c r="K116" s="198" t="s">
        <v>2896</v>
      </c>
      <c r="M116" t="s">
        <v>54</v>
      </c>
      <c r="N1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6" t="s">
        <v>57</v>
      </c>
      <c r="Q116" t="s">
        <v>61</v>
      </c>
      <c r="R116" t="s">
        <v>61</v>
      </c>
      <c r="S116" t="s">
        <v>64</v>
      </c>
      <c r="T116" t="s">
        <v>69</v>
      </c>
      <c r="U116" s="79">
        <v>30</v>
      </c>
      <c r="V116" t="s">
        <v>74</v>
      </c>
      <c r="W116" t="s">
        <v>3139</v>
      </c>
      <c r="X116" t="s">
        <v>679</v>
      </c>
    </row>
    <row r="117" spans="1:24" ht="199.5" x14ac:dyDescent="0.2">
      <c r="A117" s="84" t="s">
        <v>682</v>
      </c>
      <c r="B117">
        <f t="shared" ca="1" si="1"/>
        <v>40</v>
      </c>
      <c r="C117" s="54" t="s">
        <v>3242</v>
      </c>
      <c r="D117" s="84" t="s">
        <v>681</v>
      </c>
      <c r="E117" s="84" t="s">
        <v>125</v>
      </c>
      <c r="F117" t="s">
        <v>32</v>
      </c>
      <c r="G117" s="61">
        <v>554000</v>
      </c>
      <c r="H117" s="63">
        <v>554000</v>
      </c>
      <c r="I117" t="s">
        <v>39</v>
      </c>
      <c r="J117" t="s">
        <v>44</v>
      </c>
      <c r="K117" s="198" t="s">
        <v>2897</v>
      </c>
      <c r="M117" t="s">
        <v>54</v>
      </c>
      <c r="N1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7" t="s">
        <v>57</v>
      </c>
      <c r="Q117" t="s">
        <v>61</v>
      </c>
      <c r="R117" t="s">
        <v>61</v>
      </c>
      <c r="S117" t="s">
        <v>64</v>
      </c>
      <c r="T117" t="s">
        <v>69</v>
      </c>
      <c r="U117" s="79">
        <v>30</v>
      </c>
      <c r="V117" t="s">
        <v>74</v>
      </c>
      <c r="W117" t="s">
        <v>3139</v>
      </c>
      <c r="X117" t="s">
        <v>683</v>
      </c>
    </row>
    <row r="118" spans="1:24" ht="199.5" x14ac:dyDescent="0.2">
      <c r="A118" s="84" t="s">
        <v>685</v>
      </c>
      <c r="B118">
        <f t="shared" ca="1" si="1"/>
        <v>58</v>
      </c>
      <c r="C118" s="54" t="s">
        <v>3243</v>
      </c>
      <c r="D118" s="84" t="s">
        <v>684</v>
      </c>
      <c r="E118" s="84" t="s">
        <v>264</v>
      </c>
      <c r="F118" t="s">
        <v>32</v>
      </c>
      <c r="G118" s="61">
        <v>781000</v>
      </c>
      <c r="H118" s="63">
        <v>781000</v>
      </c>
      <c r="I118" t="s">
        <v>39</v>
      </c>
      <c r="J118" t="s">
        <v>44</v>
      </c>
      <c r="K118" s="198" t="s">
        <v>2898</v>
      </c>
      <c r="M118" t="s">
        <v>54</v>
      </c>
      <c r="N1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8" t="s">
        <v>57</v>
      </c>
      <c r="Q118" t="s">
        <v>61</v>
      </c>
      <c r="R118" t="s">
        <v>61</v>
      </c>
      <c r="S118" t="s">
        <v>64</v>
      </c>
      <c r="T118" t="s">
        <v>69</v>
      </c>
      <c r="U118" s="79">
        <v>30</v>
      </c>
      <c r="V118" t="s">
        <v>74</v>
      </c>
      <c r="W118" t="s">
        <v>3139</v>
      </c>
      <c r="X118" t="s">
        <v>686</v>
      </c>
    </row>
    <row r="119" spans="1:24" ht="199.5" x14ac:dyDescent="0.2">
      <c r="A119" s="84" t="s">
        <v>690</v>
      </c>
      <c r="B119">
        <f t="shared" ca="1" si="1"/>
        <v>59</v>
      </c>
      <c r="C119" s="54" t="s">
        <v>3244</v>
      </c>
      <c r="D119" s="84" t="s">
        <v>689</v>
      </c>
      <c r="E119" s="84" t="s">
        <v>125</v>
      </c>
      <c r="F119" t="s">
        <v>32</v>
      </c>
      <c r="G119" s="61">
        <v>833000</v>
      </c>
      <c r="H119" s="63">
        <v>833000</v>
      </c>
      <c r="I119" t="s">
        <v>39</v>
      </c>
      <c r="J119" t="s">
        <v>44</v>
      </c>
      <c r="K119" s="198" t="s">
        <v>2899</v>
      </c>
      <c r="M119" t="s">
        <v>54</v>
      </c>
      <c r="N1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19" t="s">
        <v>57</v>
      </c>
      <c r="Q119" t="s">
        <v>61</v>
      </c>
      <c r="R119" t="s">
        <v>61</v>
      </c>
      <c r="S119" t="s">
        <v>64</v>
      </c>
      <c r="T119" t="s">
        <v>69</v>
      </c>
      <c r="U119" s="79">
        <v>30</v>
      </c>
      <c r="V119" t="s">
        <v>74</v>
      </c>
      <c r="W119" t="s">
        <v>3139</v>
      </c>
      <c r="X119" t="s">
        <v>691</v>
      </c>
    </row>
    <row r="120" spans="1:24" ht="213.75" x14ac:dyDescent="0.2">
      <c r="A120" s="84" t="s">
        <v>2520</v>
      </c>
      <c r="B120">
        <f t="shared" ca="1" si="1"/>
        <v>59</v>
      </c>
      <c r="C120" s="54" t="s">
        <v>3245</v>
      </c>
      <c r="D120" s="84" t="s">
        <v>692</v>
      </c>
      <c r="E120" s="84" t="s">
        <v>125</v>
      </c>
      <c r="F120" t="s">
        <v>32</v>
      </c>
      <c r="G120" s="61">
        <v>659000</v>
      </c>
      <c r="H120" s="63">
        <v>659000</v>
      </c>
      <c r="I120" t="s">
        <v>39</v>
      </c>
      <c r="J120" t="s">
        <v>44</v>
      </c>
      <c r="K120" s="198" t="s">
        <v>2900</v>
      </c>
      <c r="M120" t="s">
        <v>54</v>
      </c>
      <c r="N1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0" t="s">
        <v>57</v>
      </c>
      <c r="Q120" t="s">
        <v>61</v>
      </c>
      <c r="R120" t="s">
        <v>61</v>
      </c>
      <c r="S120" t="s">
        <v>64</v>
      </c>
      <c r="T120" t="s">
        <v>69</v>
      </c>
      <c r="U120" s="79">
        <v>30</v>
      </c>
      <c r="V120" t="s">
        <v>74</v>
      </c>
      <c r="W120" t="s">
        <v>3139</v>
      </c>
      <c r="X120" t="s">
        <v>2604</v>
      </c>
    </row>
    <row r="121" spans="1:24" ht="199.5" x14ac:dyDescent="0.2">
      <c r="A121" s="84" t="s">
        <v>696</v>
      </c>
      <c r="B121">
        <f t="shared" ca="1" si="1"/>
        <v>52</v>
      </c>
      <c r="D121" s="84" t="s">
        <v>695</v>
      </c>
      <c r="E121" s="84" t="s">
        <v>126</v>
      </c>
      <c r="F121" t="s">
        <v>32</v>
      </c>
      <c r="G121" s="61">
        <v>579000</v>
      </c>
      <c r="H121" s="63">
        <v>579000</v>
      </c>
      <c r="I121" t="s">
        <v>39</v>
      </c>
      <c r="J121" t="s">
        <v>44</v>
      </c>
      <c r="K121" s="198" t="s">
        <v>2901</v>
      </c>
      <c r="M121" t="s">
        <v>54</v>
      </c>
      <c r="N1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1" t="s">
        <v>57</v>
      </c>
      <c r="Q121" t="s">
        <v>61</v>
      </c>
      <c r="R121" t="s">
        <v>61</v>
      </c>
      <c r="S121" t="s">
        <v>64</v>
      </c>
      <c r="T121" t="s">
        <v>69</v>
      </c>
      <c r="U121" s="79">
        <v>30</v>
      </c>
      <c r="V121" t="s">
        <v>74</v>
      </c>
      <c r="W121" t="s">
        <v>3139</v>
      </c>
      <c r="X121" t="s">
        <v>697</v>
      </c>
    </row>
    <row r="122" spans="1:24" ht="199.5" x14ac:dyDescent="0.2">
      <c r="A122" s="84" t="s">
        <v>701</v>
      </c>
      <c r="B122">
        <f t="shared" ca="1" si="1"/>
        <v>52</v>
      </c>
      <c r="C122" s="54" t="s">
        <v>3246</v>
      </c>
      <c r="D122" s="84" t="s">
        <v>700</v>
      </c>
      <c r="E122" s="84" t="s">
        <v>126</v>
      </c>
      <c r="F122" t="s">
        <v>32</v>
      </c>
      <c r="G122" s="61">
        <v>592000</v>
      </c>
      <c r="H122" s="63">
        <v>592000</v>
      </c>
      <c r="I122" t="s">
        <v>39</v>
      </c>
      <c r="J122" t="s">
        <v>44</v>
      </c>
      <c r="K122" s="198" t="s">
        <v>2902</v>
      </c>
      <c r="M122" t="s">
        <v>54</v>
      </c>
      <c r="N1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2" t="s">
        <v>57</v>
      </c>
      <c r="Q122" t="s">
        <v>61</v>
      </c>
      <c r="R122" t="s">
        <v>61</v>
      </c>
      <c r="S122" t="s">
        <v>64</v>
      </c>
      <c r="T122" t="s">
        <v>69</v>
      </c>
      <c r="U122" s="79">
        <v>30</v>
      </c>
      <c r="V122" t="s">
        <v>74</v>
      </c>
      <c r="W122" t="s">
        <v>3139</v>
      </c>
      <c r="X122" t="s">
        <v>702</v>
      </c>
    </row>
    <row r="123" spans="1:24" ht="199.5" x14ac:dyDescent="0.2">
      <c r="A123" s="84" t="s">
        <v>706</v>
      </c>
      <c r="B123">
        <f t="shared" ca="1" si="1"/>
        <v>39</v>
      </c>
      <c r="D123" s="84" t="s">
        <v>705</v>
      </c>
      <c r="E123" s="84" t="s">
        <v>126</v>
      </c>
      <c r="F123" t="s">
        <v>32</v>
      </c>
      <c r="G123" s="61">
        <v>339000</v>
      </c>
      <c r="H123" s="63">
        <v>339000</v>
      </c>
      <c r="I123" t="s">
        <v>39</v>
      </c>
      <c r="J123" t="s">
        <v>44</v>
      </c>
      <c r="K123" s="198" t="s">
        <v>2903</v>
      </c>
      <c r="M123" t="s">
        <v>54</v>
      </c>
      <c r="N1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3" t="s">
        <v>57</v>
      </c>
      <c r="Q123" t="s">
        <v>61</v>
      </c>
      <c r="R123" t="s">
        <v>61</v>
      </c>
      <c r="S123" t="s">
        <v>64</v>
      </c>
      <c r="T123" t="s">
        <v>69</v>
      </c>
      <c r="U123" s="79">
        <v>30</v>
      </c>
      <c r="V123" t="s">
        <v>74</v>
      </c>
      <c r="W123" t="s">
        <v>3139</v>
      </c>
      <c r="X123" t="s">
        <v>2605</v>
      </c>
    </row>
    <row r="124" spans="1:24" ht="199.5" x14ac:dyDescent="0.2">
      <c r="A124" s="84" t="s">
        <v>2521</v>
      </c>
      <c r="B124">
        <f t="shared" ca="1" si="1"/>
        <v>55</v>
      </c>
      <c r="C124" s="54" t="s">
        <v>3247</v>
      </c>
      <c r="D124" s="84" t="s">
        <v>712</v>
      </c>
      <c r="E124" s="84" t="s">
        <v>125</v>
      </c>
      <c r="F124" t="s">
        <v>32</v>
      </c>
      <c r="G124" s="61">
        <v>333000</v>
      </c>
      <c r="H124" s="63">
        <v>333000</v>
      </c>
      <c r="I124" t="s">
        <v>39</v>
      </c>
      <c r="J124" t="s">
        <v>44</v>
      </c>
      <c r="K124" s="198" t="s">
        <v>2904</v>
      </c>
      <c r="M124" t="s">
        <v>54</v>
      </c>
      <c r="N1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4" t="s">
        <v>57</v>
      </c>
      <c r="Q124" t="s">
        <v>61</v>
      </c>
      <c r="R124" t="s">
        <v>61</v>
      </c>
      <c r="S124" t="s">
        <v>64</v>
      </c>
      <c r="T124" t="s">
        <v>69</v>
      </c>
      <c r="U124" s="79">
        <v>30</v>
      </c>
      <c r="V124" t="s">
        <v>74</v>
      </c>
      <c r="W124" t="s">
        <v>3139</v>
      </c>
      <c r="X124" t="s">
        <v>714</v>
      </c>
    </row>
    <row r="125" spans="1:24" ht="199.5" x14ac:dyDescent="0.2">
      <c r="A125" s="84" t="s">
        <v>716</v>
      </c>
      <c r="B125">
        <f t="shared" ca="1" si="1"/>
        <v>48</v>
      </c>
      <c r="C125" s="54" t="s">
        <v>3248</v>
      </c>
      <c r="D125" s="84" t="s">
        <v>715</v>
      </c>
      <c r="E125" s="84" t="s">
        <v>126</v>
      </c>
      <c r="F125" t="s">
        <v>32</v>
      </c>
      <c r="G125" s="61">
        <v>391000</v>
      </c>
      <c r="H125" s="63">
        <v>391000</v>
      </c>
      <c r="I125" t="s">
        <v>39</v>
      </c>
      <c r="J125" t="s">
        <v>44</v>
      </c>
      <c r="K125" s="198" t="s">
        <v>2905</v>
      </c>
      <c r="M125" t="s">
        <v>54</v>
      </c>
      <c r="N1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5" t="s">
        <v>57</v>
      </c>
      <c r="Q125" t="s">
        <v>61</v>
      </c>
      <c r="R125" t="s">
        <v>61</v>
      </c>
      <c r="S125" t="s">
        <v>64</v>
      </c>
      <c r="T125" t="s">
        <v>69</v>
      </c>
      <c r="U125" s="79">
        <v>30</v>
      </c>
      <c r="V125" t="s">
        <v>74</v>
      </c>
      <c r="W125" t="s">
        <v>3139</v>
      </c>
      <c r="X125" t="s">
        <v>717</v>
      </c>
    </row>
    <row r="126" spans="1:24" ht="199.5" x14ac:dyDescent="0.2">
      <c r="A126" s="84" t="s">
        <v>719</v>
      </c>
      <c r="B126">
        <f t="shared" ca="1" si="1"/>
        <v>56</v>
      </c>
      <c r="D126" s="84" t="s">
        <v>718</v>
      </c>
      <c r="E126" s="84" t="s">
        <v>126</v>
      </c>
      <c r="F126" t="s">
        <v>32</v>
      </c>
      <c r="G126" s="61">
        <v>410000</v>
      </c>
      <c r="H126" s="63">
        <v>410000</v>
      </c>
      <c r="I126" t="s">
        <v>39</v>
      </c>
      <c r="J126" t="s">
        <v>44</v>
      </c>
      <c r="K126" s="198" t="s">
        <v>2906</v>
      </c>
      <c r="M126" t="s">
        <v>54</v>
      </c>
      <c r="N1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6" t="s">
        <v>57</v>
      </c>
      <c r="Q126" t="s">
        <v>61</v>
      </c>
      <c r="R126" t="s">
        <v>61</v>
      </c>
      <c r="S126" t="s">
        <v>64</v>
      </c>
      <c r="T126" t="s">
        <v>69</v>
      </c>
      <c r="U126" s="79">
        <v>30</v>
      </c>
      <c r="V126" t="s">
        <v>74</v>
      </c>
      <c r="W126" t="s">
        <v>3139</v>
      </c>
      <c r="X126" t="s">
        <v>720</v>
      </c>
    </row>
    <row r="127" spans="1:24" ht="199.5" x14ac:dyDescent="0.2">
      <c r="A127" s="84" t="s">
        <v>722</v>
      </c>
      <c r="B127">
        <f t="shared" ca="1" si="1"/>
        <v>42</v>
      </c>
      <c r="C127" s="54" t="s">
        <v>3249</v>
      </c>
      <c r="D127" s="84" t="s">
        <v>721</v>
      </c>
      <c r="E127" s="84" t="s">
        <v>200</v>
      </c>
      <c r="F127" t="s">
        <v>32</v>
      </c>
      <c r="G127" s="61">
        <v>543000</v>
      </c>
      <c r="H127" s="63">
        <v>543000</v>
      </c>
      <c r="I127" t="s">
        <v>39</v>
      </c>
      <c r="J127" t="s">
        <v>44</v>
      </c>
      <c r="K127" s="198" t="s">
        <v>2907</v>
      </c>
      <c r="M127" t="s">
        <v>54</v>
      </c>
      <c r="N1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7" t="s">
        <v>57</v>
      </c>
      <c r="Q127" t="s">
        <v>61</v>
      </c>
      <c r="R127" t="s">
        <v>61</v>
      </c>
      <c r="S127" t="s">
        <v>64</v>
      </c>
      <c r="T127" t="s">
        <v>69</v>
      </c>
      <c r="U127" s="79">
        <v>30</v>
      </c>
      <c r="V127" t="s">
        <v>74</v>
      </c>
      <c r="W127" t="s">
        <v>3139</v>
      </c>
      <c r="X127" t="s">
        <v>723</v>
      </c>
    </row>
    <row r="128" spans="1:24" ht="199.5" x14ac:dyDescent="0.2">
      <c r="A128" s="84" t="s">
        <v>2522</v>
      </c>
      <c r="B128">
        <f t="shared" ca="1" si="1"/>
        <v>57</v>
      </c>
      <c r="C128" s="54" t="s">
        <v>3250</v>
      </c>
      <c r="D128" s="84" t="s">
        <v>724</v>
      </c>
      <c r="E128" s="84" t="s">
        <v>125</v>
      </c>
      <c r="F128" t="s">
        <v>32</v>
      </c>
      <c r="G128" s="61">
        <v>1298000</v>
      </c>
      <c r="H128" s="63">
        <v>1298000</v>
      </c>
      <c r="I128" t="s">
        <v>39</v>
      </c>
      <c r="J128" t="s">
        <v>44</v>
      </c>
      <c r="K128" s="198" t="s">
        <v>2908</v>
      </c>
      <c r="M128" t="s">
        <v>54</v>
      </c>
      <c r="N1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8" t="s">
        <v>57</v>
      </c>
      <c r="Q128" t="s">
        <v>61</v>
      </c>
      <c r="R128" t="s">
        <v>61</v>
      </c>
      <c r="S128" t="s">
        <v>64</v>
      </c>
      <c r="T128" t="s">
        <v>69</v>
      </c>
      <c r="U128" s="79">
        <v>30</v>
      </c>
      <c r="V128" t="s">
        <v>74</v>
      </c>
      <c r="W128" t="s">
        <v>3139</v>
      </c>
      <c r="X128" t="s">
        <v>726</v>
      </c>
    </row>
    <row r="129" spans="1:24" ht="199.5" x14ac:dyDescent="0.2">
      <c r="A129" s="84" t="s">
        <v>730</v>
      </c>
      <c r="B129">
        <f t="shared" ca="1" si="1"/>
        <v>49</v>
      </c>
      <c r="D129" s="84" t="s">
        <v>729</v>
      </c>
      <c r="E129" s="84" t="s">
        <v>126</v>
      </c>
      <c r="F129" t="s">
        <v>32</v>
      </c>
      <c r="G129" s="61">
        <v>928000</v>
      </c>
      <c r="H129" s="63">
        <v>928000</v>
      </c>
      <c r="I129" t="s">
        <v>39</v>
      </c>
      <c r="J129" t="s">
        <v>44</v>
      </c>
      <c r="K129" s="198" t="s">
        <v>2909</v>
      </c>
      <c r="M129" t="s">
        <v>54</v>
      </c>
      <c r="N1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29" t="s">
        <v>57</v>
      </c>
      <c r="Q129" t="s">
        <v>61</v>
      </c>
      <c r="R129" t="s">
        <v>61</v>
      </c>
      <c r="S129" t="s">
        <v>64</v>
      </c>
      <c r="T129" t="s">
        <v>69</v>
      </c>
      <c r="U129" s="79">
        <v>30</v>
      </c>
      <c r="V129" t="s">
        <v>74</v>
      </c>
      <c r="W129" t="s">
        <v>3139</v>
      </c>
      <c r="X129" t="s">
        <v>733</v>
      </c>
    </row>
    <row r="130" spans="1:24" ht="199.5" x14ac:dyDescent="0.2">
      <c r="A130" s="84" t="s">
        <v>739</v>
      </c>
      <c r="B130">
        <f t="shared" ca="1" si="1"/>
        <v>51</v>
      </c>
      <c r="C130" s="54" t="s">
        <v>3251</v>
      </c>
      <c r="D130" s="84" t="s">
        <v>738</v>
      </c>
      <c r="E130" s="84" t="s">
        <v>419</v>
      </c>
      <c r="F130" t="s">
        <v>32</v>
      </c>
      <c r="G130" s="61">
        <v>566000</v>
      </c>
      <c r="H130" s="63">
        <v>566000</v>
      </c>
      <c r="I130" t="s">
        <v>39</v>
      </c>
      <c r="J130" t="s">
        <v>44</v>
      </c>
      <c r="K130" s="198" t="s">
        <v>2910</v>
      </c>
      <c r="M130" t="s">
        <v>54</v>
      </c>
      <c r="N1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0" t="s">
        <v>57</v>
      </c>
      <c r="Q130" t="s">
        <v>61</v>
      </c>
      <c r="R130" t="s">
        <v>61</v>
      </c>
      <c r="S130" t="s">
        <v>64</v>
      </c>
      <c r="T130" t="s">
        <v>69</v>
      </c>
      <c r="U130" s="79">
        <v>30</v>
      </c>
      <c r="V130" t="s">
        <v>74</v>
      </c>
      <c r="W130" t="s">
        <v>3139</v>
      </c>
      <c r="X130" t="s">
        <v>740</v>
      </c>
    </row>
    <row r="131" spans="1:24" ht="213.75" x14ac:dyDescent="0.2">
      <c r="A131" s="84" t="s">
        <v>2523</v>
      </c>
      <c r="B131">
        <f t="shared" ca="1" si="1"/>
        <v>53</v>
      </c>
      <c r="C131" s="54" t="s">
        <v>3252</v>
      </c>
      <c r="D131" s="84" t="s">
        <v>741</v>
      </c>
      <c r="E131" s="84" t="s">
        <v>200</v>
      </c>
      <c r="F131" t="s">
        <v>32</v>
      </c>
      <c r="G131" s="61">
        <v>484000</v>
      </c>
      <c r="H131" s="63">
        <v>484000</v>
      </c>
      <c r="I131" t="s">
        <v>39</v>
      </c>
      <c r="J131" t="s">
        <v>44</v>
      </c>
      <c r="K131" s="198" t="s">
        <v>2911</v>
      </c>
      <c r="M131" t="s">
        <v>54</v>
      </c>
      <c r="N1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1" t="s">
        <v>57</v>
      </c>
      <c r="Q131" t="s">
        <v>61</v>
      </c>
      <c r="R131" t="s">
        <v>61</v>
      </c>
      <c r="S131" t="s">
        <v>64</v>
      </c>
      <c r="T131" t="s">
        <v>69</v>
      </c>
      <c r="U131" s="79">
        <v>30</v>
      </c>
      <c r="V131" t="s">
        <v>74</v>
      </c>
      <c r="W131" t="s">
        <v>3139</v>
      </c>
      <c r="X131" t="s">
        <v>2013</v>
      </c>
    </row>
    <row r="132" spans="1:24" ht="213.75" x14ac:dyDescent="0.2">
      <c r="A132" s="84" t="s">
        <v>2524</v>
      </c>
      <c r="B132">
        <f t="shared" ca="1" si="1"/>
        <v>60</v>
      </c>
      <c r="D132" s="84" t="s">
        <v>744</v>
      </c>
      <c r="E132" s="84" t="s">
        <v>126</v>
      </c>
      <c r="F132" t="s">
        <v>32</v>
      </c>
      <c r="G132" s="61">
        <v>332000</v>
      </c>
      <c r="H132" s="63">
        <v>332000</v>
      </c>
      <c r="I132" t="s">
        <v>39</v>
      </c>
      <c r="J132" t="s">
        <v>45</v>
      </c>
      <c r="K132" s="198" t="s">
        <v>2912</v>
      </c>
      <c r="M132" t="s">
        <v>54</v>
      </c>
      <c r="N1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2" t="s">
        <v>57</v>
      </c>
      <c r="Q132" t="s">
        <v>61</v>
      </c>
      <c r="R132" t="s">
        <v>61</v>
      </c>
      <c r="S132" t="s">
        <v>64</v>
      </c>
      <c r="T132" t="s">
        <v>69</v>
      </c>
      <c r="U132" s="79">
        <v>90</v>
      </c>
      <c r="V132" t="s">
        <v>74</v>
      </c>
      <c r="W132" t="s">
        <v>3139</v>
      </c>
      <c r="X132" t="s">
        <v>746</v>
      </c>
    </row>
    <row r="133" spans="1:24" ht="199.5" x14ac:dyDescent="0.2">
      <c r="A133" s="84" t="s">
        <v>752</v>
      </c>
      <c r="B133">
        <f t="shared" ca="1" si="1"/>
        <v>39</v>
      </c>
      <c r="C133" s="54" t="s">
        <v>3253</v>
      </c>
      <c r="D133" s="84" t="s">
        <v>751</v>
      </c>
      <c r="E133" s="84" t="s">
        <v>200</v>
      </c>
      <c r="F133" t="s">
        <v>32</v>
      </c>
      <c r="G133" s="61">
        <v>566000</v>
      </c>
      <c r="H133" s="63">
        <v>566000</v>
      </c>
      <c r="I133" t="s">
        <v>39</v>
      </c>
      <c r="J133" t="s">
        <v>44</v>
      </c>
      <c r="K133" s="198" t="s">
        <v>2913</v>
      </c>
      <c r="M133" t="s">
        <v>54</v>
      </c>
      <c r="N1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3" t="s">
        <v>57</v>
      </c>
      <c r="Q133" t="s">
        <v>61</v>
      </c>
      <c r="R133" t="s">
        <v>61</v>
      </c>
      <c r="S133" t="s">
        <v>64</v>
      </c>
      <c r="T133" t="s">
        <v>69</v>
      </c>
      <c r="U133" s="79">
        <v>30</v>
      </c>
      <c r="V133" t="s">
        <v>74</v>
      </c>
      <c r="W133" t="s">
        <v>3139</v>
      </c>
      <c r="X133" t="s">
        <v>753</v>
      </c>
    </row>
    <row r="134" spans="1:24" ht="199.5" x14ac:dyDescent="0.2">
      <c r="A134" s="84" t="s">
        <v>757</v>
      </c>
      <c r="B134">
        <f t="shared" ca="1" si="1"/>
        <v>49</v>
      </c>
      <c r="C134" s="54" t="s">
        <v>3254</v>
      </c>
      <c r="D134" s="84" t="s">
        <v>756</v>
      </c>
      <c r="E134" s="84" t="s">
        <v>264</v>
      </c>
      <c r="F134" t="s">
        <v>32</v>
      </c>
      <c r="G134" s="61">
        <v>310000</v>
      </c>
      <c r="H134" s="63">
        <v>310000</v>
      </c>
      <c r="I134" t="s">
        <v>39</v>
      </c>
      <c r="J134" t="s">
        <v>45</v>
      </c>
      <c r="K134" s="198" t="s">
        <v>2914</v>
      </c>
      <c r="M134" t="s">
        <v>54</v>
      </c>
      <c r="N1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4" t="s">
        <v>57</v>
      </c>
      <c r="Q134" t="s">
        <v>61</v>
      </c>
      <c r="R134" t="s">
        <v>61</v>
      </c>
      <c r="S134" t="s">
        <v>64</v>
      </c>
      <c r="T134" t="s">
        <v>69</v>
      </c>
      <c r="U134" s="79">
        <v>90</v>
      </c>
      <c r="V134" t="s">
        <v>74</v>
      </c>
      <c r="W134" t="s">
        <v>3139</v>
      </c>
      <c r="X134" t="s">
        <v>2606</v>
      </c>
    </row>
    <row r="135" spans="1:24" ht="213.75" x14ac:dyDescent="0.2">
      <c r="A135" s="84" t="s">
        <v>2525</v>
      </c>
      <c r="B135">
        <f t="shared" ref="B135:B198" ca="1" si="2">LEN(INDIRECT(ADDRESS(ROW() + (0),COLUMN() + (-1))))</f>
        <v>60</v>
      </c>
      <c r="C135" s="54" t="s">
        <v>3255</v>
      </c>
      <c r="D135" s="84" t="s">
        <v>761</v>
      </c>
      <c r="E135" s="84" t="s">
        <v>264</v>
      </c>
      <c r="F135" t="s">
        <v>32</v>
      </c>
      <c r="G135" s="61">
        <v>775000</v>
      </c>
      <c r="H135" s="63">
        <v>775000</v>
      </c>
      <c r="I135" t="s">
        <v>39</v>
      </c>
      <c r="J135" t="s">
        <v>44</v>
      </c>
      <c r="K135" s="198" t="s">
        <v>2915</v>
      </c>
      <c r="M135" t="s">
        <v>54</v>
      </c>
      <c r="N1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5" t="s">
        <v>57</v>
      </c>
      <c r="Q135" t="s">
        <v>61</v>
      </c>
      <c r="R135" t="s">
        <v>61</v>
      </c>
      <c r="S135" t="s">
        <v>64</v>
      </c>
      <c r="T135" t="s">
        <v>69</v>
      </c>
      <c r="U135" s="79">
        <v>30</v>
      </c>
      <c r="V135" t="s">
        <v>74</v>
      </c>
      <c r="W135" t="s">
        <v>3139</v>
      </c>
      <c r="X135" t="s">
        <v>763</v>
      </c>
    </row>
    <row r="136" spans="1:24" ht="199.5" x14ac:dyDescent="0.2">
      <c r="A136" s="84" t="s">
        <v>2526</v>
      </c>
      <c r="B136">
        <f t="shared" ca="1" si="2"/>
        <v>60</v>
      </c>
      <c r="C136" s="54" t="s">
        <v>3256</v>
      </c>
      <c r="D136" s="84" t="s">
        <v>764</v>
      </c>
      <c r="E136" s="84" t="s">
        <v>767</v>
      </c>
      <c r="F136" t="s">
        <v>32</v>
      </c>
      <c r="G136" s="61">
        <v>601000</v>
      </c>
      <c r="H136" s="63">
        <v>601000</v>
      </c>
      <c r="I136" t="s">
        <v>39</v>
      </c>
      <c r="J136" t="s">
        <v>44</v>
      </c>
      <c r="K136" s="198" t="s">
        <v>2916</v>
      </c>
      <c r="M136" t="s">
        <v>54</v>
      </c>
      <c r="N1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6" t="s">
        <v>57</v>
      </c>
      <c r="Q136" t="s">
        <v>61</v>
      </c>
      <c r="R136" t="s">
        <v>61</v>
      </c>
      <c r="S136" t="s">
        <v>64</v>
      </c>
      <c r="T136" t="s">
        <v>69</v>
      </c>
      <c r="U136" s="79">
        <v>30</v>
      </c>
      <c r="V136" t="s">
        <v>74</v>
      </c>
      <c r="W136" t="s">
        <v>3139</v>
      </c>
      <c r="X136" t="s">
        <v>2607</v>
      </c>
    </row>
    <row r="137" spans="1:24" ht="199.5" x14ac:dyDescent="0.2">
      <c r="A137" s="84" t="s">
        <v>2527</v>
      </c>
      <c r="B137">
        <f t="shared" ca="1" si="2"/>
        <v>59</v>
      </c>
      <c r="C137" s="54" t="s">
        <v>3257</v>
      </c>
      <c r="D137" s="84" t="s">
        <v>768</v>
      </c>
      <c r="E137" s="84" t="s">
        <v>427</v>
      </c>
      <c r="F137" t="s">
        <v>32</v>
      </c>
      <c r="G137" s="61">
        <v>746000</v>
      </c>
      <c r="H137" s="63">
        <v>746000</v>
      </c>
      <c r="I137" t="s">
        <v>39</v>
      </c>
      <c r="J137" t="s">
        <v>44</v>
      </c>
      <c r="K137" s="198" t="s">
        <v>2917</v>
      </c>
      <c r="M137" t="s">
        <v>54</v>
      </c>
      <c r="N1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7" t="s">
        <v>57</v>
      </c>
      <c r="Q137" t="s">
        <v>61</v>
      </c>
      <c r="R137" t="s">
        <v>61</v>
      </c>
      <c r="S137" t="s">
        <v>64</v>
      </c>
      <c r="T137" t="s">
        <v>69</v>
      </c>
      <c r="U137" s="79">
        <v>30</v>
      </c>
      <c r="V137" t="s">
        <v>74</v>
      </c>
      <c r="W137" t="s">
        <v>3139</v>
      </c>
      <c r="X137" t="s">
        <v>128</v>
      </c>
    </row>
    <row r="138" spans="1:24" ht="199.5" x14ac:dyDescent="0.2">
      <c r="A138" s="84" t="s">
        <v>774</v>
      </c>
      <c r="B138">
        <f t="shared" ca="1" si="2"/>
        <v>51</v>
      </c>
      <c r="C138" s="54" t="s">
        <v>3258</v>
      </c>
      <c r="D138" s="84" t="s">
        <v>773</v>
      </c>
      <c r="E138" s="84" t="s">
        <v>200</v>
      </c>
      <c r="F138" t="s">
        <v>32</v>
      </c>
      <c r="G138" s="61">
        <v>543000</v>
      </c>
      <c r="H138" s="63">
        <v>543000</v>
      </c>
      <c r="I138" t="s">
        <v>39</v>
      </c>
      <c r="J138" t="s">
        <v>44</v>
      </c>
      <c r="K138" s="198" t="s">
        <v>2918</v>
      </c>
      <c r="M138" t="s">
        <v>54</v>
      </c>
      <c r="N1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8" t="s">
        <v>57</v>
      </c>
      <c r="Q138" t="s">
        <v>61</v>
      </c>
      <c r="R138" t="s">
        <v>61</v>
      </c>
      <c r="S138" t="s">
        <v>64</v>
      </c>
      <c r="T138" t="s">
        <v>69</v>
      </c>
      <c r="U138" s="79">
        <v>30</v>
      </c>
      <c r="V138" t="s">
        <v>74</v>
      </c>
      <c r="W138" t="s">
        <v>3139</v>
      </c>
      <c r="X138" t="s">
        <v>2608</v>
      </c>
    </row>
    <row r="139" spans="1:24" ht="199.5" x14ac:dyDescent="0.2">
      <c r="A139" s="84" t="s">
        <v>777</v>
      </c>
      <c r="B139">
        <f t="shared" ca="1" si="2"/>
        <v>32</v>
      </c>
      <c r="C139" s="54" t="s">
        <v>3259</v>
      </c>
      <c r="D139" s="84" t="s">
        <v>776</v>
      </c>
      <c r="E139" s="84" t="s">
        <v>126</v>
      </c>
      <c r="F139" t="s">
        <v>32</v>
      </c>
      <c r="G139" s="61">
        <v>644000</v>
      </c>
      <c r="H139" s="63">
        <v>644000</v>
      </c>
      <c r="I139" t="s">
        <v>39</v>
      </c>
      <c r="J139" t="s">
        <v>44</v>
      </c>
      <c r="K139" s="198" t="s">
        <v>2919</v>
      </c>
      <c r="M139" t="s">
        <v>54</v>
      </c>
      <c r="N1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39" t="s">
        <v>57</v>
      </c>
      <c r="Q139" t="s">
        <v>61</v>
      </c>
      <c r="R139" t="s">
        <v>61</v>
      </c>
      <c r="S139" t="s">
        <v>64</v>
      </c>
      <c r="T139" t="s">
        <v>69</v>
      </c>
      <c r="U139" s="79">
        <v>30</v>
      </c>
      <c r="V139" t="s">
        <v>74</v>
      </c>
      <c r="W139" t="s">
        <v>3139</v>
      </c>
      <c r="X139" t="s">
        <v>371</v>
      </c>
    </row>
    <row r="140" spans="1:24" ht="199.5" x14ac:dyDescent="0.2">
      <c r="A140" s="84" t="s">
        <v>780</v>
      </c>
      <c r="B140">
        <f t="shared" ca="1" si="2"/>
        <v>39</v>
      </c>
      <c r="C140" s="54" t="s">
        <v>3260</v>
      </c>
      <c r="D140" s="84" t="s">
        <v>779</v>
      </c>
      <c r="E140" s="84" t="s">
        <v>169</v>
      </c>
      <c r="F140" t="s">
        <v>32</v>
      </c>
      <c r="G140" s="61">
        <v>630000</v>
      </c>
      <c r="H140" s="63">
        <v>630000</v>
      </c>
      <c r="I140" t="s">
        <v>39</v>
      </c>
      <c r="J140" t="s">
        <v>44</v>
      </c>
      <c r="K140" s="198" t="s">
        <v>2920</v>
      </c>
      <c r="M140" t="s">
        <v>54</v>
      </c>
      <c r="N1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0" t="s">
        <v>57</v>
      </c>
      <c r="Q140" t="s">
        <v>61</v>
      </c>
      <c r="R140" t="s">
        <v>61</v>
      </c>
      <c r="S140" t="s">
        <v>64</v>
      </c>
      <c r="T140" t="s">
        <v>69</v>
      </c>
      <c r="U140" s="79">
        <v>30</v>
      </c>
      <c r="V140" t="s">
        <v>74</v>
      </c>
      <c r="W140" t="s">
        <v>3139</v>
      </c>
      <c r="X140" t="s">
        <v>781</v>
      </c>
    </row>
    <row r="141" spans="1:24" ht="199.5" x14ac:dyDescent="0.2">
      <c r="A141" s="84" t="s">
        <v>785</v>
      </c>
      <c r="B141">
        <f t="shared" ca="1" si="2"/>
        <v>37</v>
      </c>
      <c r="D141" s="84" t="s">
        <v>784</v>
      </c>
      <c r="E141" s="84" t="s">
        <v>126</v>
      </c>
      <c r="F141" t="s">
        <v>32</v>
      </c>
      <c r="G141" s="61">
        <v>553000</v>
      </c>
      <c r="H141" s="63">
        <v>553000</v>
      </c>
      <c r="I141" t="s">
        <v>39</v>
      </c>
      <c r="J141" t="s">
        <v>44</v>
      </c>
      <c r="K141" s="198" t="s">
        <v>2921</v>
      </c>
      <c r="M141" t="s">
        <v>54</v>
      </c>
      <c r="N1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1" t="s">
        <v>57</v>
      </c>
      <c r="Q141" t="s">
        <v>61</v>
      </c>
      <c r="R141" t="s">
        <v>61</v>
      </c>
      <c r="S141" t="s">
        <v>64</v>
      </c>
      <c r="T141" t="s">
        <v>69</v>
      </c>
      <c r="U141" s="79">
        <v>30</v>
      </c>
      <c r="V141" t="s">
        <v>74</v>
      </c>
      <c r="W141" t="s">
        <v>3139</v>
      </c>
      <c r="X141" t="s">
        <v>2609</v>
      </c>
    </row>
    <row r="142" spans="1:24" ht="199.5" x14ac:dyDescent="0.2">
      <c r="A142" s="84" t="s">
        <v>790</v>
      </c>
      <c r="B142">
        <f t="shared" ca="1" si="2"/>
        <v>50</v>
      </c>
      <c r="C142" s="54" t="s">
        <v>3261</v>
      </c>
      <c r="D142" s="84" t="s">
        <v>789</v>
      </c>
      <c r="E142" s="84" t="s">
        <v>126</v>
      </c>
      <c r="F142" t="s">
        <v>32</v>
      </c>
      <c r="G142" s="61">
        <v>362000</v>
      </c>
      <c r="H142" s="63">
        <v>362000</v>
      </c>
      <c r="I142" t="s">
        <v>39</v>
      </c>
      <c r="J142" t="s">
        <v>44</v>
      </c>
      <c r="K142" s="198" t="s">
        <v>2922</v>
      </c>
      <c r="M142" t="s">
        <v>54</v>
      </c>
      <c r="N1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2" t="s">
        <v>57</v>
      </c>
      <c r="Q142" t="s">
        <v>61</v>
      </c>
      <c r="R142" t="s">
        <v>61</v>
      </c>
      <c r="S142" t="s">
        <v>64</v>
      </c>
      <c r="T142" t="s">
        <v>69</v>
      </c>
      <c r="U142" s="79">
        <v>30</v>
      </c>
      <c r="V142" t="s">
        <v>74</v>
      </c>
      <c r="W142" t="s">
        <v>3139</v>
      </c>
      <c r="X142" t="s">
        <v>2610</v>
      </c>
    </row>
    <row r="143" spans="1:24" ht="199.5" x14ac:dyDescent="0.2">
      <c r="A143" s="84" t="s">
        <v>795</v>
      </c>
      <c r="B143">
        <f t="shared" ca="1" si="2"/>
        <v>47</v>
      </c>
      <c r="C143" s="54" t="s">
        <v>3262</v>
      </c>
      <c r="D143" s="84" t="s">
        <v>794</v>
      </c>
      <c r="E143" s="84" t="s">
        <v>200</v>
      </c>
      <c r="F143" t="s">
        <v>32</v>
      </c>
      <c r="G143" s="61">
        <v>630000</v>
      </c>
      <c r="H143" s="63">
        <v>630000</v>
      </c>
      <c r="I143" t="s">
        <v>39</v>
      </c>
      <c r="J143" t="s">
        <v>44</v>
      </c>
      <c r="K143" s="198" t="s">
        <v>2923</v>
      </c>
      <c r="M143" t="s">
        <v>54</v>
      </c>
      <c r="N1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3" t="s">
        <v>57</v>
      </c>
      <c r="Q143" t="s">
        <v>61</v>
      </c>
      <c r="R143" t="s">
        <v>61</v>
      </c>
      <c r="S143" t="s">
        <v>64</v>
      </c>
      <c r="T143" t="s">
        <v>69</v>
      </c>
      <c r="U143" s="79">
        <v>30</v>
      </c>
      <c r="V143" t="s">
        <v>74</v>
      </c>
      <c r="W143" t="s">
        <v>3139</v>
      </c>
      <c r="X143" t="s">
        <v>2611</v>
      </c>
    </row>
    <row r="144" spans="1:24" ht="199.5" x14ac:dyDescent="0.2">
      <c r="A144" s="84" t="s">
        <v>798</v>
      </c>
      <c r="B144">
        <f t="shared" ca="1" si="2"/>
        <v>39</v>
      </c>
      <c r="C144" s="54" t="s">
        <v>3263</v>
      </c>
      <c r="D144" s="84" t="s">
        <v>797</v>
      </c>
      <c r="E144" s="84" t="s">
        <v>125</v>
      </c>
      <c r="F144" t="s">
        <v>32</v>
      </c>
      <c r="G144" s="61">
        <v>697000</v>
      </c>
      <c r="H144" s="63">
        <v>697000</v>
      </c>
      <c r="I144" t="s">
        <v>39</v>
      </c>
      <c r="J144" t="s">
        <v>44</v>
      </c>
      <c r="K144" s="198" t="s">
        <v>2924</v>
      </c>
      <c r="M144" t="s">
        <v>54</v>
      </c>
      <c r="N1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4" t="s">
        <v>57</v>
      </c>
      <c r="Q144" t="s">
        <v>61</v>
      </c>
      <c r="R144" t="s">
        <v>61</v>
      </c>
      <c r="S144" t="s">
        <v>64</v>
      </c>
      <c r="T144" t="s">
        <v>69</v>
      </c>
      <c r="U144" s="79">
        <v>30</v>
      </c>
      <c r="V144" t="s">
        <v>74</v>
      </c>
      <c r="W144" t="s">
        <v>3139</v>
      </c>
      <c r="X144" t="s">
        <v>2612</v>
      </c>
    </row>
    <row r="145" spans="1:24" ht="199.5" x14ac:dyDescent="0.2">
      <c r="A145" s="84" t="s">
        <v>2528</v>
      </c>
      <c r="B145">
        <f t="shared" ca="1" si="2"/>
        <v>54</v>
      </c>
      <c r="C145" s="54" t="s">
        <v>3264</v>
      </c>
      <c r="D145" s="84" t="s">
        <v>800</v>
      </c>
      <c r="E145" s="84" t="s">
        <v>125</v>
      </c>
      <c r="F145" t="s">
        <v>32</v>
      </c>
      <c r="G145" s="61">
        <v>659000</v>
      </c>
      <c r="H145" s="63">
        <v>659000</v>
      </c>
      <c r="I145" t="s">
        <v>39</v>
      </c>
      <c r="J145" t="s">
        <v>44</v>
      </c>
      <c r="K145" s="198" t="s">
        <v>2925</v>
      </c>
      <c r="M145" t="s">
        <v>54</v>
      </c>
      <c r="N1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5" t="s">
        <v>57</v>
      </c>
      <c r="Q145" t="s">
        <v>61</v>
      </c>
      <c r="R145" t="s">
        <v>61</v>
      </c>
      <c r="S145" t="s">
        <v>64</v>
      </c>
      <c r="T145" t="s">
        <v>69</v>
      </c>
      <c r="U145" s="79">
        <v>30</v>
      </c>
      <c r="V145" t="s">
        <v>74</v>
      </c>
      <c r="W145" t="s">
        <v>3139</v>
      </c>
      <c r="X145" t="s">
        <v>2613</v>
      </c>
    </row>
    <row r="146" spans="1:24" ht="199.5" x14ac:dyDescent="0.2">
      <c r="A146" s="84" t="s">
        <v>804</v>
      </c>
      <c r="B146">
        <f t="shared" ca="1" si="2"/>
        <v>56</v>
      </c>
      <c r="C146" s="54" t="s">
        <v>3265</v>
      </c>
      <c r="D146" s="84" t="s">
        <v>803</v>
      </c>
      <c r="E146" s="84" t="s">
        <v>169</v>
      </c>
      <c r="F146" t="s">
        <v>32</v>
      </c>
      <c r="G146" s="61">
        <v>711000</v>
      </c>
      <c r="H146" s="63">
        <v>711000</v>
      </c>
      <c r="I146" t="s">
        <v>39</v>
      </c>
      <c r="J146" t="s">
        <v>44</v>
      </c>
      <c r="K146" s="198" t="s">
        <v>2926</v>
      </c>
      <c r="M146" t="s">
        <v>54</v>
      </c>
      <c r="N1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6" t="s">
        <v>57</v>
      </c>
      <c r="Q146" t="s">
        <v>61</v>
      </c>
      <c r="R146" t="s">
        <v>61</v>
      </c>
      <c r="S146" t="s">
        <v>64</v>
      </c>
      <c r="T146" t="s">
        <v>69</v>
      </c>
      <c r="U146" s="79">
        <v>30</v>
      </c>
      <c r="V146" t="s">
        <v>74</v>
      </c>
      <c r="W146" t="s">
        <v>3139</v>
      </c>
      <c r="X146" t="s">
        <v>2614</v>
      </c>
    </row>
    <row r="147" spans="1:24" ht="199.5" x14ac:dyDescent="0.2">
      <c r="A147" s="84" t="s">
        <v>807</v>
      </c>
      <c r="B147">
        <f t="shared" ca="1" si="2"/>
        <v>50</v>
      </c>
      <c r="C147" s="54" t="s">
        <v>3266</v>
      </c>
      <c r="D147" s="84" t="s">
        <v>806</v>
      </c>
      <c r="E147" s="84" t="s">
        <v>125</v>
      </c>
      <c r="F147" t="s">
        <v>32</v>
      </c>
      <c r="G147" s="61">
        <v>880000</v>
      </c>
      <c r="H147" s="63">
        <v>880000</v>
      </c>
      <c r="I147" t="s">
        <v>39</v>
      </c>
      <c r="J147" t="s">
        <v>44</v>
      </c>
      <c r="K147" s="198" t="s">
        <v>2927</v>
      </c>
      <c r="M147" t="s">
        <v>54</v>
      </c>
      <c r="N1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7" t="s">
        <v>57</v>
      </c>
      <c r="Q147" t="s">
        <v>61</v>
      </c>
      <c r="R147" t="s">
        <v>61</v>
      </c>
      <c r="S147" t="s">
        <v>64</v>
      </c>
      <c r="T147" t="s">
        <v>69</v>
      </c>
      <c r="U147" s="79">
        <v>30</v>
      </c>
      <c r="V147" t="s">
        <v>74</v>
      </c>
      <c r="W147" t="s">
        <v>3139</v>
      </c>
      <c r="X147" t="s">
        <v>2615</v>
      </c>
    </row>
    <row r="148" spans="1:24" ht="199.5" x14ac:dyDescent="0.2">
      <c r="A148" s="84" t="s">
        <v>812</v>
      </c>
      <c r="B148">
        <f t="shared" ca="1" si="2"/>
        <v>51</v>
      </c>
      <c r="C148" s="54" t="s">
        <v>3267</v>
      </c>
      <c r="D148" s="84" t="s">
        <v>811</v>
      </c>
      <c r="E148" s="84" t="s">
        <v>200</v>
      </c>
      <c r="F148" t="s">
        <v>32</v>
      </c>
      <c r="G148" s="61">
        <v>891000</v>
      </c>
      <c r="H148" s="63">
        <v>891000</v>
      </c>
      <c r="I148" t="s">
        <v>39</v>
      </c>
      <c r="J148" t="s">
        <v>44</v>
      </c>
      <c r="K148" s="198" t="s">
        <v>2928</v>
      </c>
      <c r="M148" t="s">
        <v>54</v>
      </c>
      <c r="N1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8" t="s">
        <v>57</v>
      </c>
      <c r="Q148" t="s">
        <v>61</v>
      </c>
      <c r="R148" t="s">
        <v>61</v>
      </c>
      <c r="S148" t="s">
        <v>64</v>
      </c>
      <c r="T148" t="s">
        <v>69</v>
      </c>
      <c r="U148" s="79">
        <v>30</v>
      </c>
      <c r="V148" t="s">
        <v>74</v>
      </c>
      <c r="W148" t="s">
        <v>3139</v>
      </c>
      <c r="X148" t="s">
        <v>2616</v>
      </c>
    </row>
    <row r="149" spans="1:24" ht="199.5" x14ac:dyDescent="0.2">
      <c r="A149" s="84" t="s">
        <v>817</v>
      </c>
      <c r="B149">
        <f t="shared" ca="1" si="2"/>
        <v>49</v>
      </c>
      <c r="C149" s="54" t="s">
        <v>3268</v>
      </c>
      <c r="D149" s="84" t="s">
        <v>816</v>
      </c>
      <c r="E149" s="84" t="s">
        <v>169</v>
      </c>
      <c r="F149" t="s">
        <v>32</v>
      </c>
      <c r="G149" s="61">
        <v>484000</v>
      </c>
      <c r="H149" s="63">
        <v>484000</v>
      </c>
      <c r="I149" t="s">
        <v>39</v>
      </c>
      <c r="J149" t="s">
        <v>44</v>
      </c>
      <c r="K149" s="198" t="s">
        <v>2929</v>
      </c>
      <c r="M149" t="s">
        <v>54</v>
      </c>
      <c r="N1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49" t="s">
        <v>57</v>
      </c>
      <c r="Q149" t="s">
        <v>61</v>
      </c>
      <c r="R149" t="s">
        <v>61</v>
      </c>
      <c r="S149" t="s">
        <v>64</v>
      </c>
      <c r="T149" t="s">
        <v>69</v>
      </c>
      <c r="U149" s="79">
        <v>30</v>
      </c>
      <c r="V149" t="s">
        <v>74</v>
      </c>
      <c r="W149" t="s">
        <v>3139</v>
      </c>
      <c r="X149" t="s">
        <v>2617</v>
      </c>
    </row>
    <row r="150" spans="1:24" ht="199.5" x14ac:dyDescent="0.2">
      <c r="A150" s="84" t="s">
        <v>820</v>
      </c>
      <c r="B150">
        <f t="shared" ca="1" si="2"/>
        <v>59</v>
      </c>
      <c r="C150" s="54" t="s">
        <v>3269</v>
      </c>
      <c r="D150" s="84" t="s">
        <v>819</v>
      </c>
      <c r="E150" s="84" t="s">
        <v>126</v>
      </c>
      <c r="F150" t="s">
        <v>32</v>
      </c>
      <c r="G150" s="61">
        <v>950000</v>
      </c>
      <c r="H150" s="63">
        <v>950000</v>
      </c>
      <c r="I150" t="s">
        <v>39</v>
      </c>
      <c r="J150" t="s">
        <v>44</v>
      </c>
      <c r="K150" s="198" t="s">
        <v>2930</v>
      </c>
      <c r="M150" t="s">
        <v>54</v>
      </c>
      <c r="N1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0" t="s">
        <v>57</v>
      </c>
      <c r="Q150" t="s">
        <v>61</v>
      </c>
      <c r="R150" t="s">
        <v>61</v>
      </c>
      <c r="S150" t="s">
        <v>64</v>
      </c>
      <c r="T150" t="s">
        <v>69</v>
      </c>
      <c r="U150" s="79">
        <v>30</v>
      </c>
      <c r="V150" t="s">
        <v>74</v>
      </c>
      <c r="W150" t="s">
        <v>3139</v>
      </c>
      <c r="X150" t="s">
        <v>2618</v>
      </c>
    </row>
    <row r="151" spans="1:24" ht="199.5" x14ac:dyDescent="0.2">
      <c r="A151" s="84" t="s">
        <v>823</v>
      </c>
      <c r="B151">
        <f t="shared" ca="1" si="2"/>
        <v>60</v>
      </c>
      <c r="C151" s="54" t="s">
        <v>3270</v>
      </c>
      <c r="D151" s="84" t="s">
        <v>822</v>
      </c>
      <c r="E151" s="84" t="s">
        <v>169</v>
      </c>
      <c r="F151" t="s">
        <v>32</v>
      </c>
      <c r="G151" s="61">
        <v>461000</v>
      </c>
      <c r="H151" s="63">
        <v>461000</v>
      </c>
      <c r="I151" t="s">
        <v>39</v>
      </c>
      <c r="J151" t="s">
        <v>44</v>
      </c>
      <c r="K151" s="198" t="s">
        <v>2931</v>
      </c>
      <c r="M151" t="s">
        <v>54</v>
      </c>
      <c r="N1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1" t="s">
        <v>57</v>
      </c>
      <c r="Q151" t="s">
        <v>61</v>
      </c>
      <c r="R151" t="s">
        <v>61</v>
      </c>
      <c r="S151" t="s">
        <v>64</v>
      </c>
      <c r="T151" t="s">
        <v>69</v>
      </c>
      <c r="U151" s="79">
        <v>30</v>
      </c>
      <c r="V151" t="s">
        <v>74</v>
      </c>
      <c r="W151" t="s">
        <v>3139</v>
      </c>
      <c r="X151" t="s">
        <v>2619</v>
      </c>
    </row>
    <row r="152" spans="1:24" ht="199.5" x14ac:dyDescent="0.2">
      <c r="A152" s="84" t="s">
        <v>826</v>
      </c>
      <c r="B152">
        <f t="shared" ca="1" si="2"/>
        <v>47</v>
      </c>
      <c r="C152" s="54" t="s">
        <v>3271</v>
      </c>
      <c r="D152" s="84" t="s">
        <v>825</v>
      </c>
      <c r="E152" s="84" t="s">
        <v>126</v>
      </c>
      <c r="F152" t="s">
        <v>32</v>
      </c>
      <c r="G152" s="61">
        <v>601000</v>
      </c>
      <c r="H152" s="63">
        <v>601000</v>
      </c>
      <c r="I152" t="s">
        <v>39</v>
      </c>
      <c r="J152" t="s">
        <v>44</v>
      </c>
      <c r="K152" s="198" t="s">
        <v>2932</v>
      </c>
      <c r="M152" t="s">
        <v>54</v>
      </c>
      <c r="N1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2" t="s">
        <v>57</v>
      </c>
      <c r="Q152" t="s">
        <v>61</v>
      </c>
      <c r="R152" t="s">
        <v>61</v>
      </c>
      <c r="S152" t="s">
        <v>64</v>
      </c>
      <c r="T152" t="s">
        <v>69</v>
      </c>
      <c r="U152" s="79">
        <v>30</v>
      </c>
      <c r="V152" t="s">
        <v>74</v>
      </c>
      <c r="W152" t="s">
        <v>3139</v>
      </c>
      <c r="X152" t="s">
        <v>2620</v>
      </c>
    </row>
    <row r="153" spans="1:24" ht="199.5" x14ac:dyDescent="0.2">
      <c r="A153" s="84" t="s">
        <v>2529</v>
      </c>
      <c r="B153">
        <f t="shared" ca="1" si="2"/>
        <v>48</v>
      </c>
      <c r="C153" s="54" t="s">
        <v>3272</v>
      </c>
      <c r="D153" s="84" t="s">
        <v>828</v>
      </c>
      <c r="E153" s="84" t="s">
        <v>169</v>
      </c>
      <c r="F153" t="s">
        <v>32</v>
      </c>
      <c r="G153" s="61">
        <v>572000</v>
      </c>
      <c r="H153" s="63">
        <v>572000</v>
      </c>
      <c r="I153" t="s">
        <v>39</v>
      </c>
      <c r="J153" t="s">
        <v>44</v>
      </c>
      <c r="K153" s="198" t="s">
        <v>2933</v>
      </c>
      <c r="M153" t="s">
        <v>54</v>
      </c>
      <c r="N1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3" t="s">
        <v>57</v>
      </c>
      <c r="Q153" t="s">
        <v>61</v>
      </c>
      <c r="R153" t="s">
        <v>61</v>
      </c>
      <c r="S153" t="s">
        <v>64</v>
      </c>
      <c r="T153" t="s">
        <v>69</v>
      </c>
      <c r="U153" s="79">
        <v>30</v>
      </c>
      <c r="V153" t="s">
        <v>74</v>
      </c>
      <c r="W153" t="s">
        <v>3139</v>
      </c>
      <c r="X153" t="s">
        <v>2621</v>
      </c>
    </row>
    <row r="154" spans="1:24" ht="199.5" x14ac:dyDescent="0.2">
      <c r="A154" s="84" t="s">
        <v>834</v>
      </c>
      <c r="B154">
        <f t="shared" ca="1" si="2"/>
        <v>45</v>
      </c>
      <c r="C154" s="54" t="s">
        <v>3273</v>
      </c>
      <c r="D154" s="84" t="s">
        <v>833</v>
      </c>
      <c r="E154" s="84" t="s">
        <v>125</v>
      </c>
      <c r="F154" t="s">
        <v>32</v>
      </c>
      <c r="G154" s="61">
        <v>775000</v>
      </c>
      <c r="H154" s="63">
        <v>775000</v>
      </c>
      <c r="I154" t="s">
        <v>39</v>
      </c>
      <c r="J154" t="s">
        <v>44</v>
      </c>
      <c r="K154" s="198" t="s">
        <v>2934</v>
      </c>
      <c r="M154" t="s">
        <v>54</v>
      </c>
      <c r="N1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4" t="s">
        <v>57</v>
      </c>
      <c r="Q154" t="s">
        <v>61</v>
      </c>
      <c r="R154" t="s">
        <v>61</v>
      </c>
      <c r="S154" t="s">
        <v>64</v>
      </c>
      <c r="T154" t="s">
        <v>69</v>
      </c>
      <c r="U154" s="79">
        <v>30</v>
      </c>
      <c r="V154" t="s">
        <v>74</v>
      </c>
      <c r="W154" t="s">
        <v>3139</v>
      </c>
      <c r="X154" t="s">
        <v>2622</v>
      </c>
    </row>
    <row r="155" spans="1:24" ht="199.5" x14ac:dyDescent="0.2">
      <c r="A155" s="84" t="s">
        <v>837</v>
      </c>
      <c r="B155">
        <f t="shared" ca="1" si="2"/>
        <v>49</v>
      </c>
      <c r="D155" s="84" t="s">
        <v>836</v>
      </c>
      <c r="E155" s="84" t="s">
        <v>126</v>
      </c>
      <c r="F155" t="s">
        <v>32</v>
      </c>
      <c r="G155" s="61">
        <v>540000</v>
      </c>
      <c r="H155" s="63">
        <v>540000</v>
      </c>
      <c r="I155" t="s">
        <v>39</v>
      </c>
      <c r="J155" t="s">
        <v>44</v>
      </c>
      <c r="K155" s="198" t="s">
        <v>2935</v>
      </c>
      <c r="M155" t="s">
        <v>54</v>
      </c>
      <c r="N1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5" t="s">
        <v>57</v>
      </c>
      <c r="Q155" t="s">
        <v>61</v>
      </c>
      <c r="R155" t="s">
        <v>61</v>
      </c>
      <c r="S155" t="s">
        <v>64</v>
      </c>
      <c r="T155" t="s">
        <v>69</v>
      </c>
      <c r="U155" s="79">
        <v>30</v>
      </c>
      <c r="V155" t="s">
        <v>74</v>
      </c>
      <c r="W155" t="s">
        <v>3139</v>
      </c>
      <c r="X155" t="s">
        <v>2623</v>
      </c>
    </row>
    <row r="156" spans="1:24" ht="199.5" x14ac:dyDescent="0.2">
      <c r="A156" s="84" t="s">
        <v>840</v>
      </c>
      <c r="B156">
        <f t="shared" ca="1" si="2"/>
        <v>39</v>
      </c>
      <c r="C156" s="54" t="s">
        <v>3274</v>
      </c>
      <c r="D156" s="84" t="s">
        <v>839</v>
      </c>
      <c r="E156" s="84" t="s">
        <v>169</v>
      </c>
      <c r="F156" t="s">
        <v>32</v>
      </c>
      <c r="G156" s="61">
        <v>601000</v>
      </c>
      <c r="H156" s="63">
        <v>601000</v>
      </c>
      <c r="I156" t="s">
        <v>39</v>
      </c>
      <c r="J156" t="s">
        <v>44</v>
      </c>
      <c r="K156" s="198" t="s">
        <v>2936</v>
      </c>
      <c r="M156" t="s">
        <v>54</v>
      </c>
      <c r="N1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6" t="s">
        <v>57</v>
      </c>
      <c r="Q156" t="s">
        <v>61</v>
      </c>
      <c r="R156" t="s">
        <v>61</v>
      </c>
      <c r="S156" t="s">
        <v>64</v>
      </c>
      <c r="T156" t="s">
        <v>69</v>
      </c>
      <c r="U156" s="79">
        <v>30</v>
      </c>
      <c r="V156" t="s">
        <v>74</v>
      </c>
      <c r="W156" t="s">
        <v>3139</v>
      </c>
      <c r="X156" t="s">
        <v>2624</v>
      </c>
    </row>
    <row r="157" spans="1:24" ht="199.5" x14ac:dyDescent="0.2">
      <c r="A157" s="84" t="s">
        <v>843</v>
      </c>
      <c r="B157">
        <f t="shared" ca="1" si="2"/>
        <v>42</v>
      </c>
      <c r="C157" s="54" t="s">
        <v>3275</v>
      </c>
      <c r="D157" s="84" t="s">
        <v>842</v>
      </c>
      <c r="E157" s="84" t="s">
        <v>200</v>
      </c>
      <c r="F157" t="s">
        <v>32</v>
      </c>
      <c r="G157" s="61">
        <v>403000</v>
      </c>
      <c r="H157" s="63">
        <v>403000</v>
      </c>
      <c r="I157" t="s">
        <v>39</v>
      </c>
      <c r="J157" t="s">
        <v>44</v>
      </c>
      <c r="K157" s="198" t="s">
        <v>2937</v>
      </c>
      <c r="M157" t="s">
        <v>54</v>
      </c>
      <c r="N1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7" t="s">
        <v>57</v>
      </c>
      <c r="Q157" t="s">
        <v>61</v>
      </c>
      <c r="R157" t="s">
        <v>61</v>
      </c>
      <c r="S157" t="s">
        <v>64</v>
      </c>
      <c r="T157" t="s">
        <v>69</v>
      </c>
      <c r="U157" s="79">
        <v>30</v>
      </c>
      <c r="V157" t="s">
        <v>74</v>
      </c>
      <c r="W157" t="s">
        <v>3139</v>
      </c>
      <c r="X157" t="s">
        <v>2625</v>
      </c>
    </row>
    <row r="158" spans="1:24" ht="199.5" x14ac:dyDescent="0.2">
      <c r="A158" s="84" t="s">
        <v>848</v>
      </c>
      <c r="B158">
        <f t="shared" ca="1" si="2"/>
        <v>50</v>
      </c>
      <c r="C158" s="54" t="s">
        <v>3276</v>
      </c>
      <c r="D158" s="84" t="s">
        <v>847</v>
      </c>
      <c r="E158" s="84" t="s">
        <v>169</v>
      </c>
      <c r="F158" t="s">
        <v>32</v>
      </c>
      <c r="G158" s="61">
        <v>554000</v>
      </c>
      <c r="H158" s="63">
        <v>554000</v>
      </c>
      <c r="I158" t="s">
        <v>39</v>
      </c>
      <c r="J158" t="s">
        <v>44</v>
      </c>
      <c r="K158" s="198" t="s">
        <v>2938</v>
      </c>
      <c r="M158" t="s">
        <v>54</v>
      </c>
      <c r="N1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8" t="s">
        <v>57</v>
      </c>
      <c r="Q158" t="s">
        <v>61</v>
      </c>
      <c r="R158" t="s">
        <v>61</v>
      </c>
      <c r="S158" t="s">
        <v>64</v>
      </c>
      <c r="T158" t="s">
        <v>69</v>
      </c>
      <c r="U158" s="79">
        <v>30</v>
      </c>
      <c r="V158" t="s">
        <v>74</v>
      </c>
      <c r="W158" t="s">
        <v>3139</v>
      </c>
      <c r="X158" t="s">
        <v>2626</v>
      </c>
    </row>
    <row r="159" spans="1:24" ht="199.5" x14ac:dyDescent="0.2">
      <c r="A159" s="84" t="s">
        <v>851</v>
      </c>
      <c r="B159">
        <f t="shared" ca="1" si="2"/>
        <v>53</v>
      </c>
      <c r="C159" s="54" t="s">
        <v>3277</v>
      </c>
      <c r="D159" s="84" t="s">
        <v>850</v>
      </c>
      <c r="E159" s="84" t="s">
        <v>264</v>
      </c>
      <c r="F159" t="s">
        <v>32</v>
      </c>
      <c r="G159" s="61">
        <v>601000</v>
      </c>
      <c r="H159" s="63">
        <v>601000</v>
      </c>
      <c r="I159" t="s">
        <v>39</v>
      </c>
      <c r="J159" t="s">
        <v>44</v>
      </c>
      <c r="K159" s="198" t="s">
        <v>2939</v>
      </c>
      <c r="M159" t="s">
        <v>54</v>
      </c>
      <c r="N1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59" t="s">
        <v>57</v>
      </c>
      <c r="Q159" t="s">
        <v>61</v>
      </c>
      <c r="R159" t="s">
        <v>61</v>
      </c>
      <c r="S159" t="s">
        <v>64</v>
      </c>
      <c r="T159" t="s">
        <v>69</v>
      </c>
      <c r="U159" s="79">
        <v>30</v>
      </c>
      <c r="V159" t="s">
        <v>74</v>
      </c>
      <c r="W159" t="s">
        <v>3139</v>
      </c>
      <c r="X159" t="s">
        <v>2627</v>
      </c>
    </row>
    <row r="160" spans="1:24" ht="199.5" x14ac:dyDescent="0.2">
      <c r="A160" s="84" t="s">
        <v>856</v>
      </c>
      <c r="B160">
        <f t="shared" ca="1" si="2"/>
        <v>53</v>
      </c>
      <c r="C160" s="54" t="s">
        <v>3278</v>
      </c>
      <c r="D160" s="84" t="s">
        <v>855</v>
      </c>
      <c r="E160" s="84" t="s">
        <v>126</v>
      </c>
      <c r="F160" t="s">
        <v>32</v>
      </c>
      <c r="G160" s="61">
        <v>636000</v>
      </c>
      <c r="H160" s="63">
        <v>636000</v>
      </c>
      <c r="I160" t="s">
        <v>39</v>
      </c>
      <c r="J160" t="s">
        <v>44</v>
      </c>
      <c r="K160" s="198" t="s">
        <v>2940</v>
      </c>
      <c r="M160" t="s">
        <v>54</v>
      </c>
      <c r="N1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0" t="s">
        <v>57</v>
      </c>
      <c r="Q160" t="s">
        <v>61</v>
      </c>
      <c r="R160" t="s">
        <v>61</v>
      </c>
      <c r="S160" t="s">
        <v>64</v>
      </c>
      <c r="T160" t="s">
        <v>69</v>
      </c>
      <c r="U160" s="79">
        <v>30</v>
      </c>
      <c r="V160" t="s">
        <v>74</v>
      </c>
      <c r="W160" t="s">
        <v>3139</v>
      </c>
      <c r="X160" t="s">
        <v>2628</v>
      </c>
    </row>
    <row r="161" spans="1:24" ht="199.5" x14ac:dyDescent="0.2">
      <c r="A161" s="84" t="s">
        <v>859</v>
      </c>
      <c r="B161">
        <f t="shared" ca="1" si="2"/>
        <v>51</v>
      </c>
      <c r="C161" s="54" t="s">
        <v>3279</v>
      </c>
      <c r="D161" s="84" t="s">
        <v>858</v>
      </c>
      <c r="E161" s="84" t="s">
        <v>427</v>
      </c>
      <c r="F161" t="s">
        <v>32</v>
      </c>
      <c r="G161" s="61">
        <v>734000</v>
      </c>
      <c r="H161" s="63">
        <v>734000</v>
      </c>
      <c r="I161" t="s">
        <v>39</v>
      </c>
      <c r="J161" t="s">
        <v>44</v>
      </c>
      <c r="K161" s="198" t="s">
        <v>2941</v>
      </c>
      <c r="M161" t="s">
        <v>54</v>
      </c>
      <c r="N1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1" t="s">
        <v>57</v>
      </c>
      <c r="Q161" t="s">
        <v>61</v>
      </c>
      <c r="R161" t="s">
        <v>61</v>
      </c>
      <c r="S161" t="s">
        <v>64</v>
      </c>
      <c r="T161" t="s">
        <v>69</v>
      </c>
      <c r="U161" s="79">
        <v>30</v>
      </c>
      <c r="V161" t="s">
        <v>74</v>
      </c>
      <c r="W161" t="s">
        <v>3139</v>
      </c>
      <c r="X161" t="s">
        <v>2629</v>
      </c>
    </row>
    <row r="162" spans="1:24" ht="199.5" x14ac:dyDescent="0.2">
      <c r="A162" s="84" t="s">
        <v>864</v>
      </c>
      <c r="B162">
        <f t="shared" ca="1" si="2"/>
        <v>40</v>
      </c>
      <c r="C162" s="54" t="s">
        <v>3280</v>
      </c>
      <c r="D162" s="84" t="s">
        <v>863</v>
      </c>
      <c r="E162" s="84" t="s">
        <v>126</v>
      </c>
      <c r="F162" t="s">
        <v>32</v>
      </c>
      <c r="G162" s="61">
        <v>833000</v>
      </c>
      <c r="H162" s="63">
        <v>833000</v>
      </c>
      <c r="I162" t="s">
        <v>39</v>
      </c>
      <c r="J162" t="s">
        <v>44</v>
      </c>
      <c r="K162" s="198" t="s">
        <v>2942</v>
      </c>
      <c r="M162" t="s">
        <v>54</v>
      </c>
      <c r="N1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2" t="s">
        <v>57</v>
      </c>
      <c r="Q162" t="s">
        <v>61</v>
      </c>
      <c r="R162" t="s">
        <v>61</v>
      </c>
      <c r="S162" t="s">
        <v>64</v>
      </c>
      <c r="T162" t="s">
        <v>69</v>
      </c>
      <c r="U162" s="79">
        <v>30</v>
      </c>
      <c r="V162" t="s">
        <v>74</v>
      </c>
      <c r="W162" t="s">
        <v>3139</v>
      </c>
      <c r="X162" t="s">
        <v>2630</v>
      </c>
    </row>
    <row r="163" spans="1:24" ht="199.5" x14ac:dyDescent="0.2">
      <c r="A163" s="84" t="s">
        <v>867</v>
      </c>
      <c r="B163">
        <f t="shared" ca="1" si="2"/>
        <v>52</v>
      </c>
      <c r="C163" s="54" t="s">
        <v>3281</v>
      </c>
      <c r="D163" s="84" t="s">
        <v>866</v>
      </c>
      <c r="E163" s="84" t="s">
        <v>126</v>
      </c>
      <c r="F163" t="s">
        <v>32</v>
      </c>
      <c r="G163" s="61">
        <v>397000</v>
      </c>
      <c r="H163" s="63">
        <v>397000</v>
      </c>
      <c r="I163" t="s">
        <v>39</v>
      </c>
      <c r="J163" t="s">
        <v>44</v>
      </c>
      <c r="K163" s="198" t="s">
        <v>2943</v>
      </c>
      <c r="M163" t="s">
        <v>54</v>
      </c>
      <c r="N1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3" t="s">
        <v>57</v>
      </c>
      <c r="Q163" t="s">
        <v>61</v>
      </c>
      <c r="R163" t="s">
        <v>61</v>
      </c>
      <c r="S163" t="s">
        <v>64</v>
      </c>
      <c r="T163" t="s">
        <v>69</v>
      </c>
      <c r="U163" s="79">
        <v>30</v>
      </c>
      <c r="V163" t="s">
        <v>74</v>
      </c>
      <c r="W163" t="s">
        <v>3139</v>
      </c>
      <c r="X163" t="s">
        <v>2631</v>
      </c>
    </row>
    <row r="164" spans="1:24" ht="213.75" x14ac:dyDescent="0.2">
      <c r="A164" s="84" t="s">
        <v>2530</v>
      </c>
      <c r="B164">
        <f t="shared" ca="1" si="2"/>
        <v>58</v>
      </c>
      <c r="C164" s="54" t="s">
        <v>3282</v>
      </c>
      <c r="D164" s="84" t="s">
        <v>873</v>
      </c>
      <c r="E164" s="84" t="s">
        <v>658</v>
      </c>
      <c r="F164" t="s">
        <v>32</v>
      </c>
      <c r="G164" s="61">
        <v>484000</v>
      </c>
      <c r="H164" s="63">
        <v>484000</v>
      </c>
      <c r="I164" t="s">
        <v>39</v>
      </c>
      <c r="J164" t="s">
        <v>44</v>
      </c>
      <c r="K164" s="198" t="s">
        <v>2944</v>
      </c>
      <c r="M164" t="s">
        <v>54</v>
      </c>
      <c r="N1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4" t="s">
        <v>57</v>
      </c>
      <c r="Q164" t="s">
        <v>61</v>
      </c>
      <c r="R164" t="s">
        <v>61</v>
      </c>
      <c r="S164" t="s">
        <v>64</v>
      </c>
      <c r="T164" t="s">
        <v>69</v>
      </c>
      <c r="U164" s="79">
        <v>30</v>
      </c>
      <c r="V164" t="s">
        <v>74</v>
      </c>
      <c r="W164" t="s">
        <v>3139</v>
      </c>
      <c r="X164" t="s">
        <v>2632</v>
      </c>
    </row>
    <row r="165" spans="1:24" ht="199.5" x14ac:dyDescent="0.2">
      <c r="A165" s="84" t="s">
        <v>877</v>
      </c>
      <c r="B165">
        <f t="shared" ca="1" si="2"/>
        <v>49</v>
      </c>
      <c r="D165" s="84" t="s">
        <v>876</v>
      </c>
      <c r="E165" s="84" t="s">
        <v>126</v>
      </c>
      <c r="F165" t="s">
        <v>32</v>
      </c>
      <c r="G165" s="61">
        <v>432000</v>
      </c>
      <c r="H165" s="63">
        <v>432000</v>
      </c>
      <c r="I165" t="s">
        <v>39</v>
      </c>
      <c r="J165" t="s">
        <v>44</v>
      </c>
      <c r="K165" s="198" t="s">
        <v>2945</v>
      </c>
      <c r="M165" t="s">
        <v>54</v>
      </c>
      <c r="N1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5" t="s">
        <v>57</v>
      </c>
      <c r="Q165" t="s">
        <v>61</v>
      </c>
      <c r="R165" t="s">
        <v>61</v>
      </c>
      <c r="S165" t="s">
        <v>64</v>
      </c>
      <c r="T165" t="s">
        <v>69</v>
      </c>
      <c r="U165" s="79">
        <v>30</v>
      </c>
      <c r="V165" t="s">
        <v>74</v>
      </c>
      <c r="W165" t="s">
        <v>3139</v>
      </c>
      <c r="X165" t="s">
        <v>2633</v>
      </c>
    </row>
    <row r="166" spans="1:24" ht="199.5" x14ac:dyDescent="0.2">
      <c r="A166" s="84" t="s">
        <v>884</v>
      </c>
      <c r="B166">
        <f t="shared" ca="1" si="2"/>
        <v>57</v>
      </c>
      <c r="C166" s="54" t="s">
        <v>3283</v>
      </c>
      <c r="D166" s="84" t="s">
        <v>883</v>
      </c>
      <c r="E166" s="84" t="s">
        <v>200</v>
      </c>
      <c r="F166" t="s">
        <v>32</v>
      </c>
      <c r="G166" s="61">
        <v>833000</v>
      </c>
      <c r="H166" s="63">
        <v>833000</v>
      </c>
      <c r="I166" t="s">
        <v>39</v>
      </c>
      <c r="J166" t="s">
        <v>44</v>
      </c>
      <c r="K166" s="198" t="s">
        <v>2946</v>
      </c>
      <c r="M166" t="s">
        <v>54</v>
      </c>
      <c r="N1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6" t="s">
        <v>57</v>
      </c>
      <c r="Q166" t="s">
        <v>61</v>
      </c>
      <c r="R166" t="s">
        <v>61</v>
      </c>
      <c r="S166" t="s">
        <v>64</v>
      </c>
      <c r="T166" t="s">
        <v>69</v>
      </c>
      <c r="U166" s="79">
        <v>30</v>
      </c>
      <c r="V166" t="s">
        <v>74</v>
      </c>
      <c r="W166" t="s">
        <v>3139</v>
      </c>
      <c r="X166" t="s">
        <v>2634</v>
      </c>
    </row>
    <row r="167" spans="1:24" ht="199.5" x14ac:dyDescent="0.2">
      <c r="A167" s="84" t="s">
        <v>887</v>
      </c>
      <c r="B167">
        <f t="shared" ca="1" si="2"/>
        <v>44</v>
      </c>
      <c r="C167" s="54" t="s">
        <v>3284</v>
      </c>
      <c r="D167" s="84" t="s">
        <v>886</v>
      </c>
      <c r="E167" s="84" t="s">
        <v>126</v>
      </c>
      <c r="F167" t="s">
        <v>32</v>
      </c>
      <c r="G167" s="61">
        <v>496000</v>
      </c>
      <c r="H167" s="63">
        <v>496000</v>
      </c>
      <c r="I167" t="s">
        <v>39</v>
      </c>
      <c r="J167" t="s">
        <v>44</v>
      </c>
      <c r="K167" s="198" t="s">
        <v>2947</v>
      </c>
      <c r="M167" t="s">
        <v>54</v>
      </c>
      <c r="N1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7" t="s">
        <v>57</v>
      </c>
      <c r="Q167" t="s">
        <v>61</v>
      </c>
      <c r="R167" t="s">
        <v>61</v>
      </c>
      <c r="S167" t="s">
        <v>64</v>
      </c>
      <c r="T167" t="s">
        <v>69</v>
      </c>
      <c r="U167" s="79">
        <v>30</v>
      </c>
      <c r="V167" t="s">
        <v>74</v>
      </c>
      <c r="W167" t="s">
        <v>3139</v>
      </c>
      <c r="X167" t="s">
        <v>2635</v>
      </c>
    </row>
    <row r="168" spans="1:24" ht="199.5" x14ac:dyDescent="0.2">
      <c r="A168" s="84" t="s">
        <v>2531</v>
      </c>
      <c r="B168">
        <f t="shared" ca="1" si="2"/>
        <v>49</v>
      </c>
      <c r="C168" s="54" t="s">
        <v>3285</v>
      </c>
      <c r="D168" s="84" t="s">
        <v>889</v>
      </c>
      <c r="E168" s="84" t="s">
        <v>125</v>
      </c>
      <c r="F168" t="s">
        <v>32</v>
      </c>
      <c r="G168" s="61">
        <v>880000</v>
      </c>
      <c r="H168" s="63">
        <v>880000</v>
      </c>
      <c r="I168" t="s">
        <v>39</v>
      </c>
      <c r="J168" t="s">
        <v>44</v>
      </c>
      <c r="K168" s="198" t="s">
        <v>2948</v>
      </c>
      <c r="M168" t="s">
        <v>54</v>
      </c>
      <c r="N1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8" t="s">
        <v>57</v>
      </c>
      <c r="Q168" t="s">
        <v>61</v>
      </c>
      <c r="R168" t="s">
        <v>61</v>
      </c>
      <c r="S168" t="s">
        <v>64</v>
      </c>
      <c r="T168" t="s">
        <v>69</v>
      </c>
      <c r="U168" s="79">
        <v>30</v>
      </c>
      <c r="V168" t="s">
        <v>74</v>
      </c>
      <c r="W168" t="s">
        <v>3139</v>
      </c>
      <c r="X168" t="s">
        <v>2636</v>
      </c>
    </row>
    <row r="169" spans="1:24" ht="199.5" x14ac:dyDescent="0.2">
      <c r="A169" s="84" t="s">
        <v>893</v>
      </c>
      <c r="B169">
        <f t="shared" ca="1" si="2"/>
        <v>39</v>
      </c>
      <c r="C169" s="54" t="s">
        <v>3286</v>
      </c>
      <c r="D169" s="84" t="s">
        <v>892</v>
      </c>
      <c r="E169" s="84" t="s">
        <v>126</v>
      </c>
      <c r="F169" t="s">
        <v>32</v>
      </c>
      <c r="G169" s="61">
        <v>508000</v>
      </c>
      <c r="H169" s="63">
        <v>508000</v>
      </c>
      <c r="I169" t="s">
        <v>39</v>
      </c>
      <c r="J169" t="s">
        <v>44</v>
      </c>
      <c r="K169" s="198" t="s">
        <v>2949</v>
      </c>
      <c r="M169" t="s">
        <v>54</v>
      </c>
      <c r="N1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69" t="s">
        <v>57</v>
      </c>
      <c r="Q169" t="s">
        <v>61</v>
      </c>
      <c r="R169" t="s">
        <v>61</v>
      </c>
      <c r="S169" t="s">
        <v>64</v>
      </c>
      <c r="T169" t="s">
        <v>69</v>
      </c>
      <c r="U169" s="79">
        <v>30</v>
      </c>
      <c r="V169" t="s">
        <v>74</v>
      </c>
      <c r="W169" t="s">
        <v>3139</v>
      </c>
      <c r="X169" t="s">
        <v>2637</v>
      </c>
    </row>
    <row r="170" spans="1:24" ht="199.5" x14ac:dyDescent="0.2">
      <c r="A170" s="84" t="s">
        <v>896</v>
      </c>
      <c r="B170">
        <f t="shared" ca="1" si="2"/>
        <v>53</v>
      </c>
      <c r="C170" s="54" t="s">
        <v>3287</v>
      </c>
      <c r="D170" s="84" t="s">
        <v>895</v>
      </c>
      <c r="E170" s="84" t="s">
        <v>419</v>
      </c>
      <c r="F170" t="s">
        <v>32</v>
      </c>
      <c r="G170" s="61">
        <v>601000</v>
      </c>
      <c r="H170" s="63">
        <v>601000</v>
      </c>
      <c r="I170" t="s">
        <v>39</v>
      </c>
      <c r="J170" t="s">
        <v>44</v>
      </c>
      <c r="K170" s="198" t="s">
        <v>2950</v>
      </c>
      <c r="M170" t="s">
        <v>54</v>
      </c>
      <c r="N1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0" t="s">
        <v>57</v>
      </c>
      <c r="Q170" t="s">
        <v>61</v>
      </c>
      <c r="R170" t="s">
        <v>61</v>
      </c>
      <c r="S170" t="s">
        <v>64</v>
      </c>
      <c r="T170" t="s">
        <v>69</v>
      </c>
      <c r="U170" s="79">
        <v>30</v>
      </c>
      <c r="V170" t="s">
        <v>74</v>
      </c>
      <c r="W170" t="s">
        <v>3139</v>
      </c>
      <c r="X170" t="s">
        <v>2638</v>
      </c>
    </row>
    <row r="171" spans="1:24" ht="199.5" x14ac:dyDescent="0.2">
      <c r="A171" s="84" t="s">
        <v>899</v>
      </c>
      <c r="B171">
        <f t="shared" ca="1" si="2"/>
        <v>51</v>
      </c>
      <c r="C171" s="54" t="s">
        <v>3288</v>
      </c>
      <c r="D171" s="84" t="s">
        <v>898</v>
      </c>
      <c r="E171" s="84" t="s">
        <v>169</v>
      </c>
      <c r="F171" t="s">
        <v>32</v>
      </c>
      <c r="G171" s="61">
        <v>891000</v>
      </c>
      <c r="H171" s="63">
        <v>891000</v>
      </c>
      <c r="I171" t="s">
        <v>39</v>
      </c>
      <c r="J171" t="s">
        <v>44</v>
      </c>
      <c r="K171" s="198" t="s">
        <v>2951</v>
      </c>
      <c r="M171" t="s">
        <v>54</v>
      </c>
      <c r="N1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1" t="s">
        <v>57</v>
      </c>
      <c r="Q171" t="s">
        <v>61</v>
      </c>
      <c r="R171" t="s">
        <v>61</v>
      </c>
      <c r="S171" t="s">
        <v>64</v>
      </c>
      <c r="T171" t="s">
        <v>69</v>
      </c>
      <c r="U171" s="79">
        <v>30</v>
      </c>
      <c r="V171" t="s">
        <v>74</v>
      </c>
      <c r="W171" t="s">
        <v>3139</v>
      </c>
      <c r="X171" t="s">
        <v>2639</v>
      </c>
    </row>
    <row r="172" spans="1:24" ht="199.5" x14ac:dyDescent="0.2">
      <c r="A172" s="84" t="s">
        <v>904</v>
      </c>
      <c r="B172">
        <f t="shared" ca="1" si="2"/>
        <v>37</v>
      </c>
      <c r="C172" s="54" t="s">
        <v>3289</v>
      </c>
      <c r="D172" s="84" t="s">
        <v>903</v>
      </c>
      <c r="E172" s="84" t="s">
        <v>200</v>
      </c>
      <c r="F172" t="s">
        <v>32</v>
      </c>
      <c r="G172" s="61">
        <v>798000</v>
      </c>
      <c r="H172" s="63">
        <v>798000</v>
      </c>
      <c r="I172" t="s">
        <v>39</v>
      </c>
      <c r="J172" t="s">
        <v>44</v>
      </c>
      <c r="K172" s="198" t="s">
        <v>2952</v>
      </c>
      <c r="M172" t="s">
        <v>54</v>
      </c>
      <c r="N1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2" t="s">
        <v>57</v>
      </c>
      <c r="Q172" t="s">
        <v>61</v>
      </c>
      <c r="R172" t="s">
        <v>61</v>
      </c>
      <c r="S172" t="s">
        <v>64</v>
      </c>
      <c r="T172" t="s">
        <v>69</v>
      </c>
      <c r="U172" s="79">
        <v>30</v>
      </c>
      <c r="V172" t="s">
        <v>74</v>
      </c>
      <c r="W172" t="s">
        <v>3139</v>
      </c>
      <c r="X172" t="s">
        <v>2640</v>
      </c>
    </row>
    <row r="173" spans="1:24" ht="199.5" x14ac:dyDescent="0.2">
      <c r="A173" s="84" t="s">
        <v>907</v>
      </c>
      <c r="B173">
        <f t="shared" ca="1" si="2"/>
        <v>41</v>
      </c>
      <c r="C173" s="54" t="s">
        <v>3290</v>
      </c>
      <c r="D173" s="84" t="s">
        <v>906</v>
      </c>
      <c r="E173" s="84" t="s">
        <v>200</v>
      </c>
      <c r="F173" t="s">
        <v>32</v>
      </c>
      <c r="G173" s="61">
        <v>717000</v>
      </c>
      <c r="H173" s="63">
        <v>717000</v>
      </c>
      <c r="I173" t="s">
        <v>39</v>
      </c>
      <c r="J173" t="s">
        <v>44</v>
      </c>
      <c r="K173" s="198" t="s">
        <v>2953</v>
      </c>
      <c r="M173" t="s">
        <v>54</v>
      </c>
      <c r="N1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3" t="s">
        <v>57</v>
      </c>
      <c r="Q173" t="s">
        <v>61</v>
      </c>
      <c r="R173" t="s">
        <v>61</v>
      </c>
      <c r="S173" t="s">
        <v>64</v>
      </c>
      <c r="T173" t="s">
        <v>69</v>
      </c>
      <c r="U173" s="79">
        <v>30</v>
      </c>
      <c r="V173" t="s">
        <v>74</v>
      </c>
      <c r="W173" t="s">
        <v>3139</v>
      </c>
      <c r="X173" t="s">
        <v>2641</v>
      </c>
    </row>
    <row r="174" spans="1:24" ht="199.5" x14ac:dyDescent="0.2">
      <c r="A174" s="84" t="s">
        <v>912</v>
      </c>
      <c r="B174">
        <f t="shared" ca="1" si="2"/>
        <v>53</v>
      </c>
      <c r="C174" s="54" t="s">
        <v>3291</v>
      </c>
      <c r="D174" s="84" t="s">
        <v>911</v>
      </c>
      <c r="E174" s="84" t="s">
        <v>427</v>
      </c>
      <c r="F174" t="s">
        <v>32</v>
      </c>
      <c r="G174" s="61">
        <v>729000</v>
      </c>
      <c r="H174" s="63">
        <v>729000</v>
      </c>
      <c r="I174" t="s">
        <v>39</v>
      </c>
      <c r="J174" t="s">
        <v>44</v>
      </c>
      <c r="K174" s="198" t="s">
        <v>2954</v>
      </c>
      <c r="M174" t="s">
        <v>54</v>
      </c>
      <c r="N1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4" t="s">
        <v>57</v>
      </c>
      <c r="Q174" t="s">
        <v>61</v>
      </c>
      <c r="R174" t="s">
        <v>61</v>
      </c>
      <c r="S174" t="s">
        <v>64</v>
      </c>
      <c r="T174" t="s">
        <v>69</v>
      </c>
      <c r="U174" s="79">
        <v>30</v>
      </c>
      <c r="V174" t="s">
        <v>74</v>
      </c>
      <c r="W174" t="s">
        <v>3139</v>
      </c>
      <c r="X174" t="s">
        <v>2642</v>
      </c>
    </row>
    <row r="175" spans="1:24" ht="199.5" x14ac:dyDescent="0.2">
      <c r="A175" s="84" t="s">
        <v>2532</v>
      </c>
      <c r="B175">
        <f t="shared" ca="1" si="2"/>
        <v>59</v>
      </c>
      <c r="D175" s="84" t="s">
        <v>918</v>
      </c>
      <c r="E175" s="84" t="s">
        <v>126</v>
      </c>
      <c r="F175" t="s">
        <v>32</v>
      </c>
      <c r="G175" s="61">
        <v>736000</v>
      </c>
      <c r="H175" s="63">
        <v>736000</v>
      </c>
      <c r="I175" t="s">
        <v>39</v>
      </c>
      <c r="J175" t="s">
        <v>44</v>
      </c>
      <c r="K175" s="198" t="s">
        <v>2955</v>
      </c>
      <c r="M175" t="s">
        <v>54</v>
      </c>
      <c r="N1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5" t="s">
        <v>57</v>
      </c>
      <c r="Q175" t="s">
        <v>61</v>
      </c>
      <c r="R175" t="s">
        <v>61</v>
      </c>
      <c r="S175" t="s">
        <v>64</v>
      </c>
      <c r="T175" t="s">
        <v>69</v>
      </c>
      <c r="U175" s="79">
        <v>30</v>
      </c>
      <c r="V175" t="s">
        <v>74</v>
      </c>
      <c r="W175" t="s">
        <v>3139</v>
      </c>
      <c r="X175" t="s">
        <v>2643</v>
      </c>
    </row>
    <row r="176" spans="1:24" ht="199.5" x14ac:dyDescent="0.2">
      <c r="A176" s="84" t="s">
        <v>924</v>
      </c>
      <c r="B176">
        <f t="shared" ca="1" si="2"/>
        <v>57</v>
      </c>
      <c r="C176" s="54" t="s">
        <v>3292</v>
      </c>
      <c r="D176" s="84" t="s">
        <v>923</v>
      </c>
      <c r="E176" s="84" t="s">
        <v>125</v>
      </c>
      <c r="F176" t="s">
        <v>32</v>
      </c>
      <c r="G176" s="61">
        <v>659000</v>
      </c>
      <c r="H176" s="63">
        <v>659000</v>
      </c>
      <c r="I176" t="s">
        <v>39</v>
      </c>
      <c r="J176" t="s">
        <v>44</v>
      </c>
      <c r="K176" s="198" t="s">
        <v>2956</v>
      </c>
      <c r="M176" t="s">
        <v>54</v>
      </c>
      <c r="N1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6" t="s">
        <v>57</v>
      </c>
      <c r="Q176" t="s">
        <v>61</v>
      </c>
      <c r="R176" t="s">
        <v>61</v>
      </c>
      <c r="S176" t="s">
        <v>64</v>
      </c>
      <c r="T176" t="s">
        <v>69</v>
      </c>
      <c r="U176" s="79">
        <v>30</v>
      </c>
      <c r="V176" t="s">
        <v>74</v>
      </c>
      <c r="W176" t="s">
        <v>3139</v>
      </c>
      <c r="X176" t="s">
        <v>2644</v>
      </c>
    </row>
    <row r="177" spans="1:24" ht="199.5" x14ac:dyDescent="0.2">
      <c r="A177" s="84" t="s">
        <v>2533</v>
      </c>
      <c r="B177">
        <f t="shared" ca="1" si="2"/>
        <v>52</v>
      </c>
      <c r="C177" s="54" t="s">
        <v>3293</v>
      </c>
      <c r="D177" s="84" t="s">
        <v>926</v>
      </c>
      <c r="E177" s="84" t="s">
        <v>427</v>
      </c>
      <c r="F177" t="s">
        <v>32</v>
      </c>
      <c r="G177" s="61">
        <v>764000</v>
      </c>
      <c r="H177" s="63">
        <v>764000</v>
      </c>
      <c r="I177" t="s">
        <v>39</v>
      </c>
      <c r="J177" t="s">
        <v>44</v>
      </c>
      <c r="K177" s="198" t="s">
        <v>2957</v>
      </c>
      <c r="M177" t="s">
        <v>54</v>
      </c>
      <c r="N1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7" t="s">
        <v>57</v>
      </c>
      <c r="Q177" t="s">
        <v>61</v>
      </c>
      <c r="R177" t="s">
        <v>61</v>
      </c>
      <c r="S177" t="s">
        <v>64</v>
      </c>
      <c r="T177" t="s">
        <v>69</v>
      </c>
      <c r="U177" s="79">
        <v>30</v>
      </c>
      <c r="V177" t="s">
        <v>74</v>
      </c>
      <c r="W177" t="s">
        <v>3139</v>
      </c>
      <c r="X177" t="s">
        <v>2645</v>
      </c>
    </row>
    <row r="178" spans="1:24" ht="199.5" x14ac:dyDescent="0.2">
      <c r="A178" s="84" t="s">
        <v>930</v>
      </c>
      <c r="B178">
        <f t="shared" ca="1" si="2"/>
        <v>39</v>
      </c>
      <c r="C178" s="54" t="s">
        <v>3294</v>
      </c>
      <c r="D178" s="84" t="s">
        <v>929</v>
      </c>
      <c r="E178" s="84" t="s">
        <v>169</v>
      </c>
      <c r="F178" t="s">
        <v>32</v>
      </c>
      <c r="G178" s="61">
        <v>636000</v>
      </c>
      <c r="H178" s="63">
        <v>636000</v>
      </c>
      <c r="I178" t="s">
        <v>39</v>
      </c>
      <c r="J178" t="s">
        <v>44</v>
      </c>
      <c r="K178" s="198" t="s">
        <v>2958</v>
      </c>
      <c r="M178" t="s">
        <v>54</v>
      </c>
      <c r="N1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8" t="s">
        <v>57</v>
      </c>
      <c r="Q178" t="s">
        <v>61</v>
      </c>
      <c r="R178" t="s">
        <v>61</v>
      </c>
      <c r="S178" t="s">
        <v>64</v>
      </c>
      <c r="T178" t="s">
        <v>69</v>
      </c>
      <c r="U178" s="79">
        <v>30</v>
      </c>
      <c r="V178" t="s">
        <v>74</v>
      </c>
      <c r="W178" t="s">
        <v>3139</v>
      </c>
      <c r="X178" t="s">
        <v>2646</v>
      </c>
    </row>
    <row r="179" spans="1:24" ht="199.5" x14ac:dyDescent="0.2">
      <c r="A179" s="84" t="s">
        <v>933</v>
      </c>
      <c r="B179">
        <f t="shared" ca="1" si="2"/>
        <v>54</v>
      </c>
      <c r="C179" s="54" t="s">
        <v>3295</v>
      </c>
      <c r="D179" s="84" t="s">
        <v>932</v>
      </c>
      <c r="E179" s="84" t="s">
        <v>125</v>
      </c>
      <c r="F179" t="s">
        <v>32</v>
      </c>
      <c r="G179" s="61">
        <v>391000</v>
      </c>
      <c r="H179" s="63">
        <v>391000</v>
      </c>
      <c r="I179" t="s">
        <v>39</v>
      </c>
      <c r="J179" t="s">
        <v>44</v>
      </c>
      <c r="K179" s="198" t="s">
        <v>2959</v>
      </c>
      <c r="M179" t="s">
        <v>54</v>
      </c>
      <c r="N1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79" t="s">
        <v>57</v>
      </c>
      <c r="Q179" t="s">
        <v>61</v>
      </c>
      <c r="R179" t="s">
        <v>61</v>
      </c>
      <c r="S179" t="s">
        <v>64</v>
      </c>
      <c r="T179" t="s">
        <v>69</v>
      </c>
      <c r="U179" s="79">
        <v>30</v>
      </c>
      <c r="V179" t="s">
        <v>74</v>
      </c>
      <c r="W179" t="s">
        <v>3139</v>
      </c>
      <c r="X179" t="s">
        <v>2647</v>
      </c>
    </row>
    <row r="180" spans="1:24" ht="199.5" x14ac:dyDescent="0.2">
      <c r="A180" s="84" t="s">
        <v>936</v>
      </c>
      <c r="B180">
        <f t="shared" ca="1" si="2"/>
        <v>47</v>
      </c>
      <c r="C180" s="54" t="s">
        <v>3296</v>
      </c>
      <c r="D180" s="84" t="s">
        <v>935</v>
      </c>
      <c r="E180" s="84" t="s">
        <v>200</v>
      </c>
      <c r="F180" t="s">
        <v>32</v>
      </c>
      <c r="G180" s="61">
        <v>473000</v>
      </c>
      <c r="H180" s="63">
        <v>473000</v>
      </c>
      <c r="I180" t="s">
        <v>39</v>
      </c>
      <c r="J180" t="s">
        <v>44</v>
      </c>
      <c r="K180" s="198" t="s">
        <v>2960</v>
      </c>
      <c r="M180" t="s">
        <v>54</v>
      </c>
      <c r="N1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0" t="s">
        <v>57</v>
      </c>
      <c r="Q180" t="s">
        <v>61</v>
      </c>
      <c r="R180" t="s">
        <v>61</v>
      </c>
      <c r="S180" t="s">
        <v>64</v>
      </c>
      <c r="T180" t="s">
        <v>69</v>
      </c>
      <c r="U180" s="79">
        <v>30</v>
      </c>
      <c r="V180" t="s">
        <v>74</v>
      </c>
      <c r="W180" t="s">
        <v>3139</v>
      </c>
      <c r="X180" t="s">
        <v>2648</v>
      </c>
    </row>
    <row r="181" spans="1:24" ht="199.5" x14ac:dyDescent="0.2">
      <c r="A181" s="84" t="s">
        <v>2534</v>
      </c>
      <c r="B181">
        <f t="shared" ca="1" si="2"/>
        <v>59</v>
      </c>
      <c r="C181" s="54" t="s">
        <v>3297</v>
      </c>
      <c r="D181" s="84" t="s">
        <v>938</v>
      </c>
      <c r="E181" s="84" t="s">
        <v>126</v>
      </c>
      <c r="F181" t="s">
        <v>32</v>
      </c>
      <c r="G181" s="61">
        <v>362000</v>
      </c>
      <c r="H181" s="63">
        <v>362000</v>
      </c>
      <c r="I181" t="s">
        <v>39</v>
      </c>
      <c r="J181" t="s">
        <v>44</v>
      </c>
      <c r="K181" s="198" t="s">
        <v>2961</v>
      </c>
      <c r="M181" t="s">
        <v>54</v>
      </c>
      <c r="N1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1" t="s">
        <v>57</v>
      </c>
      <c r="Q181" t="s">
        <v>61</v>
      </c>
      <c r="R181" t="s">
        <v>61</v>
      </c>
      <c r="S181" t="s">
        <v>64</v>
      </c>
      <c r="T181" t="s">
        <v>69</v>
      </c>
      <c r="U181" s="79">
        <v>30</v>
      </c>
      <c r="V181" t="s">
        <v>74</v>
      </c>
      <c r="W181" t="s">
        <v>3139</v>
      </c>
      <c r="X181" t="s">
        <v>206</v>
      </c>
    </row>
    <row r="182" spans="1:24" ht="199.5" x14ac:dyDescent="0.2">
      <c r="A182" s="84" t="s">
        <v>2535</v>
      </c>
      <c r="B182">
        <f t="shared" ca="1" si="2"/>
        <v>44</v>
      </c>
      <c r="C182" s="54" t="s">
        <v>3298</v>
      </c>
      <c r="D182" s="84" t="s">
        <v>941</v>
      </c>
      <c r="E182" s="84" t="s">
        <v>667</v>
      </c>
      <c r="F182" t="s">
        <v>32</v>
      </c>
      <c r="G182" s="61">
        <v>281000</v>
      </c>
      <c r="H182" s="63">
        <v>281000</v>
      </c>
      <c r="I182" t="s">
        <v>39</v>
      </c>
      <c r="J182" t="s">
        <v>45</v>
      </c>
      <c r="K182" s="198" t="s">
        <v>2962</v>
      </c>
      <c r="M182" t="s">
        <v>54</v>
      </c>
      <c r="N1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2" t="s">
        <v>57</v>
      </c>
      <c r="Q182" t="s">
        <v>61</v>
      </c>
      <c r="R182" t="s">
        <v>61</v>
      </c>
      <c r="S182" t="s">
        <v>64</v>
      </c>
      <c r="T182" t="s">
        <v>69</v>
      </c>
      <c r="U182" s="79">
        <v>90</v>
      </c>
      <c r="V182" t="s">
        <v>74</v>
      </c>
      <c r="W182" t="s">
        <v>3139</v>
      </c>
      <c r="X182" t="s">
        <v>2649</v>
      </c>
    </row>
    <row r="183" spans="1:24" ht="199.5" x14ac:dyDescent="0.2">
      <c r="A183" s="84" t="s">
        <v>947</v>
      </c>
      <c r="B183">
        <f t="shared" ca="1" si="2"/>
        <v>50</v>
      </c>
      <c r="C183" s="54" t="s">
        <v>3299</v>
      </c>
      <c r="D183" s="84" t="s">
        <v>946</v>
      </c>
      <c r="E183" s="84" t="s">
        <v>126</v>
      </c>
      <c r="F183" t="s">
        <v>32</v>
      </c>
      <c r="G183" s="61">
        <v>375000</v>
      </c>
      <c r="H183" s="63">
        <v>375000</v>
      </c>
      <c r="I183" t="s">
        <v>39</v>
      </c>
      <c r="J183" t="s">
        <v>45</v>
      </c>
      <c r="K183" s="198" t="s">
        <v>2963</v>
      </c>
      <c r="M183" t="s">
        <v>54</v>
      </c>
      <c r="N1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3" t="s">
        <v>57</v>
      </c>
      <c r="Q183" t="s">
        <v>61</v>
      </c>
      <c r="R183" t="s">
        <v>61</v>
      </c>
      <c r="S183" t="s">
        <v>64</v>
      </c>
      <c r="T183" t="s">
        <v>69</v>
      </c>
      <c r="U183" s="79">
        <v>90</v>
      </c>
      <c r="V183" t="s">
        <v>74</v>
      </c>
      <c r="W183" t="s">
        <v>3139</v>
      </c>
      <c r="X183" t="s">
        <v>2650</v>
      </c>
    </row>
    <row r="184" spans="1:24" ht="199.5" x14ac:dyDescent="0.2">
      <c r="A184" s="84" t="s">
        <v>952</v>
      </c>
      <c r="B184">
        <f t="shared" ca="1" si="2"/>
        <v>56</v>
      </c>
      <c r="C184" s="54" t="s">
        <v>3300</v>
      </c>
      <c r="D184" s="84" t="s">
        <v>951</v>
      </c>
      <c r="E184" s="84" t="s">
        <v>200</v>
      </c>
      <c r="F184" t="s">
        <v>32</v>
      </c>
      <c r="G184" s="61">
        <v>450000</v>
      </c>
      <c r="H184" s="63">
        <v>450000</v>
      </c>
      <c r="I184" t="s">
        <v>39</v>
      </c>
      <c r="J184" t="s">
        <v>44</v>
      </c>
      <c r="K184" s="198" t="s">
        <v>2964</v>
      </c>
      <c r="M184" t="s">
        <v>54</v>
      </c>
      <c r="N1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4" t="s">
        <v>57</v>
      </c>
      <c r="Q184" t="s">
        <v>61</v>
      </c>
      <c r="R184" t="s">
        <v>61</v>
      </c>
      <c r="S184" t="s">
        <v>64</v>
      </c>
      <c r="T184" t="s">
        <v>69</v>
      </c>
      <c r="U184" s="79">
        <v>30</v>
      </c>
      <c r="V184" t="s">
        <v>74</v>
      </c>
      <c r="W184" t="s">
        <v>3139</v>
      </c>
      <c r="X184" t="s">
        <v>2651</v>
      </c>
    </row>
    <row r="185" spans="1:24" ht="199.5" x14ac:dyDescent="0.2">
      <c r="A185" s="84" t="s">
        <v>2536</v>
      </c>
      <c r="B185">
        <f t="shared" ca="1" si="2"/>
        <v>33</v>
      </c>
      <c r="C185" s="54" t="s">
        <v>3301</v>
      </c>
      <c r="D185" s="84" t="s">
        <v>954</v>
      </c>
      <c r="E185" s="84" t="s">
        <v>125</v>
      </c>
      <c r="F185" t="s">
        <v>32</v>
      </c>
      <c r="G185" s="61">
        <v>694000</v>
      </c>
      <c r="H185" s="63">
        <v>694000</v>
      </c>
      <c r="I185" t="s">
        <v>39</v>
      </c>
      <c r="J185" t="s">
        <v>44</v>
      </c>
      <c r="K185" s="198" t="s">
        <v>2965</v>
      </c>
      <c r="M185" t="s">
        <v>54</v>
      </c>
      <c r="N1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5" t="s">
        <v>57</v>
      </c>
      <c r="Q185" t="s">
        <v>61</v>
      </c>
      <c r="R185" t="s">
        <v>61</v>
      </c>
      <c r="S185" t="s">
        <v>64</v>
      </c>
      <c r="T185" t="s">
        <v>69</v>
      </c>
      <c r="U185" s="79">
        <v>30</v>
      </c>
      <c r="V185" t="s">
        <v>74</v>
      </c>
      <c r="W185" t="s">
        <v>3139</v>
      </c>
      <c r="X185" t="s">
        <v>956</v>
      </c>
    </row>
    <row r="186" spans="1:24" ht="199.5" x14ac:dyDescent="0.2">
      <c r="A186" s="84" t="s">
        <v>958</v>
      </c>
      <c r="B186">
        <f t="shared" ca="1" si="2"/>
        <v>43</v>
      </c>
      <c r="C186" s="54" t="s">
        <v>3302</v>
      </c>
      <c r="D186" s="84" t="s">
        <v>957</v>
      </c>
      <c r="E186" s="84" t="s">
        <v>125</v>
      </c>
      <c r="F186" t="s">
        <v>32</v>
      </c>
      <c r="G186" s="61">
        <v>810000</v>
      </c>
      <c r="H186" s="63">
        <v>810000</v>
      </c>
      <c r="I186" t="s">
        <v>39</v>
      </c>
      <c r="J186" t="s">
        <v>44</v>
      </c>
      <c r="K186" s="198" t="s">
        <v>2966</v>
      </c>
      <c r="M186" t="s">
        <v>54</v>
      </c>
      <c r="N1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6" t="s">
        <v>57</v>
      </c>
      <c r="Q186" t="s">
        <v>61</v>
      </c>
      <c r="R186" t="s">
        <v>61</v>
      </c>
      <c r="S186" t="s">
        <v>64</v>
      </c>
      <c r="T186" t="s">
        <v>69</v>
      </c>
      <c r="U186" s="79">
        <v>30</v>
      </c>
      <c r="V186" t="s">
        <v>74</v>
      </c>
      <c r="W186" t="s">
        <v>3139</v>
      </c>
      <c r="X186" t="s">
        <v>2652</v>
      </c>
    </row>
    <row r="187" spans="1:24" ht="213.75" x14ac:dyDescent="0.2">
      <c r="A187" s="84" t="s">
        <v>2537</v>
      </c>
      <c r="B187">
        <f t="shared" ca="1" si="2"/>
        <v>59</v>
      </c>
      <c r="C187" s="54" t="s">
        <v>3303</v>
      </c>
      <c r="D187" s="84" t="s">
        <v>960</v>
      </c>
      <c r="E187" s="84" t="s">
        <v>200</v>
      </c>
      <c r="F187" t="s">
        <v>32</v>
      </c>
      <c r="G187" s="61">
        <v>426000</v>
      </c>
      <c r="H187" s="63">
        <v>426000</v>
      </c>
      <c r="I187" t="s">
        <v>39</v>
      </c>
      <c r="J187" t="s">
        <v>45</v>
      </c>
      <c r="K187" s="198" t="s">
        <v>2967</v>
      </c>
      <c r="M187" t="s">
        <v>54</v>
      </c>
      <c r="N1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7" t="s">
        <v>57</v>
      </c>
      <c r="Q187" t="s">
        <v>61</v>
      </c>
      <c r="R187" t="s">
        <v>61</v>
      </c>
      <c r="S187" t="s">
        <v>64</v>
      </c>
      <c r="T187" t="s">
        <v>69</v>
      </c>
      <c r="U187" s="79">
        <v>90</v>
      </c>
      <c r="V187" t="s">
        <v>74</v>
      </c>
      <c r="W187" t="s">
        <v>3139</v>
      </c>
      <c r="X187" t="s">
        <v>2653</v>
      </c>
    </row>
    <row r="188" spans="1:24" ht="199.5" x14ac:dyDescent="0.2">
      <c r="A188" s="84" t="s">
        <v>2538</v>
      </c>
      <c r="B188">
        <f t="shared" ca="1" si="2"/>
        <v>46</v>
      </c>
      <c r="C188" s="54" t="s">
        <v>3304</v>
      </c>
      <c r="D188" s="84" t="s">
        <v>963</v>
      </c>
      <c r="E188" s="84" t="s">
        <v>200</v>
      </c>
      <c r="F188" t="s">
        <v>32</v>
      </c>
      <c r="G188" s="61">
        <v>461000</v>
      </c>
      <c r="H188" s="63">
        <v>461000</v>
      </c>
      <c r="I188" t="s">
        <v>39</v>
      </c>
      <c r="J188" t="s">
        <v>44</v>
      </c>
      <c r="K188" s="198" t="s">
        <v>2968</v>
      </c>
      <c r="M188" t="s">
        <v>54</v>
      </c>
      <c r="N1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8" t="s">
        <v>57</v>
      </c>
      <c r="Q188" t="s">
        <v>61</v>
      </c>
      <c r="R188" t="s">
        <v>61</v>
      </c>
      <c r="S188" t="s">
        <v>64</v>
      </c>
      <c r="T188" t="s">
        <v>69</v>
      </c>
      <c r="U188" s="79">
        <v>30</v>
      </c>
      <c r="V188" t="s">
        <v>74</v>
      </c>
      <c r="W188" t="s">
        <v>3139</v>
      </c>
      <c r="X188" t="s">
        <v>2654</v>
      </c>
    </row>
    <row r="189" spans="1:24" ht="199.5" x14ac:dyDescent="0.2">
      <c r="A189" s="84" t="s">
        <v>967</v>
      </c>
      <c r="B189">
        <f t="shared" ca="1" si="2"/>
        <v>56</v>
      </c>
      <c r="D189" s="84" t="s">
        <v>966</v>
      </c>
      <c r="E189" s="84" t="s">
        <v>126</v>
      </c>
      <c r="F189" t="s">
        <v>32</v>
      </c>
      <c r="G189" s="61">
        <v>475000</v>
      </c>
      <c r="H189" s="63">
        <v>475000</v>
      </c>
      <c r="I189" t="s">
        <v>39</v>
      </c>
      <c r="J189" t="s">
        <v>44</v>
      </c>
      <c r="K189" s="198" t="s">
        <v>2969</v>
      </c>
      <c r="M189" t="s">
        <v>54</v>
      </c>
      <c r="N1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89" t="s">
        <v>57</v>
      </c>
      <c r="Q189" t="s">
        <v>61</v>
      </c>
      <c r="R189" t="s">
        <v>61</v>
      </c>
      <c r="S189" t="s">
        <v>64</v>
      </c>
      <c r="T189" t="s">
        <v>69</v>
      </c>
      <c r="U189" s="79">
        <v>30</v>
      </c>
      <c r="V189" t="s">
        <v>74</v>
      </c>
      <c r="W189" t="s">
        <v>3139</v>
      </c>
      <c r="X189" t="s">
        <v>2655</v>
      </c>
    </row>
    <row r="190" spans="1:24" ht="199.5" x14ac:dyDescent="0.2">
      <c r="A190" s="84" t="s">
        <v>706</v>
      </c>
      <c r="B190">
        <f t="shared" ca="1" si="2"/>
        <v>39</v>
      </c>
      <c r="C190" s="54" t="s">
        <v>3305</v>
      </c>
      <c r="D190" s="84" t="s">
        <v>971</v>
      </c>
      <c r="E190" s="84" t="s">
        <v>126</v>
      </c>
      <c r="F190" t="s">
        <v>32</v>
      </c>
      <c r="G190" s="61">
        <v>357000</v>
      </c>
      <c r="H190" s="63">
        <v>357000</v>
      </c>
      <c r="I190" t="s">
        <v>39</v>
      </c>
      <c r="J190" t="s">
        <v>45</v>
      </c>
      <c r="K190" s="198" t="s">
        <v>2903</v>
      </c>
      <c r="M190" t="s">
        <v>54</v>
      </c>
      <c r="N1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0" t="s">
        <v>57</v>
      </c>
      <c r="Q190" t="s">
        <v>61</v>
      </c>
      <c r="R190" t="s">
        <v>61</v>
      </c>
      <c r="S190" t="s">
        <v>64</v>
      </c>
      <c r="T190" t="s">
        <v>69</v>
      </c>
      <c r="U190" s="79">
        <v>90</v>
      </c>
      <c r="V190" t="s">
        <v>74</v>
      </c>
      <c r="W190" t="s">
        <v>3139</v>
      </c>
      <c r="X190" t="s">
        <v>2656</v>
      </c>
    </row>
    <row r="191" spans="1:24" ht="199.5" x14ac:dyDescent="0.2">
      <c r="A191" s="84" t="s">
        <v>974</v>
      </c>
      <c r="B191">
        <f t="shared" ca="1" si="2"/>
        <v>49</v>
      </c>
      <c r="C191" s="54" t="s">
        <v>3306</v>
      </c>
      <c r="D191" s="84" t="s">
        <v>973</v>
      </c>
      <c r="E191" s="84" t="s">
        <v>126</v>
      </c>
      <c r="F191" t="s">
        <v>32</v>
      </c>
      <c r="G191" s="61">
        <v>391000</v>
      </c>
      <c r="H191" s="63">
        <v>391000</v>
      </c>
      <c r="I191" t="s">
        <v>39</v>
      </c>
      <c r="J191" t="s">
        <v>45</v>
      </c>
      <c r="K191" s="198" t="s">
        <v>2970</v>
      </c>
      <c r="M191" t="s">
        <v>54</v>
      </c>
      <c r="N1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1" t="s">
        <v>57</v>
      </c>
      <c r="Q191" t="s">
        <v>61</v>
      </c>
      <c r="R191" t="s">
        <v>61</v>
      </c>
      <c r="S191" t="s">
        <v>64</v>
      </c>
      <c r="T191" t="s">
        <v>69</v>
      </c>
      <c r="U191" s="79">
        <v>90</v>
      </c>
      <c r="V191" t="s">
        <v>74</v>
      </c>
      <c r="W191" t="s">
        <v>3139</v>
      </c>
      <c r="X191" t="s">
        <v>2657</v>
      </c>
    </row>
    <row r="192" spans="1:24" ht="199.5" x14ac:dyDescent="0.2">
      <c r="A192" s="84" t="s">
        <v>977</v>
      </c>
      <c r="B192">
        <f t="shared" ca="1" si="2"/>
        <v>53</v>
      </c>
      <c r="D192" s="84" t="s">
        <v>976</v>
      </c>
      <c r="E192" s="84" t="s">
        <v>126</v>
      </c>
      <c r="F192" t="s">
        <v>32</v>
      </c>
      <c r="G192" s="61">
        <v>364000</v>
      </c>
      <c r="H192" s="63">
        <v>364000</v>
      </c>
      <c r="I192" t="s">
        <v>39</v>
      </c>
      <c r="J192" t="s">
        <v>44</v>
      </c>
      <c r="K192" s="198" t="s">
        <v>2971</v>
      </c>
      <c r="M192" t="s">
        <v>54</v>
      </c>
      <c r="N1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2" t="s">
        <v>57</v>
      </c>
      <c r="Q192" t="s">
        <v>61</v>
      </c>
      <c r="R192" t="s">
        <v>61</v>
      </c>
      <c r="S192" t="s">
        <v>64</v>
      </c>
      <c r="T192" t="s">
        <v>69</v>
      </c>
      <c r="U192" s="79">
        <v>30</v>
      </c>
      <c r="V192" t="s">
        <v>74</v>
      </c>
      <c r="W192" t="s">
        <v>3139</v>
      </c>
      <c r="X192" t="s">
        <v>2658</v>
      </c>
    </row>
    <row r="193" spans="1:24" ht="199.5" x14ac:dyDescent="0.2">
      <c r="A193" s="84" t="s">
        <v>977</v>
      </c>
      <c r="B193">
        <f t="shared" ca="1" si="2"/>
        <v>53</v>
      </c>
      <c r="C193" s="54" t="s">
        <v>3307</v>
      </c>
      <c r="D193" s="84" t="s">
        <v>981</v>
      </c>
      <c r="E193" s="84" t="s">
        <v>667</v>
      </c>
      <c r="F193" t="s">
        <v>32</v>
      </c>
      <c r="G193" s="61">
        <v>479000</v>
      </c>
      <c r="H193" s="63">
        <v>479000</v>
      </c>
      <c r="I193" t="s">
        <v>39</v>
      </c>
      <c r="J193" t="s">
        <v>44</v>
      </c>
      <c r="K193" s="198" t="s">
        <v>2971</v>
      </c>
      <c r="M193" t="s">
        <v>54</v>
      </c>
      <c r="N1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3" t="s">
        <v>57</v>
      </c>
      <c r="Q193" t="s">
        <v>61</v>
      </c>
      <c r="R193" t="s">
        <v>61</v>
      </c>
      <c r="S193" t="s">
        <v>64</v>
      </c>
      <c r="T193" t="s">
        <v>69</v>
      </c>
      <c r="U193" s="79">
        <v>30</v>
      </c>
      <c r="V193" t="s">
        <v>74</v>
      </c>
      <c r="W193" t="s">
        <v>3139</v>
      </c>
      <c r="X193" t="s">
        <v>2659</v>
      </c>
    </row>
    <row r="194" spans="1:24" ht="199.5" x14ac:dyDescent="0.2">
      <c r="A194" s="84" t="s">
        <v>984</v>
      </c>
      <c r="B194">
        <f t="shared" ca="1" si="2"/>
        <v>40</v>
      </c>
      <c r="C194" s="54" t="s">
        <v>3308</v>
      </c>
      <c r="D194" s="84" t="s">
        <v>983</v>
      </c>
      <c r="E194" s="84" t="s">
        <v>169</v>
      </c>
      <c r="F194" t="s">
        <v>32</v>
      </c>
      <c r="G194" s="61">
        <v>659000</v>
      </c>
      <c r="H194" s="63">
        <v>659000</v>
      </c>
      <c r="I194" t="s">
        <v>39</v>
      </c>
      <c r="J194" t="s">
        <v>44</v>
      </c>
      <c r="K194" s="198" t="s">
        <v>2972</v>
      </c>
      <c r="M194" t="s">
        <v>54</v>
      </c>
      <c r="N1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4" t="s">
        <v>57</v>
      </c>
      <c r="Q194" t="s">
        <v>61</v>
      </c>
      <c r="R194" t="s">
        <v>61</v>
      </c>
      <c r="S194" t="s">
        <v>64</v>
      </c>
      <c r="T194" t="s">
        <v>69</v>
      </c>
      <c r="U194" s="79">
        <v>30</v>
      </c>
      <c r="V194" t="s">
        <v>74</v>
      </c>
      <c r="W194" t="s">
        <v>3139</v>
      </c>
      <c r="X194" t="s">
        <v>2660</v>
      </c>
    </row>
    <row r="195" spans="1:24" ht="199.5" x14ac:dyDescent="0.2">
      <c r="A195" s="84" t="s">
        <v>456</v>
      </c>
      <c r="B195">
        <f t="shared" ca="1" si="2"/>
        <v>49</v>
      </c>
      <c r="C195" s="54" t="s">
        <v>3309</v>
      </c>
      <c r="D195" s="84" t="s">
        <v>986</v>
      </c>
      <c r="E195" s="84" t="s">
        <v>125</v>
      </c>
      <c r="F195" t="s">
        <v>32</v>
      </c>
      <c r="G195" s="61">
        <v>514000</v>
      </c>
      <c r="H195" s="63">
        <v>514000</v>
      </c>
      <c r="I195" t="s">
        <v>39</v>
      </c>
      <c r="J195" t="s">
        <v>44</v>
      </c>
      <c r="K195" s="198" t="s">
        <v>2841</v>
      </c>
      <c r="M195" t="s">
        <v>54</v>
      </c>
      <c r="N1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5" t="s">
        <v>57</v>
      </c>
      <c r="Q195" t="s">
        <v>61</v>
      </c>
      <c r="R195" t="s">
        <v>61</v>
      </c>
      <c r="S195" t="s">
        <v>64</v>
      </c>
      <c r="T195" t="s">
        <v>69</v>
      </c>
      <c r="U195" s="79">
        <v>30</v>
      </c>
      <c r="V195" t="s">
        <v>74</v>
      </c>
      <c r="W195" t="s">
        <v>3139</v>
      </c>
      <c r="X195" t="s">
        <v>2661</v>
      </c>
    </row>
    <row r="196" spans="1:24" ht="199.5" x14ac:dyDescent="0.2">
      <c r="A196" s="84" t="s">
        <v>991</v>
      </c>
      <c r="B196">
        <f t="shared" ca="1" si="2"/>
        <v>51</v>
      </c>
      <c r="C196" s="54" t="s">
        <v>3310</v>
      </c>
      <c r="D196" s="84" t="s">
        <v>990</v>
      </c>
      <c r="E196" s="84" t="s">
        <v>200</v>
      </c>
      <c r="F196" t="s">
        <v>32</v>
      </c>
      <c r="G196" s="61">
        <v>670000</v>
      </c>
      <c r="H196" s="63">
        <v>670000</v>
      </c>
      <c r="I196" t="s">
        <v>39</v>
      </c>
      <c r="J196" t="s">
        <v>44</v>
      </c>
      <c r="K196" s="198" t="s">
        <v>2973</v>
      </c>
      <c r="M196" t="s">
        <v>54</v>
      </c>
      <c r="N1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6" t="s">
        <v>57</v>
      </c>
      <c r="Q196" t="s">
        <v>61</v>
      </c>
      <c r="R196" t="s">
        <v>61</v>
      </c>
      <c r="S196" t="s">
        <v>64</v>
      </c>
      <c r="T196" t="s">
        <v>69</v>
      </c>
      <c r="U196" s="79">
        <v>30</v>
      </c>
      <c r="V196" t="s">
        <v>74</v>
      </c>
      <c r="W196" t="s">
        <v>3139</v>
      </c>
      <c r="X196" t="s">
        <v>2662</v>
      </c>
    </row>
    <row r="197" spans="1:24" ht="199.5" x14ac:dyDescent="0.2">
      <c r="A197" s="84" t="s">
        <v>994</v>
      </c>
      <c r="B197">
        <f t="shared" ca="1" si="2"/>
        <v>45</v>
      </c>
      <c r="C197" s="54" t="s">
        <v>3311</v>
      </c>
      <c r="D197" s="84" t="s">
        <v>993</v>
      </c>
      <c r="E197" s="84" t="s">
        <v>200</v>
      </c>
      <c r="F197" t="s">
        <v>32</v>
      </c>
      <c r="G197" s="61">
        <v>525000</v>
      </c>
      <c r="H197" s="63">
        <v>525000</v>
      </c>
      <c r="I197" t="s">
        <v>39</v>
      </c>
      <c r="J197" t="s">
        <v>45</v>
      </c>
      <c r="K197" s="198" t="s">
        <v>2974</v>
      </c>
      <c r="M197" t="s">
        <v>54</v>
      </c>
      <c r="N1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7" t="s">
        <v>57</v>
      </c>
      <c r="Q197" t="s">
        <v>61</v>
      </c>
      <c r="R197" t="s">
        <v>61</v>
      </c>
      <c r="S197" t="s">
        <v>64</v>
      </c>
      <c r="T197" t="s">
        <v>69</v>
      </c>
      <c r="U197" s="79">
        <v>90</v>
      </c>
      <c r="V197" t="s">
        <v>74</v>
      </c>
      <c r="W197" t="s">
        <v>3139</v>
      </c>
      <c r="X197" t="s">
        <v>2663</v>
      </c>
    </row>
    <row r="198" spans="1:24" ht="199.5" x14ac:dyDescent="0.2">
      <c r="A198" s="84" t="s">
        <v>2539</v>
      </c>
      <c r="B198">
        <f t="shared" ca="1" si="2"/>
        <v>43</v>
      </c>
      <c r="C198" s="54" t="s">
        <v>3312</v>
      </c>
      <c r="D198" s="84" t="s">
        <v>998</v>
      </c>
      <c r="E198" s="84" t="s">
        <v>200</v>
      </c>
      <c r="F198" t="s">
        <v>32</v>
      </c>
      <c r="G198" s="61">
        <v>641000</v>
      </c>
      <c r="H198" s="63">
        <v>641000</v>
      </c>
      <c r="I198" t="s">
        <v>39</v>
      </c>
      <c r="J198" t="s">
        <v>44</v>
      </c>
      <c r="K198" s="198" t="s">
        <v>2975</v>
      </c>
      <c r="M198" t="s">
        <v>54</v>
      </c>
      <c r="N1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8" t="s">
        <v>57</v>
      </c>
      <c r="Q198" t="s">
        <v>61</v>
      </c>
      <c r="R198" t="s">
        <v>61</v>
      </c>
      <c r="S198" t="s">
        <v>64</v>
      </c>
      <c r="T198" t="s">
        <v>69</v>
      </c>
      <c r="U198" s="79">
        <v>30</v>
      </c>
      <c r="V198" t="s">
        <v>74</v>
      </c>
      <c r="W198" t="s">
        <v>3139</v>
      </c>
      <c r="X198" t="s">
        <v>2664</v>
      </c>
    </row>
    <row r="199" spans="1:24" ht="199.5" x14ac:dyDescent="0.2">
      <c r="A199" s="84" t="s">
        <v>1004</v>
      </c>
      <c r="B199">
        <f t="shared" ref="B199:B262" ca="1" si="3">LEN(INDIRECT(ADDRESS(ROW() + (0),COLUMN() + (-1))))</f>
        <v>42</v>
      </c>
      <c r="D199" s="84" t="s">
        <v>1003</v>
      </c>
      <c r="E199" s="84" t="s">
        <v>126</v>
      </c>
      <c r="F199" t="s">
        <v>32</v>
      </c>
      <c r="G199" s="61">
        <v>496000</v>
      </c>
      <c r="H199" s="63">
        <v>496000</v>
      </c>
      <c r="I199" t="s">
        <v>39</v>
      </c>
      <c r="J199" t="s">
        <v>44</v>
      </c>
      <c r="K199" s="198" t="s">
        <v>2976</v>
      </c>
      <c r="M199" t="s">
        <v>54</v>
      </c>
      <c r="N1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99" t="s">
        <v>57</v>
      </c>
      <c r="Q199" t="s">
        <v>61</v>
      </c>
      <c r="R199" t="s">
        <v>61</v>
      </c>
      <c r="S199" t="s">
        <v>64</v>
      </c>
      <c r="T199" t="s">
        <v>69</v>
      </c>
      <c r="U199" s="79">
        <v>30</v>
      </c>
      <c r="V199" t="s">
        <v>74</v>
      </c>
      <c r="W199" t="s">
        <v>3139</v>
      </c>
      <c r="X199" t="s">
        <v>2665</v>
      </c>
    </row>
    <row r="200" spans="1:24" ht="199.5" x14ac:dyDescent="0.2">
      <c r="A200" s="84" t="s">
        <v>1007</v>
      </c>
      <c r="B200">
        <f t="shared" ca="1" si="3"/>
        <v>43</v>
      </c>
      <c r="D200" s="84" t="s">
        <v>1006</v>
      </c>
      <c r="E200" s="84" t="s">
        <v>126</v>
      </c>
      <c r="F200" t="s">
        <v>32</v>
      </c>
      <c r="G200" s="61">
        <v>479000</v>
      </c>
      <c r="H200" s="63">
        <v>479000</v>
      </c>
      <c r="I200" t="s">
        <v>39</v>
      </c>
      <c r="J200" t="s">
        <v>44</v>
      </c>
      <c r="K200" s="198" t="s">
        <v>2977</v>
      </c>
      <c r="M200" t="s">
        <v>54</v>
      </c>
      <c r="N2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0" t="s">
        <v>57</v>
      </c>
      <c r="Q200" t="s">
        <v>61</v>
      </c>
      <c r="R200" t="s">
        <v>61</v>
      </c>
      <c r="S200" t="s">
        <v>64</v>
      </c>
      <c r="T200" t="s">
        <v>69</v>
      </c>
      <c r="U200" s="79">
        <v>30</v>
      </c>
      <c r="V200" t="s">
        <v>74</v>
      </c>
      <c r="W200" t="s">
        <v>3139</v>
      </c>
      <c r="X200" t="s">
        <v>2666</v>
      </c>
    </row>
    <row r="201" spans="1:24" ht="199.5" x14ac:dyDescent="0.2">
      <c r="A201" s="84" t="s">
        <v>2540</v>
      </c>
      <c r="B201">
        <f t="shared" ca="1" si="3"/>
        <v>53</v>
      </c>
      <c r="C201" s="54" t="s">
        <v>3313</v>
      </c>
      <c r="D201" s="84" t="s">
        <v>1013</v>
      </c>
      <c r="E201" s="84" t="s">
        <v>427</v>
      </c>
      <c r="F201" t="s">
        <v>32</v>
      </c>
      <c r="G201" s="61">
        <v>450000</v>
      </c>
      <c r="H201" s="63">
        <v>450000</v>
      </c>
      <c r="I201" t="s">
        <v>39</v>
      </c>
      <c r="J201" t="s">
        <v>44</v>
      </c>
      <c r="K201" s="198" t="s">
        <v>2978</v>
      </c>
      <c r="M201" t="s">
        <v>54</v>
      </c>
      <c r="N2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1" t="s">
        <v>57</v>
      </c>
      <c r="Q201" t="s">
        <v>61</v>
      </c>
      <c r="R201" t="s">
        <v>61</v>
      </c>
      <c r="S201" t="s">
        <v>64</v>
      </c>
      <c r="T201" t="s">
        <v>69</v>
      </c>
      <c r="U201" s="79">
        <v>30</v>
      </c>
      <c r="V201" t="s">
        <v>74</v>
      </c>
      <c r="W201" t="s">
        <v>3139</v>
      </c>
      <c r="X201" t="s">
        <v>2667</v>
      </c>
    </row>
    <row r="202" spans="1:24" ht="199.5" x14ac:dyDescent="0.2">
      <c r="A202" s="84" t="s">
        <v>1017</v>
      </c>
      <c r="B202">
        <f t="shared" ca="1" si="3"/>
        <v>53</v>
      </c>
      <c r="C202" s="54" t="s">
        <v>3314</v>
      </c>
      <c r="D202" s="84" t="s">
        <v>1016</v>
      </c>
      <c r="E202" s="84" t="s">
        <v>200</v>
      </c>
      <c r="F202" t="s">
        <v>32</v>
      </c>
      <c r="G202" s="61">
        <v>798000</v>
      </c>
      <c r="H202" s="63">
        <v>798000</v>
      </c>
      <c r="I202" t="s">
        <v>39</v>
      </c>
      <c r="J202" t="s">
        <v>44</v>
      </c>
      <c r="K202" s="198" t="s">
        <v>2979</v>
      </c>
      <c r="M202" t="s">
        <v>54</v>
      </c>
      <c r="N2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2" t="s">
        <v>57</v>
      </c>
      <c r="Q202" t="s">
        <v>61</v>
      </c>
      <c r="R202" t="s">
        <v>61</v>
      </c>
      <c r="S202" t="s">
        <v>64</v>
      </c>
      <c r="T202" t="s">
        <v>69</v>
      </c>
      <c r="U202" s="79">
        <v>30</v>
      </c>
      <c r="V202" t="s">
        <v>74</v>
      </c>
      <c r="W202" t="s">
        <v>3139</v>
      </c>
      <c r="X202" t="s">
        <v>2668</v>
      </c>
    </row>
    <row r="203" spans="1:24" ht="199.5" x14ac:dyDescent="0.2">
      <c r="A203" s="84" t="s">
        <v>1020</v>
      </c>
      <c r="B203">
        <f t="shared" ca="1" si="3"/>
        <v>53</v>
      </c>
      <c r="C203" s="54" t="s">
        <v>3315</v>
      </c>
      <c r="D203" s="84" t="s">
        <v>1019</v>
      </c>
      <c r="E203" s="84" t="s">
        <v>125</v>
      </c>
      <c r="F203" t="s">
        <v>32</v>
      </c>
      <c r="G203" s="61">
        <v>973000</v>
      </c>
      <c r="H203" s="63">
        <v>973000</v>
      </c>
      <c r="I203" t="s">
        <v>39</v>
      </c>
      <c r="J203" t="s">
        <v>44</v>
      </c>
      <c r="K203" s="198" t="s">
        <v>2980</v>
      </c>
      <c r="M203" t="s">
        <v>54</v>
      </c>
      <c r="N2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3" t="s">
        <v>57</v>
      </c>
      <c r="Q203" t="s">
        <v>61</v>
      </c>
      <c r="R203" t="s">
        <v>61</v>
      </c>
      <c r="S203" t="s">
        <v>64</v>
      </c>
      <c r="T203" t="s">
        <v>69</v>
      </c>
      <c r="U203" s="79">
        <v>30</v>
      </c>
      <c r="V203" t="s">
        <v>74</v>
      </c>
      <c r="W203" t="s">
        <v>3139</v>
      </c>
      <c r="X203" t="s">
        <v>2669</v>
      </c>
    </row>
    <row r="204" spans="1:24" ht="199.5" x14ac:dyDescent="0.2">
      <c r="A204" s="84" t="s">
        <v>1025</v>
      </c>
      <c r="B204">
        <f t="shared" ca="1" si="3"/>
        <v>50</v>
      </c>
      <c r="C204" s="54" t="s">
        <v>3316</v>
      </c>
      <c r="D204" s="84" t="s">
        <v>1024</v>
      </c>
      <c r="E204" s="84" t="s">
        <v>126</v>
      </c>
      <c r="F204" t="s">
        <v>32</v>
      </c>
      <c r="G204" s="61">
        <v>508000</v>
      </c>
      <c r="H204" s="63">
        <v>508000</v>
      </c>
      <c r="I204" t="s">
        <v>39</v>
      </c>
      <c r="J204" t="s">
        <v>44</v>
      </c>
      <c r="K204" s="198" t="s">
        <v>2981</v>
      </c>
      <c r="M204" t="s">
        <v>54</v>
      </c>
      <c r="N2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4" t="s">
        <v>57</v>
      </c>
      <c r="Q204" t="s">
        <v>61</v>
      </c>
      <c r="R204" t="s">
        <v>61</v>
      </c>
      <c r="S204" t="s">
        <v>64</v>
      </c>
      <c r="T204" t="s">
        <v>69</v>
      </c>
      <c r="U204" s="79">
        <v>30</v>
      </c>
      <c r="V204" t="s">
        <v>74</v>
      </c>
      <c r="W204" t="s">
        <v>3139</v>
      </c>
      <c r="X204" t="s">
        <v>2670</v>
      </c>
    </row>
    <row r="205" spans="1:24" ht="199.5" x14ac:dyDescent="0.2">
      <c r="A205" s="84" t="s">
        <v>1028</v>
      </c>
      <c r="B205">
        <f t="shared" ca="1" si="3"/>
        <v>56</v>
      </c>
      <c r="C205" s="54" t="s">
        <v>3317</v>
      </c>
      <c r="D205" s="84" t="s">
        <v>1027</v>
      </c>
      <c r="E205" s="84" t="s">
        <v>126</v>
      </c>
      <c r="F205" t="s">
        <v>32</v>
      </c>
      <c r="G205" s="61">
        <v>384000</v>
      </c>
      <c r="H205" s="63">
        <v>384000</v>
      </c>
      <c r="I205" t="s">
        <v>39</v>
      </c>
      <c r="J205" t="s">
        <v>44</v>
      </c>
      <c r="K205" s="198" t="s">
        <v>2982</v>
      </c>
      <c r="M205" t="s">
        <v>54</v>
      </c>
      <c r="N2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5" t="s">
        <v>57</v>
      </c>
      <c r="Q205" t="s">
        <v>61</v>
      </c>
      <c r="R205" t="s">
        <v>61</v>
      </c>
      <c r="S205" t="s">
        <v>64</v>
      </c>
      <c r="T205" t="s">
        <v>69</v>
      </c>
      <c r="U205" s="79">
        <v>30</v>
      </c>
      <c r="V205" t="s">
        <v>74</v>
      </c>
      <c r="W205" t="s">
        <v>3139</v>
      </c>
      <c r="X205" t="s">
        <v>2671</v>
      </c>
    </row>
    <row r="206" spans="1:24" ht="199.5" x14ac:dyDescent="0.2">
      <c r="A206" s="84" t="s">
        <v>1033</v>
      </c>
      <c r="B206">
        <f t="shared" ca="1" si="3"/>
        <v>49</v>
      </c>
      <c r="C206" s="54" t="s">
        <v>3318</v>
      </c>
      <c r="D206" s="84" t="s">
        <v>1032</v>
      </c>
      <c r="E206" s="84" t="s">
        <v>125</v>
      </c>
      <c r="F206" t="s">
        <v>32</v>
      </c>
      <c r="G206" s="61">
        <v>659000</v>
      </c>
      <c r="H206" s="63">
        <v>659000</v>
      </c>
      <c r="I206" t="s">
        <v>39</v>
      </c>
      <c r="J206" t="s">
        <v>44</v>
      </c>
      <c r="K206" s="198" t="s">
        <v>2983</v>
      </c>
      <c r="M206" t="s">
        <v>54</v>
      </c>
      <c r="N2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6" t="s">
        <v>57</v>
      </c>
      <c r="Q206" t="s">
        <v>61</v>
      </c>
      <c r="R206" t="s">
        <v>61</v>
      </c>
      <c r="S206" t="s">
        <v>64</v>
      </c>
      <c r="T206" t="s">
        <v>69</v>
      </c>
      <c r="U206" s="79">
        <v>30</v>
      </c>
      <c r="V206" t="s">
        <v>74</v>
      </c>
      <c r="W206" t="s">
        <v>3139</v>
      </c>
      <c r="X206" t="s">
        <v>2672</v>
      </c>
    </row>
    <row r="207" spans="1:24" ht="199.5" x14ac:dyDescent="0.2">
      <c r="A207" s="84" t="s">
        <v>1036</v>
      </c>
      <c r="B207">
        <f t="shared" ca="1" si="3"/>
        <v>47</v>
      </c>
      <c r="C207" s="54" t="s">
        <v>3319</v>
      </c>
      <c r="D207" s="84" t="s">
        <v>1035</v>
      </c>
      <c r="E207" s="84" t="s">
        <v>126</v>
      </c>
      <c r="F207" t="s">
        <v>32</v>
      </c>
      <c r="G207" s="61">
        <v>461000</v>
      </c>
      <c r="H207" s="63">
        <v>461000</v>
      </c>
      <c r="I207" t="s">
        <v>39</v>
      </c>
      <c r="J207" t="s">
        <v>45</v>
      </c>
      <c r="K207" s="198" t="s">
        <v>2984</v>
      </c>
      <c r="M207" t="s">
        <v>54</v>
      </c>
      <c r="N2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7" t="s">
        <v>57</v>
      </c>
      <c r="Q207" t="s">
        <v>61</v>
      </c>
      <c r="R207" t="s">
        <v>61</v>
      </c>
      <c r="S207" t="s">
        <v>64</v>
      </c>
      <c r="T207" t="s">
        <v>69</v>
      </c>
      <c r="U207" s="79">
        <v>90</v>
      </c>
      <c r="V207" t="s">
        <v>74</v>
      </c>
      <c r="W207" t="s">
        <v>3139</v>
      </c>
      <c r="X207" t="s">
        <v>2673</v>
      </c>
    </row>
    <row r="208" spans="1:24" ht="199.5" x14ac:dyDescent="0.2">
      <c r="A208" s="84" t="s">
        <v>1039</v>
      </c>
      <c r="B208">
        <f t="shared" ca="1" si="3"/>
        <v>49</v>
      </c>
      <c r="C208" s="54" t="s">
        <v>3320</v>
      </c>
      <c r="D208" s="84" t="s">
        <v>1038</v>
      </c>
      <c r="E208" s="84" t="s">
        <v>169</v>
      </c>
      <c r="F208" t="s">
        <v>32</v>
      </c>
      <c r="G208" s="61">
        <v>397000</v>
      </c>
      <c r="H208" s="63">
        <v>397000</v>
      </c>
      <c r="I208" t="s">
        <v>39</v>
      </c>
      <c r="J208" t="s">
        <v>45</v>
      </c>
      <c r="K208" s="198" t="s">
        <v>2985</v>
      </c>
      <c r="M208" t="s">
        <v>54</v>
      </c>
      <c r="N2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8" t="s">
        <v>57</v>
      </c>
      <c r="Q208" t="s">
        <v>61</v>
      </c>
      <c r="R208" t="s">
        <v>61</v>
      </c>
      <c r="S208" t="s">
        <v>64</v>
      </c>
      <c r="T208" t="s">
        <v>69</v>
      </c>
      <c r="U208" s="79">
        <v>90</v>
      </c>
      <c r="V208" t="s">
        <v>74</v>
      </c>
      <c r="W208" t="s">
        <v>3139</v>
      </c>
      <c r="X208" t="s">
        <v>2674</v>
      </c>
    </row>
    <row r="209" spans="1:24" ht="199.5" x14ac:dyDescent="0.2">
      <c r="A209" s="84" t="s">
        <v>2541</v>
      </c>
      <c r="B209">
        <f t="shared" ca="1" si="3"/>
        <v>45</v>
      </c>
      <c r="C209" s="54" t="s">
        <v>3321</v>
      </c>
      <c r="D209" s="84" t="s">
        <v>1043</v>
      </c>
      <c r="E209" s="84" t="s">
        <v>125</v>
      </c>
      <c r="F209" t="s">
        <v>32</v>
      </c>
      <c r="G209" s="61">
        <v>519000</v>
      </c>
      <c r="H209" s="63">
        <v>519000</v>
      </c>
      <c r="I209" t="s">
        <v>39</v>
      </c>
      <c r="J209" t="s">
        <v>44</v>
      </c>
      <c r="K209" s="198" t="s">
        <v>2986</v>
      </c>
      <c r="M209" t="s">
        <v>54</v>
      </c>
      <c r="N2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09" t="s">
        <v>57</v>
      </c>
      <c r="Q209" t="s">
        <v>61</v>
      </c>
      <c r="R209" t="s">
        <v>61</v>
      </c>
      <c r="S209" t="s">
        <v>64</v>
      </c>
      <c r="T209" t="s">
        <v>69</v>
      </c>
      <c r="U209" s="79">
        <v>30</v>
      </c>
      <c r="V209" t="s">
        <v>74</v>
      </c>
      <c r="W209" t="s">
        <v>3139</v>
      </c>
      <c r="X209" t="s">
        <v>2675</v>
      </c>
    </row>
    <row r="210" spans="1:24" ht="199.5" x14ac:dyDescent="0.2">
      <c r="A210" s="84" t="s">
        <v>1047</v>
      </c>
      <c r="B210">
        <f t="shared" ca="1" si="3"/>
        <v>50</v>
      </c>
      <c r="C210" s="54" t="s">
        <v>3322</v>
      </c>
      <c r="D210" s="84" t="s">
        <v>1046</v>
      </c>
      <c r="E210" s="84" t="s">
        <v>125</v>
      </c>
      <c r="F210" t="s">
        <v>32</v>
      </c>
      <c r="G210" s="61">
        <v>605000</v>
      </c>
      <c r="H210" s="63">
        <v>605000</v>
      </c>
      <c r="I210" t="s">
        <v>39</v>
      </c>
      <c r="J210" t="s">
        <v>44</v>
      </c>
      <c r="K210" s="198" t="s">
        <v>2987</v>
      </c>
      <c r="M210" t="s">
        <v>54</v>
      </c>
      <c r="N2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0" t="s">
        <v>57</v>
      </c>
      <c r="Q210" t="s">
        <v>61</v>
      </c>
      <c r="R210" t="s">
        <v>61</v>
      </c>
      <c r="S210" t="s">
        <v>64</v>
      </c>
      <c r="T210" t="s">
        <v>69</v>
      </c>
      <c r="U210" s="79">
        <v>30</v>
      </c>
      <c r="V210" t="s">
        <v>74</v>
      </c>
      <c r="W210" t="s">
        <v>3139</v>
      </c>
      <c r="X210" t="s">
        <v>2676</v>
      </c>
    </row>
    <row r="211" spans="1:24" ht="199.5" x14ac:dyDescent="0.2">
      <c r="A211" s="84" t="s">
        <v>1050</v>
      </c>
      <c r="B211">
        <f t="shared" ca="1" si="3"/>
        <v>58</v>
      </c>
      <c r="C211" s="54" t="s">
        <v>3323</v>
      </c>
      <c r="D211" s="84" t="s">
        <v>1049</v>
      </c>
      <c r="E211" s="84" t="s">
        <v>200</v>
      </c>
      <c r="F211" t="s">
        <v>32</v>
      </c>
      <c r="G211" s="61">
        <v>415000</v>
      </c>
      <c r="H211" s="63">
        <v>415000</v>
      </c>
      <c r="I211" t="s">
        <v>39</v>
      </c>
      <c r="J211" t="s">
        <v>44</v>
      </c>
      <c r="K211" s="198" t="s">
        <v>2988</v>
      </c>
      <c r="M211" t="s">
        <v>54</v>
      </c>
      <c r="N2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1" t="s">
        <v>57</v>
      </c>
      <c r="Q211" t="s">
        <v>61</v>
      </c>
      <c r="R211" t="s">
        <v>61</v>
      </c>
      <c r="S211" t="s">
        <v>64</v>
      </c>
      <c r="T211" t="s">
        <v>69</v>
      </c>
      <c r="U211" s="79">
        <v>30</v>
      </c>
      <c r="V211" t="s">
        <v>74</v>
      </c>
      <c r="W211" t="s">
        <v>3139</v>
      </c>
      <c r="X211" t="s">
        <v>2677</v>
      </c>
    </row>
    <row r="212" spans="1:24" ht="199.5" x14ac:dyDescent="0.2">
      <c r="A212" s="84" t="s">
        <v>1053</v>
      </c>
      <c r="B212">
        <f t="shared" ca="1" si="3"/>
        <v>46</v>
      </c>
      <c r="C212" s="54" t="s">
        <v>3324</v>
      </c>
      <c r="D212" s="84" t="s">
        <v>1052</v>
      </c>
      <c r="E212" s="84" t="s">
        <v>126</v>
      </c>
      <c r="F212" t="s">
        <v>32</v>
      </c>
      <c r="G212" s="61">
        <v>397000</v>
      </c>
      <c r="H212" s="63">
        <v>397000</v>
      </c>
      <c r="I212" t="s">
        <v>39</v>
      </c>
      <c r="J212" t="s">
        <v>45</v>
      </c>
      <c r="K212" s="198" t="s">
        <v>2989</v>
      </c>
      <c r="M212" t="s">
        <v>54</v>
      </c>
      <c r="N2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2" t="s">
        <v>57</v>
      </c>
      <c r="Q212" t="s">
        <v>61</v>
      </c>
      <c r="R212" t="s">
        <v>61</v>
      </c>
      <c r="S212" t="s">
        <v>64</v>
      </c>
      <c r="T212" t="s">
        <v>69</v>
      </c>
      <c r="U212" s="79">
        <v>90</v>
      </c>
      <c r="V212" t="s">
        <v>74</v>
      </c>
      <c r="W212" t="s">
        <v>3139</v>
      </c>
      <c r="X212" t="s">
        <v>2678</v>
      </c>
    </row>
    <row r="213" spans="1:24" ht="199.5" x14ac:dyDescent="0.2">
      <c r="A213" s="84" t="s">
        <v>1056</v>
      </c>
      <c r="B213">
        <f t="shared" ca="1" si="3"/>
        <v>54</v>
      </c>
      <c r="C213" s="54" t="s">
        <v>3325</v>
      </c>
      <c r="D213" s="84" t="s">
        <v>1055</v>
      </c>
      <c r="E213" s="84" t="s">
        <v>126</v>
      </c>
      <c r="F213" t="s">
        <v>32</v>
      </c>
      <c r="G213" s="61">
        <v>415000</v>
      </c>
      <c r="H213" s="63">
        <v>415000</v>
      </c>
      <c r="I213" t="s">
        <v>39</v>
      </c>
      <c r="J213" t="s">
        <v>44</v>
      </c>
      <c r="K213" s="198" t="s">
        <v>2990</v>
      </c>
      <c r="M213" t="s">
        <v>54</v>
      </c>
      <c r="N2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3" t="s">
        <v>57</v>
      </c>
      <c r="Q213" t="s">
        <v>61</v>
      </c>
      <c r="R213" t="s">
        <v>61</v>
      </c>
      <c r="S213" t="s">
        <v>64</v>
      </c>
      <c r="T213" t="s">
        <v>69</v>
      </c>
      <c r="U213" s="79">
        <v>30</v>
      </c>
      <c r="V213" t="s">
        <v>74</v>
      </c>
      <c r="W213" t="s">
        <v>3139</v>
      </c>
      <c r="X213" t="s">
        <v>2679</v>
      </c>
    </row>
    <row r="214" spans="1:24" ht="199.5" x14ac:dyDescent="0.2">
      <c r="A214" s="84" t="s">
        <v>1059</v>
      </c>
      <c r="B214">
        <f t="shared" ca="1" si="3"/>
        <v>58</v>
      </c>
      <c r="C214" s="54" t="s">
        <v>3326</v>
      </c>
      <c r="D214" s="84" t="s">
        <v>1058</v>
      </c>
      <c r="E214" s="84" t="s">
        <v>126</v>
      </c>
      <c r="F214" t="s">
        <v>32</v>
      </c>
      <c r="G214" s="61">
        <v>310000</v>
      </c>
      <c r="H214" s="63">
        <v>310000</v>
      </c>
      <c r="I214" t="s">
        <v>39</v>
      </c>
      <c r="J214" t="s">
        <v>44</v>
      </c>
      <c r="K214" s="198" t="s">
        <v>2991</v>
      </c>
      <c r="M214" t="s">
        <v>54</v>
      </c>
      <c r="N2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4" t="s">
        <v>57</v>
      </c>
      <c r="Q214" t="s">
        <v>61</v>
      </c>
      <c r="R214" t="s">
        <v>61</v>
      </c>
      <c r="S214" t="s">
        <v>64</v>
      </c>
      <c r="T214" t="s">
        <v>69</v>
      </c>
      <c r="U214" s="79">
        <v>30</v>
      </c>
      <c r="V214" t="s">
        <v>74</v>
      </c>
      <c r="W214" t="s">
        <v>3139</v>
      </c>
      <c r="X214" t="s">
        <v>2680</v>
      </c>
    </row>
    <row r="215" spans="1:24" ht="199.5" x14ac:dyDescent="0.2">
      <c r="A215" s="84" t="s">
        <v>1062</v>
      </c>
      <c r="B215">
        <f t="shared" ca="1" si="3"/>
        <v>53</v>
      </c>
      <c r="C215" s="54" t="s">
        <v>3327</v>
      </c>
      <c r="D215" s="84" t="s">
        <v>1061</v>
      </c>
      <c r="E215" s="84" t="s">
        <v>419</v>
      </c>
      <c r="F215" t="s">
        <v>32</v>
      </c>
      <c r="G215" s="61">
        <v>333000</v>
      </c>
      <c r="H215" s="63">
        <v>333000</v>
      </c>
      <c r="I215" t="s">
        <v>39</v>
      </c>
      <c r="J215" t="s">
        <v>45</v>
      </c>
      <c r="K215" s="198" t="s">
        <v>2992</v>
      </c>
      <c r="M215" t="s">
        <v>54</v>
      </c>
      <c r="N2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5" t="s">
        <v>57</v>
      </c>
      <c r="Q215" t="s">
        <v>61</v>
      </c>
      <c r="R215" t="s">
        <v>61</v>
      </c>
      <c r="S215" t="s">
        <v>64</v>
      </c>
      <c r="T215" t="s">
        <v>69</v>
      </c>
      <c r="U215" s="79">
        <v>90</v>
      </c>
      <c r="V215" t="s">
        <v>74</v>
      </c>
      <c r="W215" t="s">
        <v>3139</v>
      </c>
      <c r="X215" t="s">
        <v>2681</v>
      </c>
    </row>
    <row r="216" spans="1:24" ht="199.5" x14ac:dyDescent="0.2">
      <c r="A216" s="84" t="s">
        <v>1065</v>
      </c>
      <c r="B216">
        <f t="shared" ca="1" si="3"/>
        <v>39</v>
      </c>
      <c r="D216" s="84" t="s">
        <v>1064</v>
      </c>
      <c r="E216" s="84" t="s">
        <v>126</v>
      </c>
      <c r="F216" t="s">
        <v>32</v>
      </c>
      <c r="G216" s="61">
        <v>3926000</v>
      </c>
      <c r="H216" s="63">
        <v>3926000</v>
      </c>
      <c r="I216" t="s">
        <v>39</v>
      </c>
      <c r="J216" t="s">
        <v>44</v>
      </c>
      <c r="K216" s="198" t="s">
        <v>2993</v>
      </c>
      <c r="M216" t="s">
        <v>54</v>
      </c>
      <c r="N2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6" t="s">
        <v>57</v>
      </c>
      <c r="Q216" t="s">
        <v>61</v>
      </c>
      <c r="R216" t="s">
        <v>61</v>
      </c>
      <c r="S216" t="s">
        <v>64</v>
      </c>
      <c r="T216" t="s">
        <v>69</v>
      </c>
      <c r="U216" s="79">
        <v>30</v>
      </c>
      <c r="V216" t="s">
        <v>74</v>
      </c>
      <c r="W216" t="s">
        <v>3139</v>
      </c>
      <c r="X216" t="s">
        <v>2682</v>
      </c>
    </row>
    <row r="217" spans="1:24" ht="199.5" x14ac:dyDescent="0.2">
      <c r="A217" s="84" t="s">
        <v>1072</v>
      </c>
      <c r="B217">
        <f t="shared" ca="1" si="3"/>
        <v>39</v>
      </c>
      <c r="D217" s="84" t="s">
        <v>1071</v>
      </c>
      <c r="E217" s="84" t="s">
        <v>126</v>
      </c>
      <c r="F217" t="s">
        <v>32</v>
      </c>
      <c r="G217" s="61">
        <v>432000</v>
      </c>
      <c r="H217" s="63">
        <v>432000</v>
      </c>
      <c r="I217" t="s">
        <v>39</v>
      </c>
      <c r="J217" t="s">
        <v>44</v>
      </c>
      <c r="K217" s="198" t="s">
        <v>2994</v>
      </c>
      <c r="M217" t="s">
        <v>54</v>
      </c>
      <c r="N2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7" t="s">
        <v>57</v>
      </c>
      <c r="Q217" t="s">
        <v>61</v>
      </c>
      <c r="R217" t="s">
        <v>61</v>
      </c>
      <c r="S217" t="s">
        <v>64</v>
      </c>
      <c r="T217" t="s">
        <v>69</v>
      </c>
      <c r="U217" s="79">
        <v>30</v>
      </c>
      <c r="V217" t="s">
        <v>74</v>
      </c>
      <c r="W217" t="s">
        <v>3139</v>
      </c>
      <c r="X217" t="s">
        <v>2683</v>
      </c>
    </row>
    <row r="218" spans="1:24" ht="199.5" x14ac:dyDescent="0.2">
      <c r="A218" s="84" t="s">
        <v>1077</v>
      </c>
      <c r="B218">
        <f t="shared" ca="1" si="3"/>
        <v>49</v>
      </c>
      <c r="C218" s="54" t="s">
        <v>3328</v>
      </c>
      <c r="D218" s="84" t="s">
        <v>1076</v>
      </c>
      <c r="E218" s="84" t="s">
        <v>126</v>
      </c>
      <c r="F218" t="s">
        <v>32</v>
      </c>
      <c r="G218" s="61">
        <v>1178000</v>
      </c>
      <c r="H218" s="63">
        <v>1178000</v>
      </c>
      <c r="I218" t="s">
        <v>39</v>
      </c>
      <c r="J218" t="s">
        <v>44</v>
      </c>
      <c r="K218" s="198" t="s">
        <v>2995</v>
      </c>
      <c r="M218" t="s">
        <v>54</v>
      </c>
      <c r="N2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8" t="s">
        <v>57</v>
      </c>
      <c r="Q218" t="s">
        <v>61</v>
      </c>
      <c r="R218" t="s">
        <v>61</v>
      </c>
      <c r="S218" t="s">
        <v>64</v>
      </c>
      <c r="T218" t="s">
        <v>69</v>
      </c>
      <c r="U218" s="79">
        <v>30</v>
      </c>
      <c r="V218" t="s">
        <v>74</v>
      </c>
      <c r="W218" t="s">
        <v>3139</v>
      </c>
      <c r="X218" t="s">
        <v>2684</v>
      </c>
    </row>
    <row r="219" spans="1:24" ht="199.5" x14ac:dyDescent="0.2">
      <c r="A219" s="84" t="s">
        <v>1084</v>
      </c>
      <c r="B219">
        <f t="shared" ca="1" si="3"/>
        <v>57</v>
      </c>
      <c r="C219" s="54" t="s">
        <v>3329</v>
      </c>
      <c r="D219" s="84" t="s">
        <v>1083</v>
      </c>
      <c r="E219" s="84" t="s">
        <v>125</v>
      </c>
      <c r="F219" t="s">
        <v>32</v>
      </c>
      <c r="G219" s="61">
        <v>1496000</v>
      </c>
      <c r="H219" s="63">
        <v>1496000</v>
      </c>
      <c r="I219" t="s">
        <v>39</v>
      </c>
      <c r="J219" t="s">
        <v>44</v>
      </c>
      <c r="K219" s="198" t="s">
        <v>2996</v>
      </c>
      <c r="M219" t="s">
        <v>54</v>
      </c>
      <c r="N2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19" t="s">
        <v>57</v>
      </c>
      <c r="Q219" t="s">
        <v>61</v>
      </c>
      <c r="R219" t="s">
        <v>61</v>
      </c>
      <c r="S219" t="s">
        <v>64</v>
      </c>
      <c r="T219" t="s">
        <v>69</v>
      </c>
      <c r="U219" s="79">
        <v>30</v>
      </c>
      <c r="V219" t="s">
        <v>74</v>
      </c>
      <c r="W219" t="s">
        <v>3139</v>
      </c>
      <c r="X219" t="s">
        <v>2685</v>
      </c>
    </row>
    <row r="220" spans="1:24" ht="199.5" x14ac:dyDescent="0.2">
      <c r="A220" s="84" t="s">
        <v>1091</v>
      </c>
      <c r="B220">
        <f t="shared" ca="1" si="3"/>
        <v>59</v>
      </c>
      <c r="C220" s="54" t="s">
        <v>3330</v>
      </c>
      <c r="D220" s="84" t="s">
        <v>1090</v>
      </c>
      <c r="E220" s="84" t="s">
        <v>264</v>
      </c>
      <c r="F220" t="s">
        <v>32</v>
      </c>
      <c r="G220" s="61">
        <v>764000</v>
      </c>
      <c r="H220" s="63">
        <v>764000</v>
      </c>
      <c r="I220" t="s">
        <v>39</v>
      </c>
      <c r="J220" t="s">
        <v>44</v>
      </c>
      <c r="K220" s="198" t="s">
        <v>2997</v>
      </c>
      <c r="M220" t="s">
        <v>54</v>
      </c>
      <c r="N2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0" t="s">
        <v>57</v>
      </c>
      <c r="Q220" t="s">
        <v>61</v>
      </c>
      <c r="R220" t="s">
        <v>61</v>
      </c>
      <c r="S220" t="s">
        <v>64</v>
      </c>
      <c r="T220" t="s">
        <v>69</v>
      </c>
      <c r="U220" s="79">
        <v>30</v>
      </c>
      <c r="V220" t="s">
        <v>74</v>
      </c>
      <c r="W220" t="s">
        <v>3139</v>
      </c>
      <c r="X220" t="s">
        <v>2686</v>
      </c>
    </row>
    <row r="221" spans="1:24" ht="199.5" x14ac:dyDescent="0.2">
      <c r="A221" s="84" t="s">
        <v>1094</v>
      </c>
      <c r="B221">
        <f t="shared" ca="1" si="3"/>
        <v>51</v>
      </c>
      <c r="C221" s="54" t="s">
        <v>3331</v>
      </c>
      <c r="D221" s="84" t="s">
        <v>1093</v>
      </c>
      <c r="E221" s="84" t="s">
        <v>125</v>
      </c>
      <c r="F221" t="s">
        <v>32</v>
      </c>
      <c r="G221" s="61">
        <v>853000</v>
      </c>
      <c r="H221" s="63">
        <v>853000</v>
      </c>
      <c r="I221" t="s">
        <v>39</v>
      </c>
      <c r="J221" t="s">
        <v>44</v>
      </c>
      <c r="K221" s="198" t="s">
        <v>2998</v>
      </c>
      <c r="M221" t="s">
        <v>54</v>
      </c>
      <c r="N2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1" t="s">
        <v>57</v>
      </c>
      <c r="Q221" t="s">
        <v>61</v>
      </c>
      <c r="R221" t="s">
        <v>61</v>
      </c>
      <c r="S221" t="s">
        <v>64</v>
      </c>
      <c r="T221" t="s">
        <v>69</v>
      </c>
      <c r="U221" s="79">
        <v>30</v>
      </c>
      <c r="V221" t="s">
        <v>74</v>
      </c>
      <c r="W221" t="s">
        <v>3139</v>
      </c>
      <c r="X221" t="s">
        <v>2687</v>
      </c>
    </row>
    <row r="222" spans="1:24" ht="199.5" x14ac:dyDescent="0.2">
      <c r="A222" s="84" t="s">
        <v>1099</v>
      </c>
      <c r="B222">
        <f t="shared" ca="1" si="3"/>
        <v>51</v>
      </c>
      <c r="C222" s="54" t="s">
        <v>3332</v>
      </c>
      <c r="D222" s="84" t="s">
        <v>1098</v>
      </c>
      <c r="E222" s="84" t="s">
        <v>125</v>
      </c>
      <c r="F222" t="s">
        <v>32</v>
      </c>
      <c r="G222" s="61">
        <v>775000</v>
      </c>
      <c r="H222" s="63">
        <v>775000</v>
      </c>
      <c r="I222" t="s">
        <v>39</v>
      </c>
      <c r="J222" t="s">
        <v>44</v>
      </c>
      <c r="K222" s="198" t="s">
        <v>2999</v>
      </c>
      <c r="M222" t="s">
        <v>54</v>
      </c>
      <c r="N2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2" t="s">
        <v>57</v>
      </c>
      <c r="Q222" t="s">
        <v>61</v>
      </c>
      <c r="R222" t="s">
        <v>61</v>
      </c>
      <c r="S222" t="s">
        <v>64</v>
      </c>
      <c r="T222" t="s">
        <v>69</v>
      </c>
      <c r="U222" s="79">
        <v>30</v>
      </c>
      <c r="V222" t="s">
        <v>74</v>
      </c>
      <c r="W222" t="s">
        <v>3139</v>
      </c>
      <c r="X222" t="s">
        <v>2688</v>
      </c>
    </row>
    <row r="223" spans="1:24" ht="199.5" x14ac:dyDescent="0.2">
      <c r="A223" s="84" t="s">
        <v>1104</v>
      </c>
      <c r="B223">
        <f t="shared" ca="1" si="3"/>
        <v>52</v>
      </c>
      <c r="D223" s="84" t="s">
        <v>1103</v>
      </c>
      <c r="E223" s="84" t="s">
        <v>126</v>
      </c>
      <c r="F223" t="s">
        <v>32</v>
      </c>
      <c r="G223" s="61">
        <v>488000</v>
      </c>
      <c r="H223" s="63">
        <v>488000</v>
      </c>
      <c r="I223" t="s">
        <v>39</v>
      </c>
      <c r="J223" t="s">
        <v>44</v>
      </c>
      <c r="K223" s="198" t="s">
        <v>3000</v>
      </c>
      <c r="M223" t="s">
        <v>54</v>
      </c>
      <c r="N2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3" t="s">
        <v>57</v>
      </c>
      <c r="Q223" t="s">
        <v>61</v>
      </c>
      <c r="R223" t="s">
        <v>61</v>
      </c>
      <c r="S223" t="s">
        <v>64</v>
      </c>
      <c r="T223" t="s">
        <v>69</v>
      </c>
      <c r="U223" s="79">
        <v>30</v>
      </c>
      <c r="V223" t="s">
        <v>74</v>
      </c>
      <c r="W223" t="s">
        <v>3139</v>
      </c>
      <c r="X223" t="s">
        <v>2689</v>
      </c>
    </row>
    <row r="224" spans="1:24" ht="199.5" x14ac:dyDescent="0.2">
      <c r="A224" s="84" t="s">
        <v>1107</v>
      </c>
      <c r="B224">
        <f t="shared" ca="1" si="3"/>
        <v>44</v>
      </c>
      <c r="C224" s="54" t="s">
        <v>3333</v>
      </c>
      <c r="D224" s="84" t="s">
        <v>1106</v>
      </c>
      <c r="E224" s="84" t="s">
        <v>200</v>
      </c>
      <c r="F224" t="s">
        <v>32</v>
      </c>
      <c r="G224" s="61">
        <v>560000</v>
      </c>
      <c r="H224" s="63">
        <v>560000</v>
      </c>
      <c r="I224" t="s">
        <v>39</v>
      </c>
      <c r="J224" t="s">
        <v>44</v>
      </c>
      <c r="K224" s="198" t="s">
        <v>3001</v>
      </c>
      <c r="M224" t="s">
        <v>54</v>
      </c>
      <c r="N2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4" t="s">
        <v>57</v>
      </c>
      <c r="Q224" t="s">
        <v>61</v>
      </c>
      <c r="R224" t="s">
        <v>61</v>
      </c>
      <c r="S224" t="s">
        <v>64</v>
      </c>
      <c r="T224" t="s">
        <v>69</v>
      </c>
      <c r="U224" s="79">
        <v>30</v>
      </c>
      <c r="V224" t="s">
        <v>74</v>
      </c>
      <c r="W224" t="s">
        <v>3139</v>
      </c>
      <c r="X224" t="s">
        <v>1108</v>
      </c>
    </row>
    <row r="225" spans="1:24" ht="199.5" x14ac:dyDescent="0.2">
      <c r="A225" s="84" t="s">
        <v>1112</v>
      </c>
      <c r="B225">
        <f t="shared" ca="1" si="3"/>
        <v>50</v>
      </c>
      <c r="C225" s="54" t="s">
        <v>3334</v>
      </c>
      <c r="D225" s="84" t="s">
        <v>1111</v>
      </c>
      <c r="E225" s="84" t="s">
        <v>200</v>
      </c>
      <c r="F225" t="s">
        <v>32</v>
      </c>
      <c r="G225" s="61">
        <v>490000</v>
      </c>
      <c r="H225" s="63">
        <v>490000</v>
      </c>
      <c r="I225" t="s">
        <v>39</v>
      </c>
      <c r="J225" t="s">
        <v>44</v>
      </c>
      <c r="K225" s="198" t="s">
        <v>3002</v>
      </c>
      <c r="M225" t="s">
        <v>54</v>
      </c>
      <c r="N2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5" t="s">
        <v>57</v>
      </c>
      <c r="Q225" t="s">
        <v>61</v>
      </c>
      <c r="R225" t="s">
        <v>61</v>
      </c>
      <c r="S225" t="s">
        <v>64</v>
      </c>
      <c r="T225" t="s">
        <v>69</v>
      </c>
      <c r="U225" s="79">
        <v>30</v>
      </c>
      <c r="V225" t="s">
        <v>74</v>
      </c>
      <c r="W225" t="s">
        <v>3139</v>
      </c>
      <c r="X225" t="s">
        <v>2690</v>
      </c>
    </row>
    <row r="226" spans="1:24" ht="199.5" x14ac:dyDescent="0.2">
      <c r="A226" s="84" t="s">
        <v>1117</v>
      </c>
      <c r="B226">
        <f t="shared" ca="1" si="3"/>
        <v>60</v>
      </c>
      <c r="C226" s="54" t="s">
        <v>3335</v>
      </c>
      <c r="D226" s="84" t="s">
        <v>1116</v>
      </c>
      <c r="E226" s="84" t="s">
        <v>126</v>
      </c>
      <c r="F226" t="s">
        <v>32</v>
      </c>
      <c r="G226" s="61">
        <v>554000</v>
      </c>
      <c r="H226" s="63">
        <v>554000</v>
      </c>
      <c r="I226" t="s">
        <v>39</v>
      </c>
      <c r="J226" t="s">
        <v>44</v>
      </c>
      <c r="K226" s="198" t="s">
        <v>3003</v>
      </c>
      <c r="M226" t="s">
        <v>54</v>
      </c>
      <c r="N2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6" t="s">
        <v>57</v>
      </c>
      <c r="Q226" t="s">
        <v>61</v>
      </c>
      <c r="R226" t="s">
        <v>61</v>
      </c>
      <c r="S226" t="s">
        <v>64</v>
      </c>
      <c r="T226" t="s">
        <v>69</v>
      </c>
      <c r="U226" s="79">
        <v>30</v>
      </c>
      <c r="V226" t="s">
        <v>74</v>
      </c>
      <c r="W226" t="s">
        <v>3139</v>
      </c>
      <c r="X226" t="s">
        <v>2691</v>
      </c>
    </row>
    <row r="227" spans="1:24" ht="199.5" x14ac:dyDescent="0.2">
      <c r="A227" s="84" t="s">
        <v>1120</v>
      </c>
      <c r="B227">
        <f t="shared" ca="1" si="3"/>
        <v>57</v>
      </c>
      <c r="C227" s="54" t="s">
        <v>3336</v>
      </c>
      <c r="D227" s="84" t="s">
        <v>1119</v>
      </c>
      <c r="E227" s="84" t="s">
        <v>200</v>
      </c>
      <c r="F227" t="s">
        <v>32</v>
      </c>
      <c r="G227" s="61">
        <v>624000</v>
      </c>
      <c r="H227" s="63">
        <v>624000</v>
      </c>
      <c r="I227" t="s">
        <v>39</v>
      </c>
      <c r="J227" t="s">
        <v>44</v>
      </c>
      <c r="K227" s="198" t="s">
        <v>3004</v>
      </c>
      <c r="M227" t="s">
        <v>54</v>
      </c>
      <c r="N2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7" t="s">
        <v>57</v>
      </c>
      <c r="Q227" t="s">
        <v>61</v>
      </c>
      <c r="R227" t="s">
        <v>61</v>
      </c>
      <c r="S227" t="s">
        <v>64</v>
      </c>
      <c r="T227" t="s">
        <v>69</v>
      </c>
      <c r="U227" s="79">
        <v>30</v>
      </c>
      <c r="V227" t="s">
        <v>74</v>
      </c>
      <c r="W227" t="s">
        <v>3139</v>
      </c>
      <c r="X227" t="s">
        <v>2692</v>
      </c>
    </row>
    <row r="228" spans="1:24" ht="199.5" x14ac:dyDescent="0.2">
      <c r="A228" s="84" t="s">
        <v>1123</v>
      </c>
      <c r="B228">
        <f t="shared" ca="1" si="3"/>
        <v>45</v>
      </c>
      <c r="C228" s="54" t="s">
        <v>3337</v>
      </c>
      <c r="D228" s="84" t="s">
        <v>1122</v>
      </c>
      <c r="E228" s="84" t="s">
        <v>125</v>
      </c>
      <c r="F228" t="s">
        <v>32</v>
      </c>
      <c r="G228" s="61">
        <v>762000</v>
      </c>
      <c r="H228" s="63">
        <v>762000</v>
      </c>
      <c r="I228" t="s">
        <v>39</v>
      </c>
      <c r="J228" t="s">
        <v>44</v>
      </c>
      <c r="K228" s="198" t="s">
        <v>3005</v>
      </c>
      <c r="M228" t="s">
        <v>54</v>
      </c>
      <c r="N2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8" t="s">
        <v>57</v>
      </c>
      <c r="Q228" t="s">
        <v>61</v>
      </c>
      <c r="R228" t="s">
        <v>61</v>
      </c>
      <c r="S228" t="s">
        <v>64</v>
      </c>
      <c r="T228" t="s">
        <v>69</v>
      </c>
      <c r="U228" s="79">
        <v>30</v>
      </c>
      <c r="V228" t="s">
        <v>74</v>
      </c>
      <c r="W228" t="s">
        <v>3139</v>
      </c>
      <c r="X228" t="s">
        <v>2693</v>
      </c>
    </row>
    <row r="229" spans="1:24" ht="199.5" x14ac:dyDescent="0.2">
      <c r="A229" s="84" t="s">
        <v>1128</v>
      </c>
      <c r="B229">
        <f t="shared" ca="1" si="3"/>
        <v>42</v>
      </c>
      <c r="C229" s="54" t="s">
        <v>3338</v>
      </c>
      <c r="D229" s="84" t="s">
        <v>1127</v>
      </c>
      <c r="E229" s="84" t="s">
        <v>126</v>
      </c>
      <c r="F229" t="s">
        <v>32</v>
      </c>
      <c r="G229" s="61">
        <v>752000</v>
      </c>
      <c r="H229" s="63">
        <v>752000</v>
      </c>
      <c r="I229" t="s">
        <v>39</v>
      </c>
      <c r="J229" t="s">
        <v>44</v>
      </c>
      <c r="K229" s="198" t="s">
        <v>3006</v>
      </c>
      <c r="M229" t="s">
        <v>54</v>
      </c>
      <c r="N2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29" t="s">
        <v>57</v>
      </c>
      <c r="Q229" t="s">
        <v>61</v>
      </c>
      <c r="R229" t="s">
        <v>61</v>
      </c>
      <c r="S229" t="s">
        <v>64</v>
      </c>
      <c r="T229" t="s">
        <v>69</v>
      </c>
      <c r="U229" s="79">
        <v>30</v>
      </c>
      <c r="V229" t="s">
        <v>74</v>
      </c>
      <c r="W229" t="s">
        <v>3139</v>
      </c>
      <c r="X229" t="s">
        <v>1129</v>
      </c>
    </row>
    <row r="230" spans="1:24" ht="199.5" x14ac:dyDescent="0.2">
      <c r="A230" s="84" t="s">
        <v>1131</v>
      </c>
      <c r="B230">
        <f t="shared" ca="1" si="3"/>
        <v>40</v>
      </c>
      <c r="D230" s="84" t="s">
        <v>1130</v>
      </c>
      <c r="E230" s="84" t="s">
        <v>126</v>
      </c>
      <c r="F230" t="s">
        <v>32</v>
      </c>
      <c r="G230" s="61">
        <v>508000</v>
      </c>
      <c r="H230" s="63">
        <v>508000</v>
      </c>
      <c r="I230" t="s">
        <v>39</v>
      </c>
      <c r="J230" t="s">
        <v>44</v>
      </c>
      <c r="K230" s="198" t="s">
        <v>3007</v>
      </c>
      <c r="M230" t="s">
        <v>54</v>
      </c>
      <c r="N2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0" t="s">
        <v>57</v>
      </c>
      <c r="Q230" t="s">
        <v>61</v>
      </c>
      <c r="R230" t="s">
        <v>61</v>
      </c>
      <c r="S230" t="s">
        <v>64</v>
      </c>
      <c r="T230" t="s">
        <v>69</v>
      </c>
      <c r="U230" s="79">
        <v>30</v>
      </c>
      <c r="V230" t="s">
        <v>74</v>
      </c>
      <c r="W230" t="s">
        <v>3139</v>
      </c>
      <c r="X230" t="s">
        <v>2694</v>
      </c>
    </row>
    <row r="231" spans="1:24" ht="199.5" x14ac:dyDescent="0.2">
      <c r="A231" s="84" t="s">
        <v>2542</v>
      </c>
      <c r="B231">
        <f t="shared" ca="1" si="3"/>
        <v>55</v>
      </c>
      <c r="C231" s="54" t="s">
        <v>3339</v>
      </c>
      <c r="D231" s="84" t="s">
        <v>1133</v>
      </c>
      <c r="E231" s="84" t="s">
        <v>1136</v>
      </c>
      <c r="F231" t="s">
        <v>32</v>
      </c>
      <c r="G231" s="61">
        <v>473000</v>
      </c>
      <c r="H231" s="63">
        <v>473000</v>
      </c>
      <c r="I231" t="s">
        <v>39</v>
      </c>
      <c r="J231" t="s">
        <v>44</v>
      </c>
      <c r="K231" s="198" t="s">
        <v>3008</v>
      </c>
      <c r="M231" t="s">
        <v>54</v>
      </c>
      <c r="N2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1" t="s">
        <v>57</v>
      </c>
      <c r="Q231" t="s">
        <v>61</v>
      </c>
      <c r="R231" t="s">
        <v>61</v>
      </c>
      <c r="S231" t="s">
        <v>64</v>
      </c>
      <c r="T231" t="s">
        <v>69</v>
      </c>
      <c r="U231" s="79">
        <v>30</v>
      </c>
      <c r="V231" t="s">
        <v>74</v>
      </c>
      <c r="W231" t="s">
        <v>3139</v>
      </c>
      <c r="X231" t="s">
        <v>2695</v>
      </c>
    </row>
    <row r="232" spans="1:24" ht="199.5" x14ac:dyDescent="0.2">
      <c r="A232" s="84" t="s">
        <v>1138</v>
      </c>
      <c r="B232">
        <f t="shared" ca="1" si="3"/>
        <v>46</v>
      </c>
      <c r="D232" s="84" t="s">
        <v>1137</v>
      </c>
      <c r="E232" s="84" t="s">
        <v>126</v>
      </c>
      <c r="F232" t="s">
        <v>32</v>
      </c>
      <c r="G232" s="61">
        <v>670000</v>
      </c>
      <c r="H232" s="63">
        <v>670000</v>
      </c>
      <c r="I232" t="s">
        <v>39</v>
      </c>
      <c r="J232" t="s">
        <v>44</v>
      </c>
      <c r="K232" s="198" t="s">
        <v>3009</v>
      </c>
      <c r="M232" t="s">
        <v>54</v>
      </c>
      <c r="N2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2" t="s">
        <v>57</v>
      </c>
      <c r="Q232" t="s">
        <v>61</v>
      </c>
      <c r="R232" t="s">
        <v>61</v>
      </c>
      <c r="S232" t="s">
        <v>64</v>
      </c>
      <c r="T232" t="s">
        <v>69</v>
      </c>
      <c r="U232" s="79">
        <v>30</v>
      </c>
      <c r="V232" t="s">
        <v>74</v>
      </c>
      <c r="W232" t="s">
        <v>3139</v>
      </c>
      <c r="X232" t="s">
        <v>2696</v>
      </c>
    </row>
    <row r="233" spans="1:24" ht="199.5" x14ac:dyDescent="0.2">
      <c r="A233" s="84" t="s">
        <v>1141</v>
      </c>
      <c r="B233">
        <f t="shared" ca="1" si="3"/>
        <v>45</v>
      </c>
      <c r="C233" s="54" t="s">
        <v>3340</v>
      </c>
      <c r="D233" s="84" t="s">
        <v>1140</v>
      </c>
      <c r="E233" s="84" t="s">
        <v>125</v>
      </c>
      <c r="F233" t="s">
        <v>32</v>
      </c>
      <c r="G233" s="61">
        <v>577000</v>
      </c>
      <c r="H233" s="63">
        <v>577000</v>
      </c>
      <c r="I233" t="s">
        <v>39</v>
      </c>
      <c r="J233" t="s">
        <v>44</v>
      </c>
      <c r="K233" s="198" t="s">
        <v>3010</v>
      </c>
      <c r="M233" t="s">
        <v>54</v>
      </c>
      <c r="N2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3" t="s">
        <v>57</v>
      </c>
      <c r="Q233" t="s">
        <v>61</v>
      </c>
      <c r="R233" t="s">
        <v>61</v>
      </c>
      <c r="S233" t="s">
        <v>64</v>
      </c>
      <c r="T233" t="s">
        <v>69</v>
      </c>
      <c r="U233" s="79">
        <v>30</v>
      </c>
      <c r="V233" t="s">
        <v>74</v>
      </c>
      <c r="W233" t="s">
        <v>3139</v>
      </c>
      <c r="X233" t="s">
        <v>2697</v>
      </c>
    </row>
    <row r="234" spans="1:24" ht="199.5" x14ac:dyDescent="0.2">
      <c r="A234" s="84" t="s">
        <v>1144</v>
      </c>
      <c r="B234">
        <f t="shared" ca="1" si="3"/>
        <v>53</v>
      </c>
      <c r="C234" s="54" t="s">
        <v>3341</v>
      </c>
      <c r="D234" s="84" t="s">
        <v>1143</v>
      </c>
      <c r="E234" s="84" t="s">
        <v>169</v>
      </c>
      <c r="F234" t="s">
        <v>32</v>
      </c>
      <c r="G234" s="61">
        <v>810000</v>
      </c>
      <c r="H234" s="63">
        <v>810000</v>
      </c>
      <c r="I234" t="s">
        <v>39</v>
      </c>
      <c r="J234" t="s">
        <v>44</v>
      </c>
      <c r="K234" s="198" t="s">
        <v>3011</v>
      </c>
      <c r="M234" t="s">
        <v>54</v>
      </c>
      <c r="N2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4" t="s">
        <v>57</v>
      </c>
      <c r="Q234" t="s">
        <v>61</v>
      </c>
      <c r="R234" t="s">
        <v>61</v>
      </c>
      <c r="S234" t="s">
        <v>64</v>
      </c>
      <c r="T234" t="s">
        <v>69</v>
      </c>
      <c r="U234" s="79">
        <v>30</v>
      </c>
      <c r="V234" t="s">
        <v>74</v>
      </c>
      <c r="W234" t="s">
        <v>3139</v>
      </c>
      <c r="X234" t="s">
        <v>2698</v>
      </c>
    </row>
    <row r="235" spans="1:24" ht="185.25" x14ac:dyDescent="0.2">
      <c r="A235" s="84" t="s">
        <v>1147</v>
      </c>
      <c r="B235">
        <f t="shared" ca="1" si="3"/>
        <v>33</v>
      </c>
      <c r="C235" s="54" t="s">
        <v>3342</v>
      </c>
      <c r="D235" s="84" t="s">
        <v>1146</v>
      </c>
      <c r="E235" s="84" t="s">
        <v>125</v>
      </c>
      <c r="F235" t="s">
        <v>32</v>
      </c>
      <c r="G235" s="61">
        <v>810000</v>
      </c>
      <c r="H235" s="63">
        <v>810000</v>
      </c>
      <c r="I235" t="s">
        <v>39</v>
      </c>
      <c r="J235" t="s">
        <v>44</v>
      </c>
      <c r="K235" s="198" t="s">
        <v>3012</v>
      </c>
      <c r="M235" t="s">
        <v>54</v>
      </c>
      <c r="N2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5" t="s">
        <v>57</v>
      </c>
      <c r="Q235" t="s">
        <v>61</v>
      </c>
      <c r="R235" t="s">
        <v>61</v>
      </c>
      <c r="S235" t="s">
        <v>64</v>
      </c>
      <c r="T235" t="s">
        <v>69</v>
      </c>
      <c r="U235" s="79">
        <v>30</v>
      </c>
      <c r="V235" t="s">
        <v>74</v>
      </c>
      <c r="W235" t="s">
        <v>3139</v>
      </c>
      <c r="X235" t="s">
        <v>1150</v>
      </c>
    </row>
    <row r="236" spans="1:24" ht="199.5" x14ac:dyDescent="0.2">
      <c r="A236" s="84" t="s">
        <v>1154</v>
      </c>
      <c r="B236">
        <f t="shared" ca="1" si="3"/>
        <v>46</v>
      </c>
      <c r="C236" s="54" t="s">
        <v>3343</v>
      </c>
      <c r="D236" s="84" t="s">
        <v>1153</v>
      </c>
      <c r="E236" s="84" t="s">
        <v>126</v>
      </c>
      <c r="F236" t="s">
        <v>32</v>
      </c>
      <c r="G236" s="61">
        <v>798000</v>
      </c>
      <c r="H236" s="63">
        <v>798000</v>
      </c>
      <c r="I236" t="s">
        <v>39</v>
      </c>
      <c r="J236" t="s">
        <v>44</v>
      </c>
      <c r="K236" s="198" t="s">
        <v>3013</v>
      </c>
      <c r="M236" t="s">
        <v>54</v>
      </c>
      <c r="N2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6" t="s">
        <v>57</v>
      </c>
      <c r="Q236" t="s">
        <v>61</v>
      </c>
      <c r="R236" t="s">
        <v>61</v>
      </c>
      <c r="S236" t="s">
        <v>64</v>
      </c>
      <c r="T236" t="s">
        <v>69</v>
      </c>
      <c r="U236" s="79">
        <v>30</v>
      </c>
      <c r="V236" t="s">
        <v>74</v>
      </c>
      <c r="W236" t="s">
        <v>3139</v>
      </c>
      <c r="X236" t="s">
        <v>2699</v>
      </c>
    </row>
    <row r="237" spans="1:24" ht="199.5" x14ac:dyDescent="0.2">
      <c r="A237" s="84" t="s">
        <v>1157</v>
      </c>
      <c r="B237">
        <f t="shared" ca="1" si="3"/>
        <v>55</v>
      </c>
      <c r="C237" s="54" t="s">
        <v>3344</v>
      </c>
      <c r="D237" s="84" t="s">
        <v>1156</v>
      </c>
      <c r="E237" s="84" t="s">
        <v>126</v>
      </c>
      <c r="F237" t="s">
        <v>32</v>
      </c>
      <c r="G237" s="61">
        <v>589000</v>
      </c>
      <c r="H237" s="63">
        <v>589000</v>
      </c>
      <c r="I237" t="s">
        <v>39</v>
      </c>
      <c r="J237" t="s">
        <v>44</v>
      </c>
      <c r="K237" s="198" t="s">
        <v>3014</v>
      </c>
      <c r="M237" t="s">
        <v>54</v>
      </c>
      <c r="N2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7" t="s">
        <v>57</v>
      </c>
      <c r="Q237" t="s">
        <v>61</v>
      </c>
      <c r="R237" t="s">
        <v>61</v>
      </c>
      <c r="S237" t="s">
        <v>64</v>
      </c>
      <c r="T237" t="s">
        <v>69</v>
      </c>
      <c r="U237" s="79">
        <v>30</v>
      </c>
      <c r="V237" t="s">
        <v>74</v>
      </c>
      <c r="W237" t="s">
        <v>3139</v>
      </c>
      <c r="X237" t="s">
        <v>2700</v>
      </c>
    </row>
    <row r="238" spans="1:24" ht="199.5" x14ac:dyDescent="0.2">
      <c r="A238" s="84" t="s">
        <v>1160</v>
      </c>
      <c r="B238">
        <f t="shared" ca="1" si="3"/>
        <v>48</v>
      </c>
      <c r="C238" s="54" t="s">
        <v>3345</v>
      </c>
      <c r="D238" s="84" t="s">
        <v>1159</v>
      </c>
      <c r="E238" s="84" t="s">
        <v>125</v>
      </c>
      <c r="F238" t="s">
        <v>32</v>
      </c>
      <c r="G238" s="61">
        <v>659000</v>
      </c>
      <c r="H238" s="63">
        <v>659000</v>
      </c>
      <c r="I238" t="s">
        <v>39</v>
      </c>
      <c r="J238" t="s">
        <v>44</v>
      </c>
      <c r="K238" s="198" t="s">
        <v>3015</v>
      </c>
      <c r="M238" t="s">
        <v>54</v>
      </c>
      <c r="N2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8" t="s">
        <v>57</v>
      </c>
      <c r="Q238" t="s">
        <v>61</v>
      </c>
      <c r="R238" t="s">
        <v>61</v>
      </c>
      <c r="S238" t="s">
        <v>64</v>
      </c>
      <c r="T238" t="s">
        <v>69</v>
      </c>
      <c r="U238" s="79">
        <v>30</v>
      </c>
      <c r="V238" t="s">
        <v>74</v>
      </c>
      <c r="W238" t="s">
        <v>3139</v>
      </c>
      <c r="X238" t="s">
        <v>2701</v>
      </c>
    </row>
    <row r="239" spans="1:24" ht="199.5" x14ac:dyDescent="0.2">
      <c r="A239" s="84" t="s">
        <v>1163</v>
      </c>
      <c r="B239">
        <f t="shared" ca="1" si="3"/>
        <v>50</v>
      </c>
      <c r="C239" s="54" t="s">
        <v>3346</v>
      </c>
      <c r="D239" s="84" t="s">
        <v>1162</v>
      </c>
      <c r="E239" s="84" t="s">
        <v>125</v>
      </c>
      <c r="F239" t="s">
        <v>32</v>
      </c>
      <c r="G239" s="61">
        <v>566000</v>
      </c>
      <c r="H239" s="63">
        <v>566000</v>
      </c>
      <c r="I239" t="s">
        <v>39</v>
      </c>
      <c r="J239" t="s">
        <v>44</v>
      </c>
      <c r="K239" s="198" t="s">
        <v>3016</v>
      </c>
      <c r="M239" t="s">
        <v>54</v>
      </c>
      <c r="N2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39" t="s">
        <v>57</v>
      </c>
      <c r="Q239" t="s">
        <v>61</v>
      </c>
      <c r="R239" t="s">
        <v>61</v>
      </c>
      <c r="S239" t="s">
        <v>64</v>
      </c>
      <c r="T239" t="s">
        <v>69</v>
      </c>
      <c r="U239" s="79">
        <v>30</v>
      </c>
      <c r="V239" t="s">
        <v>74</v>
      </c>
      <c r="W239" t="s">
        <v>3139</v>
      </c>
      <c r="X239" t="s">
        <v>2702</v>
      </c>
    </row>
    <row r="240" spans="1:24" ht="199.5" x14ac:dyDescent="0.2">
      <c r="A240" s="84" t="s">
        <v>1166</v>
      </c>
      <c r="B240">
        <f t="shared" ca="1" si="3"/>
        <v>46</v>
      </c>
      <c r="C240" s="54" t="s">
        <v>3347</v>
      </c>
      <c r="D240" s="84" t="s">
        <v>1165</v>
      </c>
      <c r="E240" s="84" t="s">
        <v>126</v>
      </c>
      <c r="F240" t="s">
        <v>32</v>
      </c>
      <c r="G240" s="61">
        <v>950000</v>
      </c>
      <c r="H240" s="63">
        <v>950000</v>
      </c>
      <c r="I240" t="s">
        <v>39</v>
      </c>
      <c r="J240" t="s">
        <v>44</v>
      </c>
      <c r="K240" s="198" t="s">
        <v>3017</v>
      </c>
      <c r="M240" t="s">
        <v>54</v>
      </c>
      <c r="N2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0" t="s">
        <v>57</v>
      </c>
      <c r="Q240" t="s">
        <v>61</v>
      </c>
      <c r="R240" t="s">
        <v>61</v>
      </c>
      <c r="S240" t="s">
        <v>64</v>
      </c>
      <c r="T240" t="s">
        <v>69</v>
      </c>
      <c r="U240" s="79">
        <v>30</v>
      </c>
      <c r="V240" t="s">
        <v>74</v>
      </c>
      <c r="W240" t="s">
        <v>3139</v>
      </c>
      <c r="X240" t="s">
        <v>2703</v>
      </c>
    </row>
    <row r="241" spans="1:24" ht="199.5" x14ac:dyDescent="0.2">
      <c r="A241" s="84" t="s">
        <v>1169</v>
      </c>
      <c r="B241">
        <f t="shared" ca="1" si="3"/>
        <v>54</v>
      </c>
      <c r="C241" s="54" t="s">
        <v>3348</v>
      </c>
      <c r="D241" s="84" t="s">
        <v>1168</v>
      </c>
      <c r="E241" s="84" t="s">
        <v>427</v>
      </c>
      <c r="F241" t="s">
        <v>32</v>
      </c>
      <c r="G241" s="61">
        <v>752000</v>
      </c>
      <c r="H241" s="63">
        <v>752000</v>
      </c>
      <c r="I241" t="s">
        <v>39</v>
      </c>
      <c r="J241" t="s">
        <v>44</v>
      </c>
      <c r="K241" s="198" t="s">
        <v>3018</v>
      </c>
      <c r="M241" t="s">
        <v>54</v>
      </c>
      <c r="N2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1" t="s">
        <v>57</v>
      </c>
      <c r="Q241" t="s">
        <v>61</v>
      </c>
      <c r="R241" t="s">
        <v>61</v>
      </c>
      <c r="S241" t="s">
        <v>64</v>
      </c>
      <c r="T241" t="s">
        <v>69</v>
      </c>
      <c r="U241" s="79">
        <v>30</v>
      </c>
      <c r="V241" t="s">
        <v>74</v>
      </c>
      <c r="W241" t="s">
        <v>3139</v>
      </c>
      <c r="X241" t="s">
        <v>2704</v>
      </c>
    </row>
    <row r="242" spans="1:24" ht="199.5" x14ac:dyDescent="0.2">
      <c r="A242" s="84" t="s">
        <v>2543</v>
      </c>
      <c r="B242">
        <f t="shared" ca="1" si="3"/>
        <v>58</v>
      </c>
      <c r="C242" s="54" t="s">
        <v>3349</v>
      </c>
      <c r="D242" s="84" t="s">
        <v>1171</v>
      </c>
      <c r="E242" s="84" t="s">
        <v>169</v>
      </c>
      <c r="F242" t="s">
        <v>32</v>
      </c>
      <c r="G242" s="61">
        <v>589000</v>
      </c>
      <c r="H242" s="63">
        <v>589000</v>
      </c>
      <c r="I242" t="s">
        <v>39</v>
      </c>
      <c r="J242" t="s">
        <v>44</v>
      </c>
      <c r="K242" s="198" t="s">
        <v>3019</v>
      </c>
      <c r="M242" t="s">
        <v>54</v>
      </c>
      <c r="N2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2" t="s">
        <v>57</v>
      </c>
      <c r="Q242" t="s">
        <v>61</v>
      </c>
      <c r="R242" t="s">
        <v>61</v>
      </c>
      <c r="S242" t="s">
        <v>64</v>
      </c>
      <c r="T242" t="s">
        <v>69</v>
      </c>
      <c r="U242" s="79">
        <v>30</v>
      </c>
      <c r="V242" t="s">
        <v>74</v>
      </c>
      <c r="W242" t="s">
        <v>3139</v>
      </c>
      <c r="X242" t="s">
        <v>2705</v>
      </c>
    </row>
    <row r="243" spans="1:24" ht="199.5" x14ac:dyDescent="0.2">
      <c r="A243" s="84" t="s">
        <v>1175</v>
      </c>
      <c r="B243">
        <f t="shared" ca="1" si="3"/>
        <v>41</v>
      </c>
      <c r="D243" s="84" t="s">
        <v>1174</v>
      </c>
      <c r="E243" s="84" t="s">
        <v>126</v>
      </c>
      <c r="F243" t="s">
        <v>32</v>
      </c>
      <c r="G243" s="61">
        <v>312000</v>
      </c>
      <c r="H243" s="63">
        <v>312000</v>
      </c>
      <c r="I243" t="s">
        <v>39</v>
      </c>
      <c r="J243" t="s">
        <v>44</v>
      </c>
      <c r="K243" s="198" t="s">
        <v>3020</v>
      </c>
      <c r="M243" t="s">
        <v>54</v>
      </c>
      <c r="N2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3" t="s">
        <v>57</v>
      </c>
      <c r="Q243" t="s">
        <v>61</v>
      </c>
      <c r="R243" t="s">
        <v>61</v>
      </c>
      <c r="S243" t="s">
        <v>64</v>
      </c>
      <c r="T243" t="s">
        <v>69</v>
      </c>
      <c r="U243" s="79">
        <v>30</v>
      </c>
      <c r="V243" t="s">
        <v>74</v>
      </c>
      <c r="W243" t="s">
        <v>3139</v>
      </c>
      <c r="X243" t="s">
        <v>2706</v>
      </c>
    </row>
    <row r="244" spans="1:24" ht="199.5" x14ac:dyDescent="0.2">
      <c r="A244" s="84" t="s">
        <v>2544</v>
      </c>
      <c r="B244">
        <f t="shared" ca="1" si="3"/>
        <v>49</v>
      </c>
      <c r="C244" s="54" t="s">
        <v>3350</v>
      </c>
      <c r="D244" s="84" t="s">
        <v>1179</v>
      </c>
      <c r="E244" s="84" t="s">
        <v>125</v>
      </c>
      <c r="F244" t="s">
        <v>32</v>
      </c>
      <c r="G244" s="61">
        <v>566000</v>
      </c>
      <c r="H244" s="63">
        <v>566000</v>
      </c>
      <c r="I244" t="s">
        <v>39</v>
      </c>
      <c r="J244" t="s">
        <v>44</v>
      </c>
      <c r="K244" s="198" t="s">
        <v>3021</v>
      </c>
      <c r="M244" t="s">
        <v>54</v>
      </c>
      <c r="N2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4" t="s">
        <v>57</v>
      </c>
      <c r="Q244" t="s">
        <v>61</v>
      </c>
      <c r="R244" t="s">
        <v>61</v>
      </c>
      <c r="S244" t="s">
        <v>64</v>
      </c>
      <c r="T244" t="s">
        <v>69</v>
      </c>
      <c r="U244" s="79">
        <v>30</v>
      </c>
      <c r="V244" t="s">
        <v>74</v>
      </c>
      <c r="W244" t="s">
        <v>3139</v>
      </c>
      <c r="X244" t="s">
        <v>2707</v>
      </c>
    </row>
    <row r="245" spans="1:24" ht="199.5" x14ac:dyDescent="0.2">
      <c r="A245" s="84" t="s">
        <v>1183</v>
      </c>
      <c r="B245">
        <f t="shared" ca="1" si="3"/>
        <v>48</v>
      </c>
      <c r="C245" s="54" t="s">
        <v>3351</v>
      </c>
      <c r="D245" s="84" t="s">
        <v>1182</v>
      </c>
      <c r="E245" s="84" t="s">
        <v>169</v>
      </c>
      <c r="F245" t="s">
        <v>32</v>
      </c>
      <c r="G245" s="61">
        <v>426000</v>
      </c>
      <c r="H245" s="63">
        <v>426000</v>
      </c>
      <c r="I245" t="s">
        <v>39</v>
      </c>
      <c r="J245" t="s">
        <v>45</v>
      </c>
      <c r="K245" s="198" t="s">
        <v>3022</v>
      </c>
      <c r="M245" t="s">
        <v>54</v>
      </c>
      <c r="N2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5" t="s">
        <v>57</v>
      </c>
      <c r="Q245" t="s">
        <v>61</v>
      </c>
      <c r="R245" t="s">
        <v>61</v>
      </c>
      <c r="S245" t="s">
        <v>64</v>
      </c>
      <c r="T245" t="s">
        <v>69</v>
      </c>
      <c r="U245" s="79">
        <v>90</v>
      </c>
      <c r="V245" t="s">
        <v>74</v>
      </c>
      <c r="W245" t="s">
        <v>3139</v>
      </c>
      <c r="X245" t="s">
        <v>2708</v>
      </c>
    </row>
    <row r="246" spans="1:24" ht="199.5" x14ac:dyDescent="0.2">
      <c r="A246" s="84" t="s">
        <v>1186</v>
      </c>
      <c r="B246">
        <f t="shared" ca="1" si="3"/>
        <v>50</v>
      </c>
      <c r="C246" s="54" t="s">
        <v>3352</v>
      </c>
      <c r="D246" s="84" t="s">
        <v>1185</v>
      </c>
      <c r="E246" s="84" t="s">
        <v>169</v>
      </c>
      <c r="F246" t="s">
        <v>32</v>
      </c>
      <c r="G246" s="61">
        <v>752000</v>
      </c>
      <c r="H246" s="63">
        <v>752000</v>
      </c>
      <c r="I246" t="s">
        <v>39</v>
      </c>
      <c r="J246" t="s">
        <v>44</v>
      </c>
      <c r="K246" s="198" t="s">
        <v>3023</v>
      </c>
      <c r="M246" t="s">
        <v>54</v>
      </c>
      <c r="N2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6" t="s">
        <v>57</v>
      </c>
      <c r="Q246" t="s">
        <v>61</v>
      </c>
      <c r="R246" t="s">
        <v>61</v>
      </c>
      <c r="S246" t="s">
        <v>64</v>
      </c>
      <c r="T246" t="s">
        <v>69</v>
      </c>
      <c r="U246" s="79">
        <v>30</v>
      </c>
      <c r="V246" t="s">
        <v>74</v>
      </c>
      <c r="W246" t="s">
        <v>3139</v>
      </c>
      <c r="X246" t="s">
        <v>2709</v>
      </c>
    </row>
    <row r="247" spans="1:24" ht="199.5" x14ac:dyDescent="0.2">
      <c r="A247" s="84" t="s">
        <v>1189</v>
      </c>
      <c r="B247">
        <f t="shared" ca="1" si="3"/>
        <v>49</v>
      </c>
      <c r="C247" s="54" t="s">
        <v>3353</v>
      </c>
      <c r="D247" s="84" t="s">
        <v>1188</v>
      </c>
      <c r="E247" s="84" t="s">
        <v>126</v>
      </c>
      <c r="F247" t="s">
        <v>32</v>
      </c>
      <c r="G247" s="61">
        <v>531000</v>
      </c>
      <c r="H247" s="63">
        <v>531000</v>
      </c>
      <c r="I247" t="s">
        <v>39</v>
      </c>
      <c r="J247" t="s">
        <v>44</v>
      </c>
      <c r="K247" s="198" t="s">
        <v>3024</v>
      </c>
      <c r="M247" t="s">
        <v>54</v>
      </c>
      <c r="N2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7" t="s">
        <v>57</v>
      </c>
      <c r="Q247" t="s">
        <v>61</v>
      </c>
      <c r="R247" t="s">
        <v>61</v>
      </c>
      <c r="S247" t="s">
        <v>64</v>
      </c>
      <c r="T247" t="s">
        <v>69</v>
      </c>
      <c r="U247" s="79">
        <v>30</v>
      </c>
      <c r="V247" t="s">
        <v>74</v>
      </c>
      <c r="W247" t="s">
        <v>3139</v>
      </c>
      <c r="X247" t="s">
        <v>1190</v>
      </c>
    </row>
    <row r="248" spans="1:24" ht="199.5" x14ac:dyDescent="0.2">
      <c r="A248" s="84" t="s">
        <v>1192</v>
      </c>
      <c r="B248">
        <f t="shared" ca="1" si="3"/>
        <v>50</v>
      </c>
      <c r="C248" s="54" t="s">
        <v>3354</v>
      </c>
      <c r="D248" s="84" t="s">
        <v>1191</v>
      </c>
      <c r="E248" s="84" t="s">
        <v>125</v>
      </c>
      <c r="F248" t="s">
        <v>32</v>
      </c>
      <c r="G248" s="61">
        <v>659000</v>
      </c>
      <c r="H248" s="63">
        <v>659000</v>
      </c>
      <c r="I248" t="s">
        <v>39</v>
      </c>
      <c r="J248" t="s">
        <v>44</v>
      </c>
      <c r="K248" s="198" t="s">
        <v>3025</v>
      </c>
      <c r="M248" t="s">
        <v>54</v>
      </c>
      <c r="N2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8" t="s">
        <v>57</v>
      </c>
      <c r="Q248" t="s">
        <v>61</v>
      </c>
      <c r="R248" t="s">
        <v>61</v>
      </c>
      <c r="S248" t="s">
        <v>64</v>
      </c>
      <c r="T248" t="s">
        <v>69</v>
      </c>
      <c r="U248" s="79">
        <v>30</v>
      </c>
      <c r="V248" t="s">
        <v>74</v>
      </c>
      <c r="W248" t="s">
        <v>3139</v>
      </c>
      <c r="X248" t="s">
        <v>2710</v>
      </c>
    </row>
    <row r="249" spans="1:24" ht="199.5" x14ac:dyDescent="0.2">
      <c r="A249" s="84" t="s">
        <v>1195</v>
      </c>
      <c r="B249">
        <f t="shared" ca="1" si="3"/>
        <v>54</v>
      </c>
      <c r="C249" s="54" t="s">
        <v>3355</v>
      </c>
      <c r="D249" s="84" t="s">
        <v>1194</v>
      </c>
      <c r="E249" s="84" t="s">
        <v>126</v>
      </c>
      <c r="F249" t="s">
        <v>32</v>
      </c>
      <c r="G249" s="61">
        <v>386000</v>
      </c>
      <c r="H249" s="63">
        <v>386000</v>
      </c>
      <c r="I249" t="s">
        <v>39</v>
      </c>
      <c r="J249" t="s">
        <v>44</v>
      </c>
      <c r="K249" s="198" t="s">
        <v>3026</v>
      </c>
      <c r="M249" t="s">
        <v>54</v>
      </c>
      <c r="N2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49" t="s">
        <v>57</v>
      </c>
      <c r="Q249" t="s">
        <v>61</v>
      </c>
      <c r="R249" t="s">
        <v>61</v>
      </c>
      <c r="S249" t="s">
        <v>64</v>
      </c>
      <c r="T249" t="s">
        <v>69</v>
      </c>
      <c r="U249" s="79">
        <v>30</v>
      </c>
      <c r="V249" t="s">
        <v>74</v>
      </c>
      <c r="W249" t="s">
        <v>3139</v>
      </c>
      <c r="X249" t="s">
        <v>2711</v>
      </c>
    </row>
    <row r="250" spans="1:24" ht="199.5" x14ac:dyDescent="0.2">
      <c r="A250" s="84" t="s">
        <v>1200</v>
      </c>
      <c r="B250">
        <f t="shared" ca="1" si="3"/>
        <v>58</v>
      </c>
      <c r="C250" s="54" t="s">
        <v>3356</v>
      </c>
      <c r="D250" s="84" t="s">
        <v>1199</v>
      </c>
      <c r="E250" s="84" t="s">
        <v>200</v>
      </c>
      <c r="F250" t="s">
        <v>32</v>
      </c>
      <c r="G250" s="61">
        <v>950000</v>
      </c>
      <c r="H250" s="63">
        <v>950000</v>
      </c>
      <c r="I250" t="s">
        <v>39</v>
      </c>
      <c r="J250" t="s">
        <v>44</v>
      </c>
      <c r="K250" s="198" t="s">
        <v>3027</v>
      </c>
      <c r="M250" t="s">
        <v>54</v>
      </c>
      <c r="N2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0" t="s">
        <v>57</v>
      </c>
      <c r="Q250" t="s">
        <v>61</v>
      </c>
      <c r="R250" t="s">
        <v>61</v>
      </c>
      <c r="S250" t="s">
        <v>64</v>
      </c>
      <c r="T250" t="s">
        <v>69</v>
      </c>
      <c r="U250" s="79">
        <v>30</v>
      </c>
      <c r="V250" t="s">
        <v>74</v>
      </c>
      <c r="W250" t="s">
        <v>3139</v>
      </c>
      <c r="X250" t="s">
        <v>2712</v>
      </c>
    </row>
    <row r="251" spans="1:24" ht="199.5" x14ac:dyDescent="0.2">
      <c r="A251" s="84" t="s">
        <v>1203</v>
      </c>
      <c r="B251">
        <f t="shared" ca="1" si="3"/>
        <v>46</v>
      </c>
      <c r="C251" s="54" t="s">
        <v>3357</v>
      </c>
      <c r="D251" s="84" t="s">
        <v>1202</v>
      </c>
      <c r="E251" s="84" t="s">
        <v>125</v>
      </c>
      <c r="F251" t="s">
        <v>32</v>
      </c>
      <c r="G251" s="61">
        <v>624000</v>
      </c>
      <c r="H251" s="63">
        <v>624000</v>
      </c>
      <c r="I251" t="s">
        <v>39</v>
      </c>
      <c r="J251" t="s">
        <v>44</v>
      </c>
      <c r="K251" s="198" t="s">
        <v>3028</v>
      </c>
      <c r="M251" t="s">
        <v>54</v>
      </c>
      <c r="N2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1" t="s">
        <v>57</v>
      </c>
      <c r="Q251" t="s">
        <v>61</v>
      </c>
      <c r="R251" t="s">
        <v>61</v>
      </c>
      <c r="S251" t="s">
        <v>64</v>
      </c>
      <c r="T251" t="s">
        <v>69</v>
      </c>
      <c r="U251" s="79">
        <v>30</v>
      </c>
      <c r="V251" t="s">
        <v>74</v>
      </c>
      <c r="W251" t="s">
        <v>3139</v>
      </c>
      <c r="X251" t="s">
        <v>2713</v>
      </c>
    </row>
    <row r="252" spans="1:24" ht="199.5" x14ac:dyDescent="0.2">
      <c r="A252" s="84" t="s">
        <v>1206</v>
      </c>
      <c r="B252">
        <f t="shared" ca="1" si="3"/>
        <v>56</v>
      </c>
      <c r="C252" s="54" t="s">
        <v>3358</v>
      </c>
      <c r="D252" s="84" t="s">
        <v>1205</v>
      </c>
      <c r="E252" s="84" t="s">
        <v>200</v>
      </c>
      <c r="F252" t="s">
        <v>32</v>
      </c>
      <c r="G252" s="61">
        <v>450000</v>
      </c>
      <c r="H252" s="63">
        <v>450000</v>
      </c>
      <c r="I252" t="s">
        <v>39</v>
      </c>
      <c r="J252" t="s">
        <v>44</v>
      </c>
      <c r="K252" s="198" t="s">
        <v>3029</v>
      </c>
      <c r="M252" t="s">
        <v>54</v>
      </c>
      <c r="N2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2" t="s">
        <v>57</v>
      </c>
      <c r="Q252" t="s">
        <v>61</v>
      </c>
      <c r="R252" t="s">
        <v>61</v>
      </c>
      <c r="S252" t="s">
        <v>64</v>
      </c>
      <c r="T252" t="s">
        <v>69</v>
      </c>
      <c r="U252" s="79">
        <v>30</v>
      </c>
      <c r="V252" t="s">
        <v>74</v>
      </c>
      <c r="W252" t="s">
        <v>3139</v>
      </c>
      <c r="X252" t="s">
        <v>2714</v>
      </c>
    </row>
    <row r="253" spans="1:24" ht="199.5" x14ac:dyDescent="0.2">
      <c r="A253" s="84" t="s">
        <v>1209</v>
      </c>
      <c r="B253">
        <f t="shared" ca="1" si="3"/>
        <v>47</v>
      </c>
      <c r="C253" s="54" t="s">
        <v>3359</v>
      </c>
      <c r="D253" s="84" t="s">
        <v>1208</v>
      </c>
      <c r="E253" s="84" t="s">
        <v>126</v>
      </c>
      <c r="F253" t="s">
        <v>32</v>
      </c>
      <c r="G253" s="61">
        <v>409000</v>
      </c>
      <c r="H253" s="63">
        <v>409000</v>
      </c>
      <c r="I253" t="s">
        <v>39</v>
      </c>
      <c r="J253" t="s">
        <v>44</v>
      </c>
      <c r="K253" s="198" t="s">
        <v>3030</v>
      </c>
      <c r="M253" t="s">
        <v>54</v>
      </c>
      <c r="N2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3" t="s">
        <v>57</v>
      </c>
      <c r="Q253" t="s">
        <v>61</v>
      </c>
      <c r="R253" t="s">
        <v>61</v>
      </c>
      <c r="S253" t="s">
        <v>64</v>
      </c>
      <c r="T253" t="s">
        <v>69</v>
      </c>
      <c r="U253" s="79">
        <v>30</v>
      </c>
      <c r="V253" t="s">
        <v>74</v>
      </c>
      <c r="W253" t="s">
        <v>3139</v>
      </c>
      <c r="X253" t="s">
        <v>2715</v>
      </c>
    </row>
    <row r="254" spans="1:24" ht="199.5" x14ac:dyDescent="0.2">
      <c r="A254" s="84" t="s">
        <v>1214</v>
      </c>
      <c r="B254">
        <f t="shared" ca="1" si="3"/>
        <v>55</v>
      </c>
      <c r="C254" s="54" t="s">
        <v>3360</v>
      </c>
      <c r="D254" s="84" t="s">
        <v>1213</v>
      </c>
      <c r="E254" s="84" t="s">
        <v>126</v>
      </c>
      <c r="F254" t="s">
        <v>32</v>
      </c>
      <c r="G254" s="61">
        <v>670000</v>
      </c>
      <c r="H254" s="63">
        <v>670000</v>
      </c>
      <c r="I254" t="s">
        <v>39</v>
      </c>
      <c r="J254" t="s">
        <v>44</v>
      </c>
      <c r="K254" s="198" t="s">
        <v>3031</v>
      </c>
      <c r="M254" t="s">
        <v>54</v>
      </c>
      <c r="N2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4" t="s">
        <v>57</v>
      </c>
      <c r="Q254" t="s">
        <v>61</v>
      </c>
      <c r="R254" t="s">
        <v>61</v>
      </c>
      <c r="S254" t="s">
        <v>64</v>
      </c>
      <c r="T254" t="s">
        <v>69</v>
      </c>
      <c r="U254" s="79">
        <v>30</v>
      </c>
      <c r="V254" t="s">
        <v>74</v>
      </c>
      <c r="W254" t="s">
        <v>3139</v>
      </c>
      <c r="X254" t="s">
        <v>2716</v>
      </c>
    </row>
    <row r="255" spans="1:24" ht="199.5" x14ac:dyDescent="0.2">
      <c r="A255" s="84" t="s">
        <v>1217</v>
      </c>
      <c r="B255">
        <f t="shared" ca="1" si="3"/>
        <v>34</v>
      </c>
      <c r="C255" s="54" t="s">
        <v>3361</v>
      </c>
      <c r="D255" s="84" t="s">
        <v>1216</v>
      </c>
      <c r="E255" s="84" t="s">
        <v>125</v>
      </c>
      <c r="F255" t="s">
        <v>32</v>
      </c>
      <c r="G255" s="61">
        <v>386000</v>
      </c>
      <c r="H255" s="63">
        <v>386000</v>
      </c>
      <c r="I255" t="s">
        <v>39</v>
      </c>
      <c r="J255" t="s">
        <v>44</v>
      </c>
      <c r="K255" s="198" t="s">
        <v>3032</v>
      </c>
      <c r="M255" t="s">
        <v>54</v>
      </c>
      <c r="N2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5" t="s">
        <v>57</v>
      </c>
      <c r="Q255" t="s">
        <v>61</v>
      </c>
      <c r="R255" t="s">
        <v>61</v>
      </c>
      <c r="S255" t="s">
        <v>64</v>
      </c>
      <c r="T255" t="s">
        <v>69</v>
      </c>
      <c r="U255" s="79">
        <v>30</v>
      </c>
      <c r="V255" t="s">
        <v>74</v>
      </c>
      <c r="W255" t="s">
        <v>3139</v>
      </c>
      <c r="X255" t="s">
        <v>1218</v>
      </c>
    </row>
    <row r="256" spans="1:24" ht="199.5" x14ac:dyDescent="0.2">
      <c r="A256" s="84" t="s">
        <v>1220</v>
      </c>
      <c r="B256">
        <f t="shared" ca="1" si="3"/>
        <v>42</v>
      </c>
      <c r="C256" s="54" t="s">
        <v>3362</v>
      </c>
      <c r="D256" s="84" t="s">
        <v>1219</v>
      </c>
      <c r="E256" s="84" t="s">
        <v>200</v>
      </c>
      <c r="F256" t="s">
        <v>32</v>
      </c>
      <c r="G256" s="61">
        <v>404000</v>
      </c>
      <c r="H256" s="63">
        <v>404000</v>
      </c>
      <c r="I256" t="s">
        <v>39</v>
      </c>
      <c r="J256" t="s">
        <v>44</v>
      </c>
      <c r="K256" s="198" t="s">
        <v>3033</v>
      </c>
      <c r="M256" t="s">
        <v>54</v>
      </c>
      <c r="N2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6" t="s">
        <v>57</v>
      </c>
      <c r="Q256" t="s">
        <v>61</v>
      </c>
      <c r="R256" t="s">
        <v>61</v>
      </c>
      <c r="S256" t="s">
        <v>64</v>
      </c>
      <c r="T256" t="s">
        <v>69</v>
      </c>
      <c r="U256" s="79">
        <v>30</v>
      </c>
      <c r="V256" t="s">
        <v>74</v>
      </c>
      <c r="W256" t="s">
        <v>3139</v>
      </c>
      <c r="X256" t="s">
        <v>2717</v>
      </c>
    </row>
    <row r="257" spans="1:24" ht="199.5" x14ac:dyDescent="0.2">
      <c r="A257" s="84" t="s">
        <v>1225</v>
      </c>
      <c r="B257">
        <f t="shared" ca="1" si="3"/>
        <v>45</v>
      </c>
      <c r="C257" s="54" t="s">
        <v>3363</v>
      </c>
      <c r="D257" s="84" t="s">
        <v>1224</v>
      </c>
      <c r="E257" s="84" t="s">
        <v>200</v>
      </c>
      <c r="F257" t="s">
        <v>32</v>
      </c>
      <c r="G257" s="61">
        <v>386000</v>
      </c>
      <c r="H257" s="63">
        <v>386000</v>
      </c>
      <c r="I257" t="s">
        <v>39</v>
      </c>
      <c r="J257" t="s">
        <v>44</v>
      </c>
      <c r="K257" s="198" t="s">
        <v>3034</v>
      </c>
      <c r="M257" t="s">
        <v>54</v>
      </c>
      <c r="N2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7" t="s">
        <v>57</v>
      </c>
      <c r="Q257" t="s">
        <v>61</v>
      </c>
      <c r="R257" t="s">
        <v>61</v>
      </c>
      <c r="S257" t="s">
        <v>64</v>
      </c>
      <c r="T257" t="s">
        <v>69</v>
      </c>
      <c r="U257" s="79">
        <v>30</v>
      </c>
      <c r="V257" t="s">
        <v>74</v>
      </c>
      <c r="W257" t="s">
        <v>3139</v>
      </c>
      <c r="X257" t="s">
        <v>2718</v>
      </c>
    </row>
    <row r="258" spans="1:24" ht="199.5" x14ac:dyDescent="0.2">
      <c r="A258" s="84" t="s">
        <v>1228</v>
      </c>
      <c r="B258">
        <f t="shared" ca="1" si="3"/>
        <v>40</v>
      </c>
      <c r="C258" s="54" t="s">
        <v>3364</v>
      </c>
      <c r="D258" s="84" t="s">
        <v>1227</v>
      </c>
      <c r="E258" s="84" t="s">
        <v>125</v>
      </c>
      <c r="F258" t="s">
        <v>32</v>
      </c>
      <c r="G258" s="61">
        <v>651000</v>
      </c>
      <c r="H258" s="63">
        <v>651000</v>
      </c>
      <c r="I258" t="s">
        <v>39</v>
      </c>
      <c r="J258" t="s">
        <v>44</v>
      </c>
      <c r="K258" s="198" t="s">
        <v>3035</v>
      </c>
      <c r="M258" t="s">
        <v>54</v>
      </c>
      <c r="N2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8" t="s">
        <v>57</v>
      </c>
      <c r="Q258" t="s">
        <v>61</v>
      </c>
      <c r="R258" t="s">
        <v>61</v>
      </c>
      <c r="S258" t="s">
        <v>64</v>
      </c>
      <c r="T258" t="s">
        <v>69</v>
      </c>
      <c r="U258" s="79">
        <v>30</v>
      </c>
      <c r="V258" t="s">
        <v>74</v>
      </c>
      <c r="W258" t="s">
        <v>3139</v>
      </c>
      <c r="X258" t="s">
        <v>2719</v>
      </c>
    </row>
    <row r="259" spans="1:24" ht="199.5" x14ac:dyDescent="0.2">
      <c r="A259" s="84" t="s">
        <v>1233</v>
      </c>
      <c r="B259">
        <f t="shared" ca="1" si="3"/>
        <v>52</v>
      </c>
      <c r="C259" s="54" t="s">
        <v>3365</v>
      </c>
      <c r="D259" s="84" t="s">
        <v>1232</v>
      </c>
      <c r="E259" s="84" t="s">
        <v>125</v>
      </c>
      <c r="F259" t="s">
        <v>32</v>
      </c>
      <c r="G259" s="61">
        <v>657000</v>
      </c>
      <c r="H259" s="63">
        <v>657000</v>
      </c>
      <c r="I259" t="s">
        <v>39</v>
      </c>
      <c r="J259" t="s">
        <v>44</v>
      </c>
      <c r="K259" s="198" t="s">
        <v>3036</v>
      </c>
      <c r="M259" t="s">
        <v>54</v>
      </c>
      <c r="N2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59" t="s">
        <v>57</v>
      </c>
      <c r="Q259" t="s">
        <v>61</v>
      </c>
      <c r="R259" t="s">
        <v>61</v>
      </c>
      <c r="S259" t="s">
        <v>64</v>
      </c>
      <c r="T259" t="s">
        <v>69</v>
      </c>
      <c r="U259" s="79">
        <v>30</v>
      </c>
      <c r="V259" t="s">
        <v>74</v>
      </c>
      <c r="W259" t="s">
        <v>3139</v>
      </c>
      <c r="X259" t="s">
        <v>2720</v>
      </c>
    </row>
    <row r="260" spans="1:24" ht="199.5" x14ac:dyDescent="0.2">
      <c r="A260" s="84" t="s">
        <v>1238</v>
      </c>
      <c r="B260">
        <f t="shared" ca="1" si="3"/>
        <v>48</v>
      </c>
      <c r="C260" s="54" t="s">
        <v>3366</v>
      </c>
      <c r="D260" s="84" t="s">
        <v>1237</v>
      </c>
      <c r="E260" s="84" t="s">
        <v>125</v>
      </c>
      <c r="F260" t="s">
        <v>32</v>
      </c>
      <c r="G260" s="61">
        <v>749000</v>
      </c>
      <c r="H260" s="63">
        <v>749000</v>
      </c>
      <c r="I260" t="s">
        <v>39</v>
      </c>
      <c r="J260" t="s">
        <v>44</v>
      </c>
      <c r="K260" s="198" t="s">
        <v>3037</v>
      </c>
      <c r="M260" t="s">
        <v>54</v>
      </c>
      <c r="N2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0" t="s">
        <v>57</v>
      </c>
      <c r="Q260" t="s">
        <v>61</v>
      </c>
      <c r="R260" t="s">
        <v>61</v>
      </c>
      <c r="S260" t="s">
        <v>64</v>
      </c>
      <c r="T260" t="s">
        <v>69</v>
      </c>
      <c r="U260" s="79">
        <v>30</v>
      </c>
      <c r="V260" t="s">
        <v>74</v>
      </c>
      <c r="W260" t="s">
        <v>3139</v>
      </c>
      <c r="X260" t="s">
        <v>2721</v>
      </c>
    </row>
    <row r="261" spans="1:24" ht="199.5" x14ac:dyDescent="0.2">
      <c r="A261" s="84" t="s">
        <v>1245</v>
      </c>
      <c r="B261">
        <f t="shared" ca="1" si="3"/>
        <v>53</v>
      </c>
      <c r="C261" s="54" t="s">
        <v>3367</v>
      </c>
      <c r="D261" s="84" t="s">
        <v>1244</v>
      </c>
      <c r="E261" s="84" t="s">
        <v>200</v>
      </c>
      <c r="F261" t="s">
        <v>32</v>
      </c>
      <c r="G261" s="61">
        <v>857000</v>
      </c>
      <c r="H261" s="63">
        <v>857000</v>
      </c>
      <c r="I261" t="s">
        <v>39</v>
      </c>
      <c r="J261" t="s">
        <v>44</v>
      </c>
      <c r="K261" s="198" t="s">
        <v>3038</v>
      </c>
      <c r="M261" t="s">
        <v>54</v>
      </c>
      <c r="N2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1" t="s">
        <v>57</v>
      </c>
      <c r="Q261" t="s">
        <v>61</v>
      </c>
      <c r="R261" t="s">
        <v>61</v>
      </c>
      <c r="S261" t="s">
        <v>64</v>
      </c>
      <c r="T261" t="s">
        <v>69</v>
      </c>
      <c r="U261" s="79">
        <v>30</v>
      </c>
      <c r="V261" t="s">
        <v>74</v>
      </c>
      <c r="W261" t="s">
        <v>3139</v>
      </c>
      <c r="X261" t="s">
        <v>2722</v>
      </c>
    </row>
    <row r="262" spans="1:24" ht="199.5" x14ac:dyDescent="0.2">
      <c r="A262" s="84" t="s">
        <v>1248</v>
      </c>
      <c r="B262">
        <f t="shared" ca="1" si="3"/>
        <v>42</v>
      </c>
      <c r="C262" s="54" t="s">
        <v>3368</v>
      </c>
      <c r="D262" s="84" t="s">
        <v>1247</v>
      </c>
      <c r="E262" s="84" t="s">
        <v>126</v>
      </c>
      <c r="F262" t="s">
        <v>32</v>
      </c>
      <c r="G262" s="61">
        <v>1061000</v>
      </c>
      <c r="H262" s="63">
        <v>1061000</v>
      </c>
      <c r="I262" t="s">
        <v>39</v>
      </c>
      <c r="J262" t="s">
        <v>44</v>
      </c>
      <c r="K262" s="198" t="s">
        <v>3039</v>
      </c>
      <c r="M262" t="s">
        <v>54</v>
      </c>
      <c r="N2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2" t="s">
        <v>57</v>
      </c>
      <c r="Q262" t="s">
        <v>61</v>
      </c>
      <c r="R262" t="s">
        <v>61</v>
      </c>
      <c r="S262" t="s">
        <v>64</v>
      </c>
      <c r="T262" t="s">
        <v>69</v>
      </c>
      <c r="U262" s="79">
        <v>30</v>
      </c>
      <c r="V262" t="s">
        <v>74</v>
      </c>
      <c r="W262" t="s">
        <v>3139</v>
      </c>
      <c r="X262" t="s">
        <v>2723</v>
      </c>
    </row>
    <row r="263" spans="1:24" ht="199.5" x14ac:dyDescent="0.2">
      <c r="A263" s="84" t="s">
        <v>1255</v>
      </c>
      <c r="B263">
        <f t="shared" ref="B263:B326" ca="1" si="4">LEN(INDIRECT(ADDRESS(ROW() + (0),COLUMN() + (-1))))</f>
        <v>46</v>
      </c>
      <c r="C263" s="54" t="s">
        <v>3369</v>
      </c>
      <c r="D263" s="84" t="s">
        <v>1254</v>
      </c>
      <c r="E263" s="84" t="s">
        <v>125</v>
      </c>
      <c r="F263" t="s">
        <v>32</v>
      </c>
      <c r="G263" s="61">
        <v>415000</v>
      </c>
      <c r="H263" s="63">
        <v>415000</v>
      </c>
      <c r="I263" t="s">
        <v>39</v>
      </c>
      <c r="J263" t="s">
        <v>45</v>
      </c>
      <c r="K263" s="198" t="s">
        <v>3040</v>
      </c>
      <c r="M263" t="s">
        <v>54</v>
      </c>
      <c r="N2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3" t="s">
        <v>57</v>
      </c>
      <c r="Q263" t="s">
        <v>61</v>
      </c>
      <c r="R263" t="s">
        <v>61</v>
      </c>
      <c r="S263" t="s">
        <v>64</v>
      </c>
      <c r="T263" t="s">
        <v>69</v>
      </c>
      <c r="U263" s="79">
        <v>90</v>
      </c>
      <c r="V263" t="s">
        <v>74</v>
      </c>
      <c r="W263" t="s">
        <v>3139</v>
      </c>
      <c r="X263" t="s">
        <v>2724</v>
      </c>
    </row>
    <row r="264" spans="1:24" ht="199.5" x14ac:dyDescent="0.2">
      <c r="A264" s="84" t="s">
        <v>1258</v>
      </c>
      <c r="B264">
        <f t="shared" ca="1" si="4"/>
        <v>57</v>
      </c>
      <c r="C264" s="54" t="s">
        <v>3370</v>
      </c>
      <c r="D264" s="84" t="s">
        <v>1257</v>
      </c>
      <c r="E264" s="84" t="s">
        <v>264</v>
      </c>
      <c r="F264" t="s">
        <v>32</v>
      </c>
      <c r="G264" s="61">
        <v>589000</v>
      </c>
      <c r="H264" s="63">
        <v>589000</v>
      </c>
      <c r="I264" t="s">
        <v>39</v>
      </c>
      <c r="J264" t="s">
        <v>44</v>
      </c>
      <c r="K264" s="198" t="s">
        <v>3041</v>
      </c>
      <c r="M264" t="s">
        <v>54</v>
      </c>
      <c r="N2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4" t="s">
        <v>57</v>
      </c>
      <c r="Q264" t="s">
        <v>61</v>
      </c>
      <c r="R264" t="s">
        <v>61</v>
      </c>
      <c r="S264" t="s">
        <v>64</v>
      </c>
      <c r="T264" t="s">
        <v>69</v>
      </c>
      <c r="U264" s="79">
        <v>30</v>
      </c>
      <c r="V264" t="s">
        <v>74</v>
      </c>
      <c r="W264" t="s">
        <v>3139</v>
      </c>
      <c r="X264" t="s">
        <v>2725</v>
      </c>
    </row>
    <row r="265" spans="1:24" ht="199.5" x14ac:dyDescent="0.2">
      <c r="A265" s="84" t="s">
        <v>1261</v>
      </c>
      <c r="B265">
        <f t="shared" ca="1" si="4"/>
        <v>46</v>
      </c>
      <c r="C265" s="54" t="s">
        <v>3371</v>
      </c>
      <c r="D265" s="84" t="s">
        <v>1260</v>
      </c>
      <c r="E265" s="84" t="s">
        <v>126</v>
      </c>
      <c r="F265" t="s">
        <v>32</v>
      </c>
      <c r="G265" s="61">
        <v>333000</v>
      </c>
      <c r="H265" s="63">
        <v>333000</v>
      </c>
      <c r="I265" t="s">
        <v>39</v>
      </c>
      <c r="J265" t="s">
        <v>45</v>
      </c>
      <c r="K265" s="198" t="s">
        <v>3042</v>
      </c>
      <c r="M265" t="s">
        <v>54</v>
      </c>
      <c r="N2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5" t="s">
        <v>57</v>
      </c>
      <c r="Q265" t="s">
        <v>61</v>
      </c>
      <c r="R265" t="s">
        <v>61</v>
      </c>
      <c r="S265" t="s">
        <v>64</v>
      </c>
      <c r="T265" t="s">
        <v>69</v>
      </c>
      <c r="U265" s="79">
        <v>90</v>
      </c>
      <c r="V265" t="s">
        <v>74</v>
      </c>
      <c r="W265" t="s">
        <v>3139</v>
      </c>
      <c r="X265" t="s">
        <v>2726</v>
      </c>
    </row>
    <row r="266" spans="1:24" ht="199.5" x14ac:dyDescent="0.2">
      <c r="A266" s="84" t="s">
        <v>1264</v>
      </c>
      <c r="B266">
        <f t="shared" ca="1" si="4"/>
        <v>54</v>
      </c>
      <c r="C266" s="54" t="s">
        <v>3372</v>
      </c>
      <c r="D266" s="84" t="s">
        <v>1263</v>
      </c>
      <c r="E266" s="84" t="s">
        <v>125</v>
      </c>
      <c r="F266" t="s">
        <v>32</v>
      </c>
      <c r="G266" s="61">
        <v>501000</v>
      </c>
      <c r="H266" s="63">
        <v>501000</v>
      </c>
      <c r="I266" t="s">
        <v>39</v>
      </c>
      <c r="J266" t="s">
        <v>45</v>
      </c>
      <c r="K266" s="198" t="s">
        <v>3043</v>
      </c>
      <c r="M266" t="s">
        <v>54</v>
      </c>
      <c r="N2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6" t="s">
        <v>57</v>
      </c>
      <c r="Q266" t="s">
        <v>61</v>
      </c>
      <c r="R266" t="s">
        <v>61</v>
      </c>
      <c r="S266" t="s">
        <v>64</v>
      </c>
      <c r="T266" t="s">
        <v>69</v>
      </c>
      <c r="U266" s="79">
        <v>90</v>
      </c>
      <c r="V266" t="s">
        <v>74</v>
      </c>
      <c r="W266" t="s">
        <v>3139</v>
      </c>
      <c r="X266" t="s">
        <v>2727</v>
      </c>
    </row>
    <row r="267" spans="1:24" ht="199.5" x14ac:dyDescent="0.2">
      <c r="A267" s="84" t="s">
        <v>1267</v>
      </c>
      <c r="B267">
        <f t="shared" ca="1" si="4"/>
        <v>53</v>
      </c>
      <c r="C267" s="54" t="s">
        <v>3373</v>
      </c>
      <c r="D267" s="84" t="s">
        <v>1266</v>
      </c>
      <c r="E267" s="84" t="s">
        <v>125</v>
      </c>
      <c r="F267" t="s">
        <v>32</v>
      </c>
      <c r="G267" s="61">
        <v>333000</v>
      </c>
      <c r="H267" s="63">
        <v>333000</v>
      </c>
      <c r="I267" t="s">
        <v>39</v>
      </c>
      <c r="J267" t="s">
        <v>44</v>
      </c>
      <c r="K267" s="198" t="s">
        <v>3044</v>
      </c>
      <c r="M267" t="s">
        <v>54</v>
      </c>
      <c r="N2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7" t="s">
        <v>57</v>
      </c>
      <c r="Q267" t="s">
        <v>61</v>
      </c>
      <c r="R267" t="s">
        <v>61</v>
      </c>
      <c r="S267" t="s">
        <v>64</v>
      </c>
      <c r="T267" t="s">
        <v>69</v>
      </c>
      <c r="U267" s="79">
        <v>30</v>
      </c>
      <c r="V267" t="s">
        <v>74</v>
      </c>
      <c r="W267" t="s">
        <v>3139</v>
      </c>
      <c r="X267" t="s">
        <v>2728</v>
      </c>
    </row>
    <row r="268" spans="1:24" ht="199.5" x14ac:dyDescent="0.2">
      <c r="A268" s="84" t="s">
        <v>1270</v>
      </c>
      <c r="B268">
        <f t="shared" ca="1" si="4"/>
        <v>49</v>
      </c>
      <c r="D268" s="84" t="s">
        <v>1269</v>
      </c>
      <c r="E268" s="84" t="s">
        <v>126</v>
      </c>
      <c r="F268" t="s">
        <v>32</v>
      </c>
      <c r="G268" s="61">
        <v>334000</v>
      </c>
      <c r="H268" s="63">
        <v>334000</v>
      </c>
      <c r="I268" t="s">
        <v>39</v>
      </c>
      <c r="J268" t="s">
        <v>45</v>
      </c>
      <c r="K268" s="198" t="s">
        <v>3045</v>
      </c>
      <c r="M268" t="s">
        <v>54</v>
      </c>
      <c r="N2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8" t="s">
        <v>57</v>
      </c>
      <c r="Q268" t="s">
        <v>61</v>
      </c>
      <c r="R268" t="s">
        <v>61</v>
      </c>
      <c r="S268" t="s">
        <v>64</v>
      </c>
      <c r="T268" t="s">
        <v>69</v>
      </c>
      <c r="U268" s="79">
        <v>90</v>
      </c>
      <c r="V268" t="s">
        <v>74</v>
      </c>
      <c r="W268" t="s">
        <v>3139</v>
      </c>
      <c r="X268" t="s">
        <v>2729</v>
      </c>
    </row>
    <row r="269" spans="1:24" ht="199.5" x14ac:dyDescent="0.2">
      <c r="A269" s="84" t="s">
        <v>1276</v>
      </c>
      <c r="B269">
        <f t="shared" ca="1" si="4"/>
        <v>47</v>
      </c>
      <c r="C269" s="54" t="s">
        <v>3374</v>
      </c>
      <c r="D269" s="84" t="s">
        <v>1275</v>
      </c>
      <c r="E269" s="84" t="s">
        <v>126</v>
      </c>
      <c r="F269" t="s">
        <v>32</v>
      </c>
      <c r="G269" s="61">
        <v>822000</v>
      </c>
      <c r="H269" s="63">
        <v>822000</v>
      </c>
      <c r="I269" t="s">
        <v>39</v>
      </c>
      <c r="J269" t="s">
        <v>44</v>
      </c>
      <c r="K269" s="198" t="s">
        <v>3046</v>
      </c>
      <c r="M269" t="s">
        <v>54</v>
      </c>
      <c r="N2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69" t="s">
        <v>57</v>
      </c>
      <c r="Q269" t="s">
        <v>61</v>
      </c>
      <c r="R269" t="s">
        <v>61</v>
      </c>
      <c r="S269" t="s">
        <v>64</v>
      </c>
      <c r="T269" t="s">
        <v>69</v>
      </c>
      <c r="U269" s="79">
        <v>30</v>
      </c>
      <c r="V269" t="s">
        <v>74</v>
      </c>
      <c r="W269" t="s">
        <v>3139</v>
      </c>
      <c r="X269" t="s">
        <v>2730</v>
      </c>
    </row>
    <row r="270" spans="1:24" ht="199.5" x14ac:dyDescent="0.2">
      <c r="A270" s="84" t="s">
        <v>2545</v>
      </c>
      <c r="B270">
        <f t="shared" ca="1" si="4"/>
        <v>57</v>
      </c>
      <c r="C270" s="54" t="s">
        <v>3375</v>
      </c>
      <c r="D270" s="84" t="s">
        <v>1280</v>
      </c>
      <c r="E270" s="84" t="s">
        <v>169</v>
      </c>
      <c r="F270" t="s">
        <v>32</v>
      </c>
      <c r="G270" s="61">
        <v>717000</v>
      </c>
      <c r="H270" s="63">
        <v>717000</v>
      </c>
      <c r="I270" t="s">
        <v>39</v>
      </c>
      <c r="J270" t="s">
        <v>44</v>
      </c>
      <c r="K270" s="198" t="s">
        <v>3047</v>
      </c>
      <c r="M270" t="s">
        <v>54</v>
      </c>
      <c r="N2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0" t="s">
        <v>57</v>
      </c>
      <c r="Q270" t="s">
        <v>61</v>
      </c>
      <c r="R270" t="s">
        <v>61</v>
      </c>
      <c r="S270" t="s">
        <v>64</v>
      </c>
      <c r="T270" t="s">
        <v>69</v>
      </c>
      <c r="U270" s="79">
        <v>30</v>
      </c>
      <c r="V270" t="s">
        <v>74</v>
      </c>
      <c r="W270" t="s">
        <v>3139</v>
      </c>
      <c r="X270" t="s">
        <v>2731</v>
      </c>
    </row>
    <row r="271" spans="1:24" ht="199.5" x14ac:dyDescent="0.2">
      <c r="A271" s="84" t="s">
        <v>2546</v>
      </c>
      <c r="B271">
        <f t="shared" ca="1" si="4"/>
        <v>47</v>
      </c>
      <c r="D271" s="84" t="s">
        <v>1283</v>
      </c>
      <c r="E271" s="84" t="s">
        <v>126</v>
      </c>
      <c r="F271" t="s">
        <v>32</v>
      </c>
      <c r="G271" s="61">
        <v>670000</v>
      </c>
      <c r="H271" s="63">
        <v>670000</v>
      </c>
      <c r="I271" t="s">
        <v>39</v>
      </c>
      <c r="J271" t="s">
        <v>44</v>
      </c>
      <c r="K271" s="198" t="s">
        <v>3048</v>
      </c>
      <c r="M271" t="s">
        <v>54</v>
      </c>
      <c r="N2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1" t="s">
        <v>57</v>
      </c>
      <c r="Q271" t="s">
        <v>61</v>
      </c>
      <c r="R271" t="s">
        <v>61</v>
      </c>
      <c r="S271" t="s">
        <v>64</v>
      </c>
      <c r="T271" t="s">
        <v>69</v>
      </c>
      <c r="U271" s="79">
        <v>30</v>
      </c>
      <c r="V271" t="s">
        <v>74</v>
      </c>
      <c r="W271" t="s">
        <v>3139</v>
      </c>
      <c r="X271" t="s">
        <v>2732</v>
      </c>
    </row>
    <row r="272" spans="1:24" ht="199.5" x14ac:dyDescent="0.2">
      <c r="A272" s="84" t="s">
        <v>2547</v>
      </c>
      <c r="B272">
        <f t="shared" ca="1" si="4"/>
        <v>52</v>
      </c>
      <c r="C272" s="54" t="s">
        <v>3376</v>
      </c>
      <c r="D272" s="84" t="s">
        <v>1286</v>
      </c>
      <c r="E272" s="84" t="s">
        <v>125</v>
      </c>
      <c r="F272" t="s">
        <v>32</v>
      </c>
      <c r="G272" s="61">
        <v>601000</v>
      </c>
      <c r="H272" s="63">
        <v>601000</v>
      </c>
      <c r="I272" t="s">
        <v>39</v>
      </c>
      <c r="J272" t="s">
        <v>44</v>
      </c>
      <c r="K272" s="198" t="s">
        <v>3049</v>
      </c>
      <c r="M272" t="s">
        <v>54</v>
      </c>
      <c r="N2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2" t="s">
        <v>57</v>
      </c>
      <c r="Q272" t="s">
        <v>61</v>
      </c>
      <c r="R272" t="s">
        <v>61</v>
      </c>
      <c r="S272" t="s">
        <v>64</v>
      </c>
      <c r="T272" t="s">
        <v>69</v>
      </c>
      <c r="U272" s="79">
        <v>30</v>
      </c>
      <c r="V272" t="s">
        <v>74</v>
      </c>
      <c r="W272" t="s">
        <v>3139</v>
      </c>
      <c r="X272" t="s">
        <v>2733</v>
      </c>
    </row>
    <row r="273" spans="1:24" ht="199.5" x14ac:dyDescent="0.2">
      <c r="A273" s="84" t="s">
        <v>1290</v>
      </c>
      <c r="B273">
        <f t="shared" ca="1" si="4"/>
        <v>55</v>
      </c>
      <c r="D273" s="84" t="s">
        <v>1289</v>
      </c>
      <c r="E273" s="84" t="s">
        <v>126</v>
      </c>
      <c r="F273" t="s">
        <v>32</v>
      </c>
      <c r="G273" s="61">
        <v>926000</v>
      </c>
      <c r="H273" s="63">
        <v>926000</v>
      </c>
      <c r="I273" t="s">
        <v>39</v>
      </c>
      <c r="J273" t="s">
        <v>44</v>
      </c>
      <c r="K273" s="198" t="s">
        <v>3050</v>
      </c>
      <c r="M273" t="s">
        <v>54</v>
      </c>
      <c r="N2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3" t="s">
        <v>57</v>
      </c>
      <c r="Q273" t="s">
        <v>61</v>
      </c>
      <c r="R273" t="s">
        <v>61</v>
      </c>
      <c r="S273" t="s">
        <v>64</v>
      </c>
      <c r="T273" t="s">
        <v>69</v>
      </c>
      <c r="U273" s="79">
        <v>30</v>
      </c>
      <c r="V273" t="s">
        <v>74</v>
      </c>
      <c r="W273" t="s">
        <v>3139</v>
      </c>
      <c r="X273" t="s">
        <v>2734</v>
      </c>
    </row>
    <row r="274" spans="1:24" ht="199.5" x14ac:dyDescent="0.2">
      <c r="A274" s="84" t="s">
        <v>1295</v>
      </c>
      <c r="B274">
        <f t="shared" ca="1" si="4"/>
        <v>52</v>
      </c>
      <c r="C274" s="54" t="s">
        <v>3377</v>
      </c>
      <c r="D274" s="84" t="s">
        <v>1294</v>
      </c>
      <c r="E274" s="84" t="s">
        <v>125</v>
      </c>
      <c r="F274" t="s">
        <v>32</v>
      </c>
      <c r="G274" s="61">
        <v>1126000</v>
      </c>
      <c r="H274" s="63">
        <v>1126000</v>
      </c>
      <c r="I274" t="s">
        <v>39</v>
      </c>
      <c r="J274" t="s">
        <v>44</v>
      </c>
      <c r="K274" s="198" t="s">
        <v>3051</v>
      </c>
      <c r="M274" t="s">
        <v>54</v>
      </c>
      <c r="N2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4" t="s">
        <v>57</v>
      </c>
      <c r="Q274" t="s">
        <v>61</v>
      </c>
      <c r="R274" t="s">
        <v>61</v>
      </c>
      <c r="S274" t="s">
        <v>64</v>
      </c>
      <c r="T274" t="s">
        <v>69</v>
      </c>
      <c r="U274" s="79">
        <v>30</v>
      </c>
      <c r="V274" t="s">
        <v>74</v>
      </c>
      <c r="W274" t="s">
        <v>3139</v>
      </c>
      <c r="X274" t="s">
        <v>2735</v>
      </c>
    </row>
    <row r="275" spans="1:24" ht="199.5" x14ac:dyDescent="0.2">
      <c r="A275" s="84" t="s">
        <v>2548</v>
      </c>
      <c r="B275">
        <f t="shared" ca="1" si="4"/>
        <v>52</v>
      </c>
      <c r="C275" s="54" t="s">
        <v>3378</v>
      </c>
      <c r="D275" s="84" t="s">
        <v>1300</v>
      </c>
      <c r="E275" s="84" t="s">
        <v>200</v>
      </c>
      <c r="F275" t="s">
        <v>32</v>
      </c>
      <c r="G275" s="61">
        <v>764000</v>
      </c>
      <c r="H275" s="63">
        <v>764000</v>
      </c>
      <c r="I275" t="s">
        <v>39</v>
      </c>
      <c r="J275" t="s">
        <v>44</v>
      </c>
      <c r="K275" s="198" t="s">
        <v>3052</v>
      </c>
      <c r="M275" t="s">
        <v>54</v>
      </c>
      <c r="N2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5" t="s">
        <v>57</v>
      </c>
      <c r="Q275" t="s">
        <v>61</v>
      </c>
      <c r="R275" t="s">
        <v>61</v>
      </c>
      <c r="S275" t="s">
        <v>64</v>
      </c>
      <c r="T275" t="s">
        <v>69</v>
      </c>
      <c r="U275" s="79">
        <v>30</v>
      </c>
      <c r="V275" t="s">
        <v>74</v>
      </c>
      <c r="W275" t="s">
        <v>3139</v>
      </c>
      <c r="X275" t="s">
        <v>2736</v>
      </c>
    </row>
    <row r="276" spans="1:24" ht="199.5" x14ac:dyDescent="0.2">
      <c r="A276" s="84" t="s">
        <v>1304</v>
      </c>
      <c r="B276">
        <f t="shared" ca="1" si="4"/>
        <v>51</v>
      </c>
      <c r="C276" s="54" t="s">
        <v>3379</v>
      </c>
      <c r="D276" s="84" t="s">
        <v>1303</v>
      </c>
      <c r="E276" s="84" t="s">
        <v>264</v>
      </c>
      <c r="F276" t="s">
        <v>32</v>
      </c>
      <c r="G276" s="61">
        <v>915000</v>
      </c>
      <c r="H276" s="63">
        <v>915000</v>
      </c>
      <c r="I276" t="s">
        <v>39</v>
      </c>
      <c r="J276" t="s">
        <v>44</v>
      </c>
      <c r="K276" s="198" t="s">
        <v>3053</v>
      </c>
      <c r="M276" t="s">
        <v>54</v>
      </c>
      <c r="N2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6" t="s">
        <v>57</v>
      </c>
      <c r="Q276" t="s">
        <v>61</v>
      </c>
      <c r="R276" t="s">
        <v>61</v>
      </c>
      <c r="S276" t="s">
        <v>64</v>
      </c>
      <c r="T276" t="s">
        <v>69</v>
      </c>
      <c r="U276" s="79">
        <v>30</v>
      </c>
      <c r="V276" t="s">
        <v>74</v>
      </c>
      <c r="W276" t="s">
        <v>3139</v>
      </c>
      <c r="X276" t="s">
        <v>2737</v>
      </c>
    </row>
    <row r="277" spans="1:24" ht="199.5" x14ac:dyDescent="0.2">
      <c r="A277" s="84" t="s">
        <v>1307</v>
      </c>
      <c r="B277">
        <f t="shared" ca="1" si="4"/>
        <v>52</v>
      </c>
      <c r="C277" s="54" t="s">
        <v>3380</v>
      </c>
      <c r="D277" s="84" t="s">
        <v>1306</v>
      </c>
      <c r="E277" s="84" t="s">
        <v>125</v>
      </c>
      <c r="F277" t="s">
        <v>32</v>
      </c>
      <c r="G277" s="61">
        <v>891000</v>
      </c>
      <c r="H277" s="63">
        <v>891000</v>
      </c>
      <c r="I277" t="s">
        <v>39</v>
      </c>
      <c r="J277" t="s">
        <v>44</v>
      </c>
      <c r="K277" s="198" t="s">
        <v>3054</v>
      </c>
      <c r="M277" t="s">
        <v>54</v>
      </c>
      <c r="N2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7" t="s">
        <v>57</v>
      </c>
      <c r="Q277" t="s">
        <v>61</v>
      </c>
      <c r="R277" t="s">
        <v>61</v>
      </c>
      <c r="S277" t="s">
        <v>64</v>
      </c>
      <c r="T277" t="s">
        <v>69</v>
      </c>
      <c r="U277" s="79">
        <v>30</v>
      </c>
      <c r="V277" t="s">
        <v>74</v>
      </c>
      <c r="W277" t="s">
        <v>3139</v>
      </c>
      <c r="X277" t="s">
        <v>2738</v>
      </c>
    </row>
    <row r="278" spans="1:24" ht="199.5" x14ac:dyDescent="0.2">
      <c r="A278" s="84" t="s">
        <v>1310</v>
      </c>
      <c r="B278">
        <f t="shared" ca="1" si="4"/>
        <v>48</v>
      </c>
      <c r="D278" s="84" t="s">
        <v>1309</v>
      </c>
      <c r="E278" s="84" t="s">
        <v>126</v>
      </c>
      <c r="F278" t="s">
        <v>32</v>
      </c>
      <c r="G278" s="61">
        <v>1006000</v>
      </c>
      <c r="H278" s="63">
        <v>1006000</v>
      </c>
      <c r="I278" t="s">
        <v>39</v>
      </c>
      <c r="J278" t="s">
        <v>44</v>
      </c>
      <c r="K278" s="198" t="s">
        <v>3055</v>
      </c>
      <c r="M278" t="s">
        <v>54</v>
      </c>
      <c r="N2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8" t="s">
        <v>57</v>
      </c>
      <c r="Q278" t="s">
        <v>61</v>
      </c>
      <c r="R278" t="s">
        <v>61</v>
      </c>
      <c r="S278" t="s">
        <v>64</v>
      </c>
      <c r="T278" t="s">
        <v>69</v>
      </c>
      <c r="U278" s="79">
        <v>30</v>
      </c>
      <c r="V278" t="s">
        <v>74</v>
      </c>
      <c r="W278" t="s">
        <v>3139</v>
      </c>
      <c r="X278" t="s">
        <v>2739</v>
      </c>
    </row>
    <row r="279" spans="1:24" ht="199.5" x14ac:dyDescent="0.2">
      <c r="A279" s="84" t="s">
        <v>1315</v>
      </c>
      <c r="B279">
        <f t="shared" ca="1" si="4"/>
        <v>58</v>
      </c>
      <c r="C279" s="54" t="s">
        <v>3381</v>
      </c>
      <c r="D279" s="84" t="s">
        <v>1314</v>
      </c>
      <c r="E279" s="84" t="s">
        <v>436</v>
      </c>
      <c r="F279" t="s">
        <v>32</v>
      </c>
      <c r="G279" s="61">
        <v>682000</v>
      </c>
      <c r="H279" s="63">
        <v>682000</v>
      </c>
      <c r="I279" t="s">
        <v>39</v>
      </c>
      <c r="J279" t="s">
        <v>44</v>
      </c>
      <c r="K279" s="198" t="s">
        <v>3056</v>
      </c>
      <c r="M279" t="s">
        <v>54</v>
      </c>
      <c r="N2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79" t="s">
        <v>57</v>
      </c>
      <c r="Q279" t="s">
        <v>61</v>
      </c>
      <c r="R279" t="s">
        <v>61</v>
      </c>
      <c r="S279" t="s">
        <v>64</v>
      </c>
      <c r="T279" t="s">
        <v>69</v>
      </c>
      <c r="U279" s="79">
        <v>30</v>
      </c>
      <c r="V279" t="s">
        <v>74</v>
      </c>
      <c r="W279" t="s">
        <v>3139</v>
      </c>
      <c r="X279" t="s">
        <v>2740</v>
      </c>
    </row>
    <row r="280" spans="1:24" ht="199.5" x14ac:dyDescent="0.2">
      <c r="A280" s="84" t="s">
        <v>1318</v>
      </c>
      <c r="B280">
        <f t="shared" ca="1" si="4"/>
        <v>50</v>
      </c>
      <c r="D280" s="84" t="s">
        <v>1317</v>
      </c>
      <c r="E280" s="84" t="s">
        <v>126</v>
      </c>
      <c r="F280" t="s">
        <v>32</v>
      </c>
      <c r="G280" s="61">
        <v>694000</v>
      </c>
      <c r="H280" s="63">
        <v>694000</v>
      </c>
      <c r="I280" t="s">
        <v>39</v>
      </c>
      <c r="J280" t="s">
        <v>44</v>
      </c>
      <c r="K280" s="198" t="s">
        <v>3057</v>
      </c>
      <c r="M280" t="s">
        <v>54</v>
      </c>
      <c r="N2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0" t="s">
        <v>57</v>
      </c>
      <c r="Q280" t="s">
        <v>61</v>
      </c>
      <c r="R280" t="s">
        <v>61</v>
      </c>
      <c r="S280" t="s">
        <v>64</v>
      </c>
      <c r="T280" t="s">
        <v>69</v>
      </c>
      <c r="U280" s="79">
        <v>30</v>
      </c>
      <c r="V280" t="s">
        <v>74</v>
      </c>
      <c r="W280" t="s">
        <v>3139</v>
      </c>
      <c r="X280" t="s">
        <v>2741</v>
      </c>
    </row>
    <row r="281" spans="1:24" ht="199.5" x14ac:dyDescent="0.2">
      <c r="A281" s="84" t="s">
        <v>1321</v>
      </c>
      <c r="B281">
        <f t="shared" ca="1" si="4"/>
        <v>49</v>
      </c>
      <c r="C281" s="54" t="s">
        <v>3382</v>
      </c>
      <c r="D281" s="84" t="s">
        <v>1320</v>
      </c>
      <c r="E281" s="84" t="s">
        <v>125</v>
      </c>
      <c r="F281" t="s">
        <v>32</v>
      </c>
      <c r="G281" s="61">
        <v>577000</v>
      </c>
      <c r="H281" s="63">
        <v>577000</v>
      </c>
      <c r="I281" t="s">
        <v>39</v>
      </c>
      <c r="J281" t="s">
        <v>44</v>
      </c>
      <c r="K281" s="198" t="s">
        <v>3058</v>
      </c>
      <c r="M281" t="s">
        <v>54</v>
      </c>
      <c r="N2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1" t="s">
        <v>57</v>
      </c>
      <c r="Q281" t="s">
        <v>61</v>
      </c>
      <c r="R281" t="s">
        <v>61</v>
      </c>
      <c r="S281" t="s">
        <v>64</v>
      </c>
      <c r="T281" t="s">
        <v>69</v>
      </c>
      <c r="U281" s="79">
        <v>30</v>
      </c>
      <c r="V281" t="s">
        <v>74</v>
      </c>
      <c r="W281" t="s">
        <v>3139</v>
      </c>
      <c r="X281" t="s">
        <v>2742</v>
      </c>
    </row>
    <row r="282" spans="1:24" ht="199.5" x14ac:dyDescent="0.2">
      <c r="A282" s="84" t="s">
        <v>1324</v>
      </c>
      <c r="B282">
        <f t="shared" ca="1" si="4"/>
        <v>35</v>
      </c>
      <c r="C282" s="54" t="s">
        <v>3383</v>
      </c>
      <c r="D282" s="84" t="s">
        <v>1323</v>
      </c>
      <c r="E282" s="84" t="s">
        <v>125</v>
      </c>
      <c r="F282" t="s">
        <v>32</v>
      </c>
      <c r="G282" s="61">
        <v>950000</v>
      </c>
      <c r="H282" s="63">
        <v>950000</v>
      </c>
      <c r="I282" t="s">
        <v>39</v>
      </c>
      <c r="J282" t="s">
        <v>44</v>
      </c>
      <c r="K282" s="198" t="s">
        <v>3059</v>
      </c>
      <c r="M282" t="s">
        <v>54</v>
      </c>
      <c r="N2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2" t="s">
        <v>57</v>
      </c>
      <c r="Q282" t="s">
        <v>61</v>
      </c>
      <c r="R282" t="s">
        <v>61</v>
      </c>
      <c r="S282" t="s">
        <v>64</v>
      </c>
      <c r="T282" t="s">
        <v>69</v>
      </c>
      <c r="U282" s="79">
        <v>30</v>
      </c>
      <c r="V282" t="s">
        <v>74</v>
      </c>
      <c r="W282" t="s">
        <v>3139</v>
      </c>
      <c r="X282" t="s">
        <v>2743</v>
      </c>
    </row>
    <row r="283" spans="1:24" ht="199.5" x14ac:dyDescent="0.2">
      <c r="A283" s="84" t="s">
        <v>1327</v>
      </c>
      <c r="B283">
        <f t="shared" ca="1" si="4"/>
        <v>33</v>
      </c>
      <c r="C283" s="54" t="s">
        <v>3384</v>
      </c>
      <c r="D283" s="84" t="s">
        <v>1326</v>
      </c>
      <c r="E283" s="84" t="s">
        <v>200</v>
      </c>
      <c r="F283" t="s">
        <v>32</v>
      </c>
      <c r="G283" s="61">
        <v>519000</v>
      </c>
      <c r="H283" s="63">
        <v>519000</v>
      </c>
      <c r="I283" t="s">
        <v>39</v>
      </c>
      <c r="J283" t="s">
        <v>44</v>
      </c>
      <c r="K283" s="198" t="s">
        <v>3060</v>
      </c>
      <c r="M283" t="s">
        <v>54</v>
      </c>
      <c r="N2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3" t="s">
        <v>57</v>
      </c>
      <c r="Q283" t="s">
        <v>61</v>
      </c>
      <c r="R283" t="s">
        <v>61</v>
      </c>
      <c r="S283" t="s">
        <v>64</v>
      </c>
      <c r="T283" t="s">
        <v>69</v>
      </c>
      <c r="U283" s="79">
        <v>30</v>
      </c>
      <c r="V283" t="s">
        <v>74</v>
      </c>
      <c r="W283" t="s">
        <v>3139</v>
      </c>
      <c r="X283" t="s">
        <v>2744</v>
      </c>
    </row>
    <row r="284" spans="1:24" ht="199.5" x14ac:dyDescent="0.2">
      <c r="A284" s="84" t="s">
        <v>1330</v>
      </c>
      <c r="B284">
        <f t="shared" ca="1" si="4"/>
        <v>44</v>
      </c>
      <c r="C284" s="54" t="s">
        <v>3385</v>
      </c>
      <c r="D284" s="84" t="s">
        <v>1329</v>
      </c>
      <c r="E284" s="84" t="s">
        <v>125</v>
      </c>
      <c r="F284" t="s">
        <v>32</v>
      </c>
      <c r="G284" s="61">
        <v>484000</v>
      </c>
      <c r="H284" s="63">
        <v>484000</v>
      </c>
      <c r="I284" t="s">
        <v>39</v>
      </c>
      <c r="J284" t="s">
        <v>44</v>
      </c>
      <c r="K284" s="198" t="s">
        <v>3061</v>
      </c>
      <c r="M284" t="s">
        <v>54</v>
      </c>
      <c r="N2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4" t="s">
        <v>57</v>
      </c>
      <c r="Q284" t="s">
        <v>61</v>
      </c>
      <c r="R284" t="s">
        <v>61</v>
      </c>
      <c r="S284" t="s">
        <v>64</v>
      </c>
      <c r="T284" t="s">
        <v>69</v>
      </c>
      <c r="U284" s="79">
        <v>30</v>
      </c>
      <c r="V284" t="s">
        <v>74</v>
      </c>
      <c r="W284" t="s">
        <v>3139</v>
      </c>
      <c r="X284" t="s">
        <v>2745</v>
      </c>
    </row>
    <row r="285" spans="1:24" ht="199.5" x14ac:dyDescent="0.2">
      <c r="A285" s="84" t="s">
        <v>1333</v>
      </c>
      <c r="B285">
        <f t="shared" ca="1" si="4"/>
        <v>39</v>
      </c>
      <c r="C285" s="54" t="s">
        <v>3386</v>
      </c>
      <c r="D285" s="84" t="s">
        <v>1332</v>
      </c>
      <c r="E285" s="84" t="s">
        <v>200</v>
      </c>
      <c r="F285" t="s">
        <v>32</v>
      </c>
      <c r="G285" s="61">
        <v>304000</v>
      </c>
      <c r="H285" s="63">
        <v>304000</v>
      </c>
      <c r="I285" t="s">
        <v>39</v>
      </c>
      <c r="J285" t="s">
        <v>44</v>
      </c>
      <c r="K285" s="198" t="s">
        <v>3062</v>
      </c>
      <c r="M285" t="s">
        <v>54</v>
      </c>
      <c r="N2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5" t="s">
        <v>57</v>
      </c>
      <c r="Q285" t="s">
        <v>61</v>
      </c>
      <c r="R285" t="s">
        <v>61</v>
      </c>
      <c r="S285" t="s">
        <v>64</v>
      </c>
      <c r="T285" t="s">
        <v>69</v>
      </c>
      <c r="U285" s="79">
        <v>30</v>
      </c>
      <c r="V285" t="s">
        <v>74</v>
      </c>
      <c r="W285" t="s">
        <v>3139</v>
      </c>
      <c r="X285" t="s">
        <v>2746</v>
      </c>
    </row>
    <row r="286" spans="1:24" ht="199.5" x14ac:dyDescent="0.2">
      <c r="A286" s="84" t="s">
        <v>2549</v>
      </c>
      <c r="B286">
        <f t="shared" ca="1" si="4"/>
        <v>56</v>
      </c>
      <c r="C286" s="54" t="s">
        <v>3387</v>
      </c>
      <c r="D286" s="84" t="s">
        <v>1337</v>
      </c>
      <c r="E286" s="84" t="s">
        <v>264</v>
      </c>
      <c r="F286" t="s">
        <v>32</v>
      </c>
      <c r="G286" s="61">
        <v>938000</v>
      </c>
      <c r="H286" s="63">
        <v>938000</v>
      </c>
      <c r="I286" t="s">
        <v>39</v>
      </c>
      <c r="J286" t="s">
        <v>44</v>
      </c>
      <c r="K286" s="198" t="s">
        <v>3063</v>
      </c>
      <c r="M286" t="s">
        <v>54</v>
      </c>
      <c r="N2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6" t="s">
        <v>57</v>
      </c>
      <c r="Q286" t="s">
        <v>61</v>
      </c>
      <c r="R286" t="s">
        <v>61</v>
      </c>
      <c r="S286" t="s">
        <v>64</v>
      </c>
      <c r="T286" t="s">
        <v>69</v>
      </c>
      <c r="U286" s="79">
        <v>30</v>
      </c>
      <c r="V286" t="s">
        <v>74</v>
      </c>
      <c r="W286" t="s">
        <v>3139</v>
      </c>
      <c r="X286" t="s">
        <v>1339</v>
      </c>
    </row>
    <row r="287" spans="1:24" ht="199.5" x14ac:dyDescent="0.2">
      <c r="A287" s="84" t="s">
        <v>1343</v>
      </c>
      <c r="B287">
        <f t="shared" ca="1" si="4"/>
        <v>52</v>
      </c>
      <c r="C287" s="54" t="s">
        <v>3388</v>
      </c>
      <c r="D287" s="84" t="s">
        <v>1342</v>
      </c>
      <c r="E287" s="84" t="s">
        <v>126</v>
      </c>
      <c r="F287" t="s">
        <v>32</v>
      </c>
      <c r="G287" s="61">
        <v>310000</v>
      </c>
      <c r="H287" s="63">
        <v>310000</v>
      </c>
      <c r="I287" t="s">
        <v>39</v>
      </c>
      <c r="J287" t="s">
        <v>45</v>
      </c>
      <c r="K287" s="198" t="s">
        <v>3064</v>
      </c>
      <c r="M287" t="s">
        <v>54</v>
      </c>
      <c r="N2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7" t="s">
        <v>57</v>
      </c>
      <c r="Q287" t="s">
        <v>61</v>
      </c>
      <c r="R287" t="s">
        <v>61</v>
      </c>
      <c r="S287" t="s">
        <v>64</v>
      </c>
      <c r="T287" t="s">
        <v>69</v>
      </c>
      <c r="U287" s="79">
        <v>90</v>
      </c>
      <c r="V287" t="s">
        <v>74</v>
      </c>
      <c r="W287" t="s">
        <v>3139</v>
      </c>
      <c r="X287" t="s">
        <v>2747</v>
      </c>
    </row>
    <row r="288" spans="1:24" ht="199.5" x14ac:dyDescent="0.2">
      <c r="A288" s="84" t="s">
        <v>2550</v>
      </c>
      <c r="B288">
        <f t="shared" ca="1" si="4"/>
        <v>56</v>
      </c>
      <c r="C288" s="54" t="s">
        <v>3389</v>
      </c>
      <c r="D288" s="84" t="s">
        <v>1345</v>
      </c>
      <c r="E288" s="84" t="s">
        <v>126</v>
      </c>
      <c r="F288" t="s">
        <v>32</v>
      </c>
      <c r="G288" s="61">
        <v>833000</v>
      </c>
      <c r="H288" s="63">
        <v>833000</v>
      </c>
      <c r="I288" t="s">
        <v>39</v>
      </c>
      <c r="J288" t="s">
        <v>44</v>
      </c>
      <c r="K288" s="198" t="s">
        <v>3065</v>
      </c>
      <c r="M288" t="s">
        <v>54</v>
      </c>
      <c r="N2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8" t="s">
        <v>57</v>
      </c>
      <c r="Q288" t="s">
        <v>61</v>
      </c>
      <c r="R288" t="s">
        <v>61</v>
      </c>
      <c r="S288" t="s">
        <v>64</v>
      </c>
      <c r="T288" t="s">
        <v>69</v>
      </c>
      <c r="U288" s="79">
        <v>30</v>
      </c>
      <c r="V288" t="s">
        <v>74</v>
      </c>
      <c r="W288" t="s">
        <v>3139</v>
      </c>
      <c r="X288" t="s">
        <v>1347</v>
      </c>
    </row>
    <row r="289" spans="1:24" ht="199.5" x14ac:dyDescent="0.2">
      <c r="A289" s="84" t="s">
        <v>1349</v>
      </c>
      <c r="B289">
        <f t="shared" ca="1" si="4"/>
        <v>59</v>
      </c>
      <c r="C289" s="54" t="s">
        <v>3390</v>
      </c>
      <c r="D289" s="84" t="s">
        <v>1348</v>
      </c>
      <c r="E289" s="84" t="s">
        <v>200</v>
      </c>
      <c r="F289" t="s">
        <v>32</v>
      </c>
      <c r="G289" s="61">
        <v>659000</v>
      </c>
      <c r="H289" s="63">
        <v>659000</v>
      </c>
      <c r="I289" t="s">
        <v>39</v>
      </c>
      <c r="J289" t="s">
        <v>44</v>
      </c>
      <c r="K289" s="198" t="s">
        <v>3066</v>
      </c>
      <c r="M289" t="s">
        <v>54</v>
      </c>
      <c r="N2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89" t="s">
        <v>57</v>
      </c>
      <c r="Q289" t="s">
        <v>61</v>
      </c>
      <c r="R289" t="s">
        <v>61</v>
      </c>
      <c r="S289" t="s">
        <v>64</v>
      </c>
      <c r="T289" t="s">
        <v>69</v>
      </c>
      <c r="U289" s="79">
        <v>30</v>
      </c>
      <c r="V289" t="s">
        <v>74</v>
      </c>
      <c r="W289" t="s">
        <v>3139</v>
      </c>
      <c r="X289" t="s">
        <v>2748</v>
      </c>
    </row>
    <row r="290" spans="1:24" ht="199.5" x14ac:dyDescent="0.2">
      <c r="A290" s="84" t="s">
        <v>1352</v>
      </c>
      <c r="B290">
        <f t="shared" ca="1" si="4"/>
        <v>54</v>
      </c>
      <c r="C290" s="54" t="s">
        <v>3391</v>
      </c>
      <c r="D290" s="84" t="s">
        <v>1351</v>
      </c>
      <c r="E290" s="84" t="s">
        <v>767</v>
      </c>
      <c r="F290" t="s">
        <v>32</v>
      </c>
      <c r="G290" s="61">
        <v>798000</v>
      </c>
      <c r="H290" s="63">
        <v>798000</v>
      </c>
      <c r="I290" t="s">
        <v>39</v>
      </c>
      <c r="J290" t="s">
        <v>44</v>
      </c>
      <c r="K290" s="198" t="s">
        <v>3067</v>
      </c>
      <c r="M290" t="s">
        <v>54</v>
      </c>
      <c r="N2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0" t="s">
        <v>57</v>
      </c>
      <c r="Q290" t="s">
        <v>61</v>
      </c>
      <c r="R290" t="s">
        <v>61</v>
      </c>
      <c r="S290" t="s">
        <v>64</v>
      </c>
      <c r="T290" t="s">
        <v>69</v>
      </c>
      <c r="U290" s="79">
        <v>30</v>
      </c>
      <c r="V290" t="s">
        <v>74</v>
      </c>
      <c r="W290" t="s">
        <v>3139</v>
      </c>
      <c r="X290" t="s">
        <v>2749</v>
      </c>
    </row>
    <row r="291" spans="1:24" ht="199.5" x14ac:dyDescent="0.2">
      <c r="A291" s="84" t="s">
        <v>1355</v>
      </c>
      <c r="B291">
        <f t="shared" ca="1" si="4"/>
        <v>60</v>
      </c>
      <c r="C291" s="54" t="s">
        <v>3392</v>
      </c>
      <c r="D291" s="84" t="s">
        <v>1354</v>
      </c>
      <c r="E291" s="84" t="s">
        <v>264</v>
      </c>
      <c r="F291" t="s">
        <v>32</v>
      </c>
      <c r="G291" s="61">
        <v>915000</v>
      </c>
      <c r="H291" s="63">
        <v>915000</v>
      </c>
      <c r="I291" t="s">
        <v>39</v>
      </c>
      <c r="J291" t="s">
        <v>44</v>
      </c>
      <c r="K291" s="198" t="s">
        <v>3068</v>
      </c>
      <c r="M291" t="s">
        <v>54</v>
      </c>
      <c r="N2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1" t="s">
        <v>57</v>
      </c>
      <c r="Q291" t="s">
        <v>61</v>
      </c>
      <c r="R291" t="s">
        <v>61</v>
      </c>
      <c r="S291" t="s">
        <v>64</v>
      </c>
      <c r="T291" t="s">
        <v>69</v>
      </c>
      <c r="U291" s="79">
        <v>30</v>
      </c>
      <c r="V291" t="s">
        <v>74</v>
      </c>
      <c r="W291" t="s">
        <v>3139</v>
      </c>
      <c r="X291" t="s">
        <v>2750</v>
      </c>
    </row>
    <row r="292" spans="1:24" ht="199.5" x14ac:dyDescent="0.2">
      <c r="A292" s="84" t="s">
        <v>1358</v>
      </c>
      <c r="B292">
        <f t="shared" ca="1" si="4"/>
        <v>38</v>
      </c>
      <c r="D292" s="84" t="s">
        <v>1357</v>
      </c>
      <c r="E292" s="84" t="s">
        <v>126</v>
      </c>
      <c r="F292" t="s">
        <v>32</v>
      </c>
      <c r="G292" s="61">
        <v>592000</v>
      </c>
      <c r="H292" s="63">
        <v>592000</v>
      </c>
      <c r="I292" t="s">
        <v>39</v>
      </c>
      <c r="J292" t="s">
        <v>44</v>
      </c>
      <c r="K292" s="198" t="s">
        <v>3069</v>
      </c>
      <c r="M292" t="s">
        <v>54</v>
      </c>
      <c r="N2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2" t="s">
        <v>57</v>
      </c>
      <c r="Q292" t="s">
        <v>61</v>
      </c>
      <c r="R292" t="s">
        <v>61</v>
      </c>
      <c r="S292" t="s">
        <v>64</v>
      </c>
      <c r="T292" t="s">
        <v>69</v>
      </c>
      <c r="U292" s="79">
        <v>30</v>
      </c>
      <c r="V292" t="s">
        <v>74</v>
      </c>
      <c r="W292" t="s">
        <v>3139</v>
      </c>
      <c r="X292" t="s">
        <v>2751</v>
      </c>
    </row>
    <row r="293" spans="1:24" ht="199.5" x14ac:dyDescent="0.2">
      <c r="A293" s="84" t="s">
        <v>1361</v>
      </c>
      <c r="B293">
        <f t="shared" ca="1" si="4"/>
        <v>47</v>
      </c>
      <c r="C293" s="54" t="s">
        <v>3393</v>
      </c>
      <c r="D293" s="84" t="s">
        <v>1360</v>
      </c>
      <c r="E293" s="84" t="s">
        <v>125</v>
      </c>
      <c r="F293" t="s">
        <v>32</v>
      </c>
      <c r="G293" s="61">
        <v>1415000</v>
      </c>
      <c r="H293" s="63">
        <v>1415000</v>
      </c>
      <c r="I293" t="s">
        <v>39</v>
      </c>
      <c r="J293" t="s">
        <v>44</v>
      </c>
      <c r="K293" s="198" t="s">
        <v>3070</v>
      </c>
      <c r="M293" t="s">
        <v>54</v>
      </c>
      <c r="N2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3" t="s">
        <v>57</v>
      </c>
      <c r="Q293" t="s">
        <v>61</v>
      </c>
      <c r="R293" t="s">
        <v>61</v>
      </c>
      <c r="S293" t="s">
        <v>64</v>
      </c>
      <c r="T293" t="s">
        <v>69</v>
      </c>
      <c r="U293" s="79">
        <v>30</v>
      </c>
      <c r="V293" t="s">
        <v>74</v>
      </c>
      <c r="W293" t="s">
        <v>3139</v>
      </c>
      <c r="X293" t="s">
        <v>2752</v>
      </c>
    </row>
    <row r="294" spans="1:24" ht="199.5" x14ac:dyDescent="0.2">
      <c r="A294" s="84" t="s">
        <v>1366</v>
      </c>
      <c r="B294">
        <f t="shared" ca="1" si="4"/>
        <v>52</v>
      </c>
      <c r="D294" s="84" t="s">
        <v>1365</v>
      </c>
      <c r="E294" s="84" t="s">
        <v>126</v>
      </c>
      <c r="F294" t="s">
        <v>32</v>
      </c>
      <c r="G294" s="61">
        <v>554000</v>
      </c>
      <c r="H294" s="63">
        <v>554000</v>
      </c>
      <c r="I294" t="s">
        <v>39</v>
      </c>
      <c r="J294" t="s">
        <v>44</v>
      </c>
      <c r="K294" s="198" t="s">
        <v>3071</v>
      </c>
      <c r="M294" t="s">
        <v>54</v>
      </c>
      <c r="N2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4" t="s">
        <v>57</v>
      </c>
      <c r="Q294" t="s">
        <v>61</v>
      </c>
      <c r="R294" t="s">
        <v>61</v>
      </c>
      <c r="S294" t="s">
        <v>64</v>
      </c>
      <c r="T294" t="s">
        <v>69</v>
      </c>
      <c r="U294" s="79">
        <v>30</v>
      </c>
      <c r="V294" t="s">
        <v>74</v>
      </c>
      <c r="W294" t="s">
        <v>3139</v>
      </c>
      <c r="X294" t="s">
        <v>1367</v>
      </c>
    </row>
    <row r="295" spans="1:24" ht="199.5" x14ac:dyDescent="0.2">
      <c r="A295" s="84" t="s">
        <v>1369</v>
      </c>
      <c r="B295">
        <f t="shared" ca="1" si="4"/>
        <v>55</v>
      </c>
      <c r="C295" s="54" t="s">
        <v>3394</v>
      </c>
      <c r="D295" s="84" t="s">
        <v>1368</v>
      </c>
      <c r="E295" s="84" t="s">
        <v>126</v>
      </c>
      <c r="F295" t="s">
        <v>32</v>
      </c>
      <c r="G295" s="61">
        <v>601000</v>
      </c>
      <c r="H295" s="63">
        <v>601000</v>
      </c>
      <c r="I295" t="s">
        <v>39</v>
      </c>
      <c r="J295" t="s">
        <v>45</v>
      </c>
      <c r="K295" s="198" t="s">
        <v>3072</v>
      </c>
      <c r="M295" t="s">
        <v>54</v>
      </c>
      <c r="N2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5" t="s">
        <v>57</v>
      </c>
      <c r="Q295" t="s">
        <v>61</v>
      </c>
      <c r="R295" t="s">
        <v>61</v>
      </c>
      <c r="S295" t="s">
        <v>64</v>
      </c>
      <c r="T295" t="s">
        <v>69</v>
      </c>
      <c r="U295" s="79">
        <v>90</v>
      </c>
      <c r="V295" t="s">
        <v>74</v>
      </c>
      <c r="W295" t="s">
        <v>3139</v>
      </c>
      <c r="X295" t="s">
        <v>2753</v>
      </c>
    </row>
    <row r="296" spans="1:24" ht="213.75" x14ac:dyDescent="0.2">
      <c r="A296" s="84" t="s">
        <v>2551</v>
      </c>
      <c r="B296">
        <f t="shared" ca="1" si="4"/>
        <v>57</v>
      </c>
      <c r="C296" s="54" t="s">
        <v>3395</v>
      </c>
      <c r="D296" s="84" t="s">
        <v>1371</v>
      </c>
      <c r="E296" s="84" t="s">
        <v>419</v>
      </c>
      <c r="F296" t="s">
        <v>32</v>
      </c>
      <c r="G296" s="61">
        <v>647000</v>
      </c>
      <c r="H296" s="63">
        <v>647000</v>
      </c>
      <c r="I296" t="s">
        <v>39</v>
      </c>
      <c r="J296" t="s">
        <v>44</v>
      </c>
      <c r="K296" s="198" t="s">
        <v>3073</v>
      </c>
      <c r="M296" t="s">
        <v>54</v>
      </c>
      <c r="N2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6" t="s">
        <v>57</v>
      </c>
      <c r="Q296" t="s">
        <v>61</v>
      </c>
      <c r="R296" t="s">
        <v>61</v>
      </c>
      <c r="S296" t="s">
        <v>64</v>
      </c>
      <c r="T296" t="s">
        <v>69</v>
      </c>
      <c r="U296" s="79">
        <v>30</v>
      </c>
      <c r="V296" t="s">
        <v>74</v>
      </c>
      <c r="W296" t="s">
        <v>3139</v>
      </c>
      <c r="X296" t="s">
        <v>2754</v>
      </c>
    </row>
    <row r="297" spans="1:24" ht="199.5" x14ac:dyDescent="0.2">
      <c r="A297" s="84" t="s">
        <v>1375</v>
      </c>
      <c r="B297">
        <f t="shared" ca="1" si="4"/>
        <v>45</v>
      </c>
      <c r="D297" s="84" t="s">
        <v>1374</v>
      </c>
      <c r="E297" s="84" t="s">
        <v>126</v>
      </c>
      <c r="F297" t="s">
        <v>32</v>
      </c>
      <c r="G297" s="61">
        <v>1185000</v>
      </c>
      <c r="H297" s="63">
        <v>1185000</v>
      </c>
      <c r="I297" t="s">
        <v>39</v>
      </c>
      <c r="J297" t="s">
        <v>44</v>
      </c>
      <c r="K297" s="198" t="s">
        <v>3074</v>
      </c>
      <c r="M297" t="s">
        <v>54</v>
      </c>
      <c r="N2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7" t="s">
        <v>57</v>
      </c>
      <c r="Q297" t="s">
        <v>61</v>
      </c>
      <c r="R297" t="s">
        <v>61</v>
      </c>
      <c r="S297" t="s">
        <v>64</v>
      </c>
      <c r="T297" t="s">
        <v>69</v>
      </c>
      <c r="U297" s="79">
        <v>30</v>
      </c>
      <c r="V297" t="s">
        <v>74</v>
      </c>
      <c r="W297" t="s">
        <v>3139</v>
      </c>
      <c r="X297" t="s">
        <v>2755</v>
      </c>
    </row>
    <row r="298" spans="1:24" ht="199.5" x14ac:dyDescent="0.2">
      <c r="A298" s="84" t="s">
        <v>1382</v>
      </c>
      <c r="B298">
        <f t="shared" ca="1" si="4"/>
        <v>44</v>
      </c>
      <c r="C298" s="54" t="s">
        <v>3396</v>
      </c>
      <c r="D298" s="84" t="s">
        <v>1381</v>
      </c>
      <c r="E298" s="84" t="s">
        <v>125</v>
      </c>
      <c r="F298" t="s">
        <v>32</v>
      </c>
      <c r="G298" s="61">
        <v>1582000</v>
      </c>
      <c r="H298" s="63">
        <v>1582000</v>
      </c>
      <c r="I298" t="s">
        <v>39</v>
      </c>
      <c r="J298" t="s">
        <v>44</v>
      </c>
      <c r="K298" s="198" t="s">
        <v>3075</v>
      </c>
      <c r="M298" t="s">
        <v>54</v>
      </c>
      <c r="N2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8" t="s">
        <v>57</v>
      </c>
      <c r="Q298" t="s">
        <v>61</v>
      </c>
      <c r="R298" t="s">
        <v>61</v>
      </c>
      <c r="S298" t="s">
        <v>64</v>
      </c>
      <c r="T298" t="s">
        <v>69</v>
      </c>
      <c r="U298" s="79">
        <v>30</v>
      </c>
      <c r="V298" t="s">
        <v>74</v>
      </c>
      <c r="W298" t="s">
        <v>3139</v>
      </c>
      <c r="X298" t="s">
        <v>1383</v>
      </c>
    </row>
    <row r="299" spans="1:24" ht="199.5" x14ac:dyDescent="0.2">
      <c r="A299" s="84" t="s">
        <v>1387</v>
      </c>
      <c r="B299">
        <f t="shared" ca="1" si="4"/>
        <v>58</v>
      </c>
      <c r="C299" s="54" t="s">
        <v>3397</v>
      </c>
      <c r="D299" s="84" t="s">
        <v>1386</v>
      </c>
      <c r="E299" s="84" t="s">
        <v>200</v>
      </c>
      <c r="F299" t="s">
        <v>32</v>
      </c>
      <c r="G299" s="61">
        <v>484000</v>
      </c>
      <c r="H299" s="63">
        <v>484000</v>
      </c>
      <c r="I299" t="s">
        <v>39</v>
      </c>
      <c r="J299" t="s">
        <v>44</v>
      </c>
      <c r="K299" s="198" t="s">
        <v>3076</v>
      </c>
      <c r="M299" t="s">
        <v>54</v>
      </c>
      <c r="N2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2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299" t="s">
        <v>57</v>
      </c>
      <c r="Q299" t="s">
        <v>61</v>
      </c>
      <c r="R299" t="s">
        <v>61</v>
      </c>
      <c r="S299" t="s">
        <v>64</v>
      </c>
      <c r="T299" t="s">
        <v>69</v>
      </c>
      <c r="U299" s="79">
        <v>30</v>
      </c>
      <c r="V299" t="s">
        <v>74</v>
      </c>
      <c r="W299" t="s">
        <v>3139</v>
      </c>
      <c r="X299" t="s">
        <v>1388</v>
      </c>
    </row>
    <row r="300" spans="1:24" ht="199.5" x14ac:dyDescent="0.2">
      <c r="A300" s="84" t="s">
        <v>2552</v>
      </c>
      <c r="B300">
        <f t="shared" ca="1" si="4"/>
        <v>59</v>
      </c>
      <c r="C300" s="54" t="s">
        <v>3398</v>
      </c>
      <c r="D300" s="84" t="s">
        <v>1389</v>
      </c>
      <c r="E300" s="84" t="s">
        <v>125</v>
      </c>
      <c r="F300" t="s">
        <v>32</v>
      </c>
      <c r="G300" s="61">
        <v>429000</v>
      </c>
      <c r="H300" s="63">
        <v>429000</v>
      </c>
      <c r="I300" t="s">
        <v>39</v>
      </c>
      <c r="J300" t="s">
        <v>44</v>
      </c>
      <c r="K300" s="198" t="s">
        <v>3077</v>
      </c>
      <c r="M300" t="s">
        <v>54</v>
      </c>
      <c r="N3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0" t="s">
        <v>57</v>
      </c>
      <c r="Q300" t="s">
        <v>61</v>
      </c>
      <c r="R300" t="s">
        <v>61</v>
      </c>
      <c r="S300" t="s">
        <v>64</v>
      </c>
      <c r="T300" t="s">
        <v>69</v>
      </c>
      <c r="U300" s="79">
        <v>30</v>
      </c>
      <c r="V300" t="s">
        <v>74</v>
      </c>
      <c r="W300" t="s">
        <v>3139</v>
      </c>
      <c r="X300" t="s">
        <v>1391</v>
      </c>
    </row>
    <row r="301" spans="1:24" ht="199.5" x14ac:dyDescent="0.2">
      <c r="A301" s="84" t="s">
        <v>2553</v>
      </c>
      <c r="B301">
        <f t="shared" ca="1" si="4"/>
        <v>50</v>
      </c>
      <c r="C301" s="54" t="s">
        <v>3399</v>
      </c>
      <c r="D301" s="84" t="s">
        <v>1394</v>
      </c>
      <c r="E301" s="84" t="s">
        <v>427</v>
      </c>
      <c r="F301" t="s">
        <v>32</v>
      </c>
      <c r="G301" s="61">
        <v>577000</v>
      </c>
      <c r="H301" s="63">
        <v>577000</v>
      </c>
      <c r="I301" t="s">
        <v>39</v>
      </c>
      <c r="J301" t="s">
        <v>44</v>
      </c>
      <c r="K301" s="198" t="s">
        <v>3078</v>
      </c>
      <c r="M301" t="s">
        <v>54</v>
      </c>
      <c r="N3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1" t="s">
        <v>57</v>
      </c>
      <c r="Q301" t="s">
        <v>61</v>
      </c>
      <c r="R301" t="s">
        <v>61</v>
      </c>
      <c r="S301" t="s">
        <v>64</v>
      </c>
      <c r="T301" t="s">
        <v>69</v>
      </c>
      <c r="U301" s="79">
        <v>30</v>
      </c>
      <c r="V301" t="s">
        <v>74</v>
      </c>
      <c r="W301" t="s">
        <v>3139</v>
      </c>
      <c r="X301" t="s">
        <v>1396</v>
      </c>
    </row>
    <row r="302" spans="1:24" ht="199.5" x14ac:dyDescent="0.2">
      <c r="A302" s="84" t="s">
        <v>1398</v>
      </c>
      <c r="B302">
        <f t="shared" ca="1" si="4"/>
        <v>54</v>
      </c>
      <c r="C302" s="54" t="s">
        <v>3400</v>
      </c>
      <c r="D302" s="84" t="s">
        <v>1397</v>
      </c>
      <c r="E302" s="84" t="s">
        <v>125</v>
      </c>
      <c r="F302" t="s">
        <v>32</v>
      </c>
      <c r="G302" s="61">
        <v>717000</v>
      </c>
      <c r="H302" s="63">
        <v>717000</v>
      </c>
      <c r="I302" t="s">
        <v>39</v>
      </c>
      <c r="J302" t="s">
        <v>44</v>
      </c>
      <c r="K302" s="198" t="s">
        <v>3079</v>
      </c>
      <c r="M302" t="s">
        <v>54</v>
      </c>
      <c r="N3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2" t="s">
        <v>57</v>
      </c>
      <c r="Q302" t="s">
        <v>61</v>
      </c>
      <c r="R302" t="s">
        <v>61</v>
      </c>
      <c r="S302" t="s">
        <v>64</v>
      </c>
      <c r="T302" t="s">
        <v>69</v>
      </c>
      <c r="U302" s="79">
        <v>30</v>
      </c>
      <c r="V302" t="s">
        <v>74</v>
      </c>
      <c r="W302" t="s">
        <v>3139</v>
      </c>
      <c r="X302" t="s">
        <v>1399</v>
      </c>
    </row>
    <row r="303" spans="1:24" ht="199.5" x14ac:dyDescent="0.2">
      <c r="A303" s="84" t="s">
        <v>2554</v>
      </c>
      <c r="B303">
        <f t="shared" ca="1" si="4"/>
        <v>58</v>
      </c>
      <c r="C303" s="54" t="s">
        <v>3401</v>
      </c>
      <c r="D303" s="84" t="s">
        <v>1400</v>
      </c>
      <c r="E303" s="84" t="s">
        <v>125</v>
      </c>
      <c r="F303" t="s">
        <v>32</v>
      </c>
      <c r="G303" s="61">
        <v>438000</v>
      </c>
      <c r="H303" s="63">
        <v>438000</v>
      </c>
      <c r="I303" t="s">
        <v>39</v>
      </c>
      <c r="J303" t="s">
        <v>44</v>
      </c>
      <c r="K303" s="198" t="s">
        <v>3080</v>
      </c>
      <c r="M303" t="s">
        <v>54</v>
      </c>
      <c r="N3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3" t="s">
        <v>57</v>
      </c>
      <c r="Q303" t="s">
        <v>61</v>
      </c>
      <c r="R303" t="s">
        <v>61</v>
      </c>
      <c r="S303" t="s">
        <v>64</v>
      </c>
      <c r="T303" t="s">
        <v>69</v>
      </c>
      <c r="U303" s="79">
        <v>30</v>
      </c>
      <c r="V303" t="s">
        <v>74</v>
      </c>
      <c r="W303" t="s">
        <v>3139</v>
      </c>
      <c r="X303" t="s">
        <v>1402</v>
      </c>
    </row>
    <row r="304" spans="1:24" ht="199.5" x14ac:dyDescent="0.2">
      <c r="A304" s="84" t="s">
        <v>1404</v>
      </c>
      <c r="B304">
        <f t="shared" ca="1" si="4"/>
        <v>52</v>
      </c>
      <c r="C304" s="54" t="s">
        <v>3402</v>
      </c>
      <c r="D304" s="84" t="s">
        <v>1403</v>
      </c>
      <c r="E304" s="84" t="s">
        <v>436</v>
      </c>
      <c r="F304" t="s">
        <v>32</v>
      </c>
      <c r="G304" s="61">
        <v>554000</v>
      </c>
      <c r="H304" s="63">
        <v>554000</v>
      </c>
      <c r="I304" t="s">
        <v>39</v>
      </c>
      <c r="J304" t="s">
        <v>44</v>
      </c>
      <c r="K304" s="198" t="s">
        <v>3081</v>
      </c>
      <c r="M304" t="s">
        <v>54</v>
      </c>
      <c r="N3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4" t="s">
        <v>57</v>
      </c>
      <c r="Q304" t="s">
        <v>61</v>
      </c>
      <c r="R304" t="s">
        <v>61</v>
      </c>
      <c r="S304" t="s">
        <v>64</v>
      </c>
      <c r="T304" t="s">
        <v>69</v>
      </c>
      <c r="U304" s="79">
        <v>30</v>
      </c>
      <c r="V304" t="s">
        <v>74</v>
      </c>
      <c r="W304" t="s">
        <v>3139</v>
      </c>
      <c r="X304" t="s">
        <v>1405</v>
      </c>
    </row>
    <row r="305" spans="1:24" ht="199.5" x14ac:dyDescent="0.2">
      <c r="A305" s="84" t="s">
        <v>1407</v>
      </c>
      <c r="B305">
        <f t="shared" ca="1" si="4"/>
        <v>41</v>
      </c>
      <c r="C305" s="54" t="s">
        <v>3403</v>
      </c>
      <c r="D305" s="84" t="s">
        <v>1406</v>
      </c>
      <c r="E305" s="84" t="s">
        <v>126</v>
      </c>
      <c r="F305" t="s">
        <v>32</v>
      </c>
      <c r="G305" s="61">
        <v>334000</v>
      </c>
      <c r="H305" s="63">
        <v>334000</v>
      </c>
      <c r="I305" t="s">
        <v>39</v>
      </c>
      <c r="J305" t="s">
        <v>44</v>
      </c>
      <c r="K305" s="198" t="s">
        <v>3082</v>
      </c>
      <c r="M305" t="s">
        <v>54</v>
      </c>
      <c r="N3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5" t="s">
        <v>57</v>
      </c>
      <c r="Q305" t="s">
        <v>61</v>
      </c>
      <c r="R305" t="s">
        <v>61</v>
      </c>
      <c r="S305" t="s">
        <v>64</v>
      </c>
      <c r="T305" t="s">
        <v>69</v>
      </c>
      <c r="U305" s="79">
        <v>30</v>
      </c>
      <c r="V305" t="s">
        <v>74</v>
      </c>
      <c r="W305" t="s">
        <v>3139</v>
      </c>
      <c r="X305" t="s">
        <v>1408</v>
      </c>
    </row>
    <row r="306" spans="1:24" ht="199.5" x14ac:dyDescent="0.2">
      <c r="A306" s="84" t="s">
        <v>1410</v>
      </c>
      <c r="B306">
        <f t="shared" ca="1" si="4"/>
        <v>52</v>
      </c>
      <c r="C306" s="54" t="s">
        <v>3404</v>
      </c>
      <c r="D306" s="84" t="s">
        <v>1409</v>
      </c>
      <c r="E306" s="84" t="s">
        <v>126</v>
      </c>
      <c r="F306" t="s">
        <v>32</v>
      </c>
      <c r="G306" s="61">
        <v>403000</v>
      </c>
      <c r="H306" s="63">
        <v>403000</v>
      </c>
      <c r="I306" t="s">
        <v>39</v>
      </c>
      <c r="J306" t="s">
        <v>44</v>
      </c>
      <c r="K306" s="198" t="s">
        <v>3083</v>
      </c>
      <c r="M306" t="s">
        <v>54</v>
      </c>
      <c r="N3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6" t="s">
        <v>57</v>
      </c>
      <c r="Q306" t="s">
        <v>61</v>
      </c>
      <c r="R306" t="s">
        <v>61</v>
      </c>
      <c r="S306" t="s">
        <v>64</v>
      </c>
      <c r="T306" t="s">
        <v>69</v>
      </c>
      <c r="U306" s="79">
        <v>30</v>
      </c>
      <c r="V306" t="s">
        <v>74</v>
      </c>
      <c r="W306" t="s">
        <v>3139</v>
      </c>
      <c r="X306" t="s">
        <v>1411</v>
      </c>
    </row>
    <row r="307" spans="1:24" ht="199.5" x14ac:dyDescent="0.2">
      <c r="A307" s="84" t="s">
        <v>2555</v>
      </c>
      <c r="B307">
        <f t="shared" ca="1" si="4"/>
        <v>52</v>
      </c>
      <c r="C307" s="54" t="s">
        <v>3405</v>
      </c>
      <c r="D307" s="84" t="s">
        <v>1412</v>
      </c>
      <c r="E307" s="84" t="s">
        <v>125</v>
      </c>
      <c r="F307" t="s">
        <v>32</v>
      </c>
      <c r="G307" s="61">
        <v>345000</v>
      </c>
      <c r="H307" s="63">
        <v>345000</v>
      </c>
      <c r="I307" t="s">
        <v>39</v>
      </c>
      <c r="J307" t="s">
        <v>45</v>
      </c>
      <c r="K307" s="198" t="s">
        <v>3084</v>
      </c>
      <c r="M307" t="s">
        <v>54</v>
      </c>
      <c r="N3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7" t="s">
        <v>57</v>
      </c>
      <c r="Q307" t="s">
        <v>61</v>
      </c>
      <c r="R307" t="s">
        <v>61</v>
      </c>
      <c r="S307" t="s">
        <v>64</v>
      </c>
      <c r="T307" t="s">
        <v>69</v>
      </c>
      <c r="U307" s="79">
        <v>90</v>
      </c>
      <c r="V307" t="s">
        <v>74</v>
      </c>
      <c r="W307" t="s">
        <v>3139</v>
      </c>
      <c r="X307" t="s">
        <v>1414</v>
      </c>
    </row>
    <row r="308" spans="1:24" ht="199.5" x14ac:dyDescent="0.2">
      <c r="A308" s="84" t="s">
        <v>2556</v>
      </c>
      <c r="B308">
        <f t="shared" ca="1" si="4"/>
        <v>44</v>
      </c>
      <c r="C308" s="54" t="s">
        <v>3406</v>
      </c>
      <c r="D308" s="84" t="s">
        <v>1415</v>
      </c>
      <c r="E308" s="84" t="s">
        <v>200</v>
      </c>
      <c r="F308" t="s">
        <v>32</v>
      </c>
      <c r="G308" s="61">
        <v>368000</v>
      </c>
      <c r="H308" s="63">
        <v>368000</v>
      </c>
      <c r="I308" t="s">
        <v>39</v>
      </c>
      <c r="J308" t="s">
        <v>45</v>
      </c>
      <c r="K308" s="198" t="s">
        <v>3085</v>
      </c>
      <c r="M308" t="s">
        <v>54</v>
      </c>
      <c r="N3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8" t="s">
        <v>57</v>
      </c>
      <c r="Q308" t="s">
        <v>61</v>
      </c>
      <c r="R308" t="s">
        <v>61</v>
      </c>
      <c r="S308" t="s">
        <v>64</v>
      </c>
      <c r="T308" t="s">
        <v>69</v>
      </c>
      <c r="U308" s="79">
        <v>90</v>
      </c>
      <c r="V308" t="s">
        <v>74</v>
      </c>
      <c r="W308" t="s">
        <v>3139</v>
      </c>
      <c r="X308" t="s">
        <v>1417</v>
      </c>
    </row>
    <row r="309" spans="1:24" ht="199.5" x14ac:dyDescent="0.2">
      <c r="A309" s="84" t="s">
        <v>1419</v>
      </c>
      <c r="B309">
        <f t="shared" ca="1" si="4"/>
        <v>45</v>
      </c>
      <c r="D309" s="84" t="s">
        <v>1418</v>
      </c>
      <c r="E309" s="84" t="s">
        <v>126</v>
      </c>
      <c r="F309" t="s">
        <v>32</v>
      </c>
      <c r="G309" s="61">
        <v>260000</v>
      </c>
      <c r="H309" s="63">
        <v>260000</v>
      </c>
      <c r="I309" t="s">
        <v>39</v>
      </c>
      <c r="J309" t="s">
        <v>45</v>
      </c>
      <c r="K309" s="198" t="s">
        <v>3086</v>
      </c>
      <c r="M309" t="s">
        <v>54</v>
      </c>
      <c r="N3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09" t="s">
        <v>57</v>
      </c>
      <c r="Q309" t="s">
        <v>61</v>
      </c>
      <c r="R309" t="s">
        <v>61</v>
      </c>
      <c r="S309" t="s">
        <v>64</v>
      </c>
      <c r="T309" t="s">
        <v>69</v>
      </c>
      <c r="U309" s="79">
        <v>90</v>
      </c>
      <c r="V309" t="s">
        <v>74</v>
      </c>
      <c r="W309" t="s">
        <v>3139</v>
      </c>
      <c r="X309" t="s">
        <v>1420</v>
      </c>
    </row>
    <row r="310" spans="1:24" ht="199.5" x14ac:dyDescent="0.2">
      <c r="A310" s="84" t="s">
        <v>1426</v>
      </c>
      <c r="B310">
        <f t="shared" ca="1" si="4"/>
        <v>36</v>
      </c>
      <c r="D310" s="84" t="s">
        <v>1425</v>
      </c>
      <c r="E310" s="84" t="s">
        <v>126</v>
      </c>
      <c r="F310" t="s">
        <v>32</v>
      </c>
      <c r="G310" s="61">
        <v>4126000</v>
      </c>
      <c r="H310" s="63">
        <v>4126000</v>
      </c>
      <c r="I310" t="s">
        <v>39</v>
      </c>
      <c r="J310" t="s">
        <v>44</v>
      </c>
      <c r="K310" s="198" t="s">
        <v>3087</v>
      </c>
      <c r="M310" t="s">
        <v>54</v>
      </c>
      <c r="N3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0" t="s">
        <v>57</v>
      </c>
      <c r="Q310" t="s">
        <v>61</v>
      </c>
      <c r="R310" t="s">
        <v>61</v>
      </c>
      <c r="S310" t="s">
        <v>64</v>
      </c>
      <c r="T310" t="s">
        <v>69</v>
      </c>
      <c r="U310" s="79">
        <v>30</v>
      </c>
      <c r="V310" t="s">
        <v>74</v>
      </c>
      <c r="W310" t="s">
        <v>3139</v>
      </c>
      <c r="X310" t="s">
        <v>1427</v>
      </c>
    </row>
    <row r="311" spans="1:24" ht="199.5" x14ac:dyDescent="0.2">
      <c r="A311" s="84" t="s">
        <v>1431</v>
      </c>
      <c r="B311">
        <f t="shared" ca="1" si="4"/>
        <v>46</v>
      </c>
      <c r="C311" s="54" t="s">
        <v>3407</v>
      </c>
      <c r="D311" s="84" t="s">
        <v>1430</v>
      </c>
      <c r="E311" s="84" t="s">
        <v>126</v>
      </c>
      <c r="F311" t="s">
        <v>32</v>
      </c>
      <c r="G311" s="61">
        <v>455000</v>
      </c>
      <c r="H311" s="63">
        <v>455000</v>
      </c>
      <c r="I311" t="s">
        <v>39</v>
      </c>
      <c r="J311" t="s">
        <v>44</v>
      </c>
      <c r="K311" s="198" t="s">
        <v>3088</v>
      </c>
      <c r="M311" t="s">
        <v>54</v>
      </c>
      <c r="N3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1" t="s">
        <v>57</v>
      </c>
      <c r="Q311" t="s">
        <v>61</v>
      </c>
      <c r="R311" t="s">
        <v>61</v>
      </c>
      <c r="S311" t="s">
        <v>64</v>
      </c>
      <c r="T311" t="s">
        <v>69</v>
      </c>
      <c r="U311" s="79">
        <v>30</v>
      </c>
      <c r="V311" t="s">
        <v>74</v>
      </c>
      <c r="W311" t="s">
        <v>3139</v>
      </c>
      <c r="X311" t="s">
        <v>1432</v>
      </c>
    </row>
    <row r="312" spans="1:24" ht="199.5" x14ac:dyDescent="0.2">
      <c r="A312" s="84" t="s">
        <v>1436</v>
      </c>
      <c r="B312">
        <f t="shared" ca="1" si="4"/>
        <v>40</v>
      </c>
      <c r="C312" s="54" t="s">
        <v>3408</v>
      </c>
      <c r="D312" s="84" t="s">
        <v>1435</v>
      </c>
      <c r="E312" s="84" t="s">
        <v>125</v>
      </c>
      <c r="F312" t="s">
        <v>32</v>
      </c>
      <c r="G312" s="61">
        <v>397000</v>
      </c>
      <c r="H312" s="63">
        <v>397000</v>
      </c>
      <c r="I312" t="s">
        <v>39</v>
      </c>
      <c r="J312" t="s">
        <v>45</v>
      </c>
      <c r="K312" s="198" t="s">
        <v>3089</v>
      </c>
      <c r="M312" t="s">
        <v>54</v>
      </c>
      <c r="N3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2" t="s">
        <v>57</v>
      </c>
      <c r="Q312" t="s">
        <v>61</v>
      </c>
      <c r="R312" t="s">
        <v>61</v>
      </c>
      <c r="S312" t="s">
        <v>64</v>
      </c>
      <c r="T312" t="s">
        <v>69</v>
      </c>
      <c r="U312" s="79">
        <v>90</v>
      </c>
      <c r="V312" t="s">
        <v>74</v>
      </c>
      <c r="W312" t="s">
        <v>3139</v>
      </c>
      <c r="X312" t="s">
        <v>1437</v>
      </c>
    </row>
    <row r="313" spans="1:24" ht="199.5" x14ac:dyDescent="0.2">
      <c r="A313" s="84" t="s">
        <v>1439</v>
      </c>
      <c r="B313">
        <f t="shared" ca="1" si="4"/>
        <v>57</v>
      </c>
      <c r="D313" s="84" t="s">
        <v>1438</v>
      </c>
      <c r="E313" s="84" t="s">
        <v>126</v>
      </c>
      <c r="F313" t="s">
        <v>32</v>
      </c>
      <c r="G313" s="61">
        <v>548000</v>
      </c>
      <c r="H313" s="63">
        <v>548000</v>
      </c>
      <c r="I313" t="s">
        <v>39</v>
      </c>
      <c r="J313" t="s">
        <v>44</v>
      </c>
      <c r="K313" s="198" t="s">
        <v>3090</v>
      </c>
      <c r="M313" t="s">
        <v>54</v>
      </c>
      <c r="N3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3" t="s">
        <v>57</v>
      </c>
      <c r="Q313" t="s">
        <v>61</v>
      </c>
      <c r="R313" t="s">
        <v>61</v>
      </c>
      <c r="S313" t="s">
        <v>64</v>
      </c>
      <c r="T313" t="s">
        <v>69</v>
      </c>
      <c r="U313" s="79">
        <v>30</v>
      </c>
      <c r="V313" t="s">
        <v>74</v>
      </c>
      <c r="W313" t="s">
        <v>3139</v>
      </c>
      <c r="X313" t="s">
        <v>1440</v>
      </c>
    </row>
    <row r="314" spans="1:24" ht="199.5" x14ac:dyDescent="0.2">
      <c r="A314" s="84" t="s">
        <v>1444</v>
      </c>
      <c r="B314">
        <f t="shared" ca="1" si="4"/>
        <v>45</v>
      </c>
      <c r="C314" s="54" t="s">
        <v>3409</v>
      </c>
      <c r="D314" s="84" t="s">
        <v>1443</v>
      </c>
      <c r="E314" s="84" t="s">
        <v>126</v>
      </c>
      <c r="F314" t="s">
        <v>32</v>
      </c>
      <c r="G314" s="61">
        <v>461000</v>
      </c>
      <c r="H314" s="63">
        <v>461000</v>
      </c>
      <c r="I314" t="s">
        <v>39</v>
      </c>
      <c r="J314" t="s">
        <v>44</v>
      </c>
      <c r="K314" s="198" t="s">
        <v>3091</v>
      </c>
      <c r="M314" t="s">
        <v>54</v>
      </c>
      <c r="N3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4" t="s">
        <v>57</v>
      </c>
      <c r="Q314" t="s">
        <v>61</v>
      </c>
      <c r="R314" t="s">
        <v>61</v>
      </c>
      <c r="S314" t="s">
        <v>64</v>
      </c>
      <c r="T314" t="s">
        <v>69</v>
      </c>
      <c r="U314" s="79">
        <v>30</v>
      </c>
      <c r="V314" t="s">
        <v>74</v>
      </c>
      <c r="W314" t="s">
        <v>3139</v>
      </c>
      <c r="X314" t="s">
        <v>1445</v>
      </c>
    </row>
    <row r="315" spans="1:24" ht="199.5" x14ac:dyDescent="0.2">
      <c r="A315" s="84" t="s">
        <v>1447</v>
      </c>
      <c r="B315">
        <f t="shared" ca="1" si="4"/>
        <v>55</v>
      </c>
      <c r="C315" s="54" t="s">
        <v>3410</v>
      </c>
      <c r="D315" s="84" t="s">
        <v>1446</v>
      </c>
      <c r="E315" s="84" t="s">
        <v>667</v>
      </c>
      <c r="F315" t="s">
        <v>32</v>
      </c>
      <c r="G315" s="61">
        <v>438000</v>
      </c>
      <c r="H315" s="63">
        <v>438000</v>
      </c>
      <c r="I315" t="s">
        <v>39</v>
      </c>
      <c r="J315" t="s">
        <v>44</v>
      </c>
      <c r="K315" s="198" t="s">
        <v>3092</v>
      </c>
      <c r="M315" t="s">
        <v>54</v>
      </c>
      <c r="N3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5" t="s">
        <v>57</v>
      </c>
      <c r="Q315" t="s">
        <v>61</v>
      </c>
      <c r="R315" t="s">
        <v>61</v>
      </c>
      <c r="S315" t="s">
        <v>64</v>
      </c>
      <c r="T315" t="s">
        <v>69</v>
      </c>
      <c r="U315" s="79">
        <v>30</v>
      </c>
      <c r="V315" t="s">
        <v>74</v>
      </c>
      <c r="W315" t="s">
        <v>3139</v>
      </c>
      <c r="X315" t="s">
        <v>1448</v>
      </c>
    </row>
    <row r="316" spans="1:24" ht="199.5" x14ac:dyDescent="0.2">
      <c r="A316" s="84" t="s">
        <v>1450</v>
      </c>
      <c r="B316">
        <f t="shared" ca="1" si="4"/>
        <v>50</v>
      </c>
      <c r="C316" s="54" t="s">
        <v>3411</v>
      </c>
      <c r="D316" s="84" t="s">
        <v>1449</v>
      </c>
      <c r="E316" s="84" t="s">
        <v>427</v>
      </c>
      <c r="F316" t="s">
        <v>32</v>
      </c>
      <c r="G316" s="61">
        <v>450000</v>
      </c>
      <c r="H316" s="63">
        <v>450000</v>
      </c>
      <c r="I316" t="s">
        <v>39</v>
      </c>
      <c r="J316" t="s">
        <v>45</v>
      </c>
      <c r="K316" s="198" t="s">
        <v>3093</v>
      </c>
      <c r="M316" t="s">
        <v>54</v>
      </c>
      <c r="N3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6" t="s">
        <v>57</v>
      </c>
      <c r="Q316" t="s">
        <v>61</v>
      </c>
      <c r="R316" t="s">
        <v>61</v>
      </c>
      <c r="S316" t="s">
        <v>64</v>
      </c>
      <c r="T316" t="s">
        <v>69</v>
      </c>
      <c r="U316" s="79">
        <v>90</v>
      </c>
      <c r="V316" t="s">
        <v>74</v>
      </c>
      <c r="W316" t="s">
        <v>3139</v>
      </c>
      <c r="X316" t="s">
        <v>1451</v>
      </c>
    </row>
    <row r="317" spans="1:24" ht="199.5" x14ac:dyDescent="0.2">
      <c r="A317" s="84" t="s">
        <v>1453</v>
      </c>
      <c r="B317">
        <f t="shared" ca="1" si="4"/>
        <v>47</v>
      </c>
      <c r="C317" s="54" t="s">
        <v>3412</v>
      </c>
      <c r="D317" s="84" t="s">
        <v>1452</v>
      </c>
      <c r="E317" s="84" t="s">
        <v>126</v>
      </c>
      <c r="F317" t="s">
        <v>32</v>
      </c>
      <c r="G317" s="61">
        <v>752000</v>
      </c>
      <c r="H317" s="63">
        <v>752000</v>
      </c>
      <c r="I317" t="s">
        <v>39</v>
      </c>
      <c r="J317" t="s">
        <v>44</v>
      </c>
      <c r="K317" s="198" t="s">
        <v>3094</v>
      </c>
      <c r="M317" t="s">
        <v>54</v>
      </c>
      <c r="N3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7" t="s">
        <v>57</v>
      </c>
      <c r="Q317" t="s">
        <v>61</v>
      </c>
      <c r="R317" t="s">
        <v>61</v>
      </c>
      <c r="S317" t="s">
        <v>64</v>
      </c>
      <c r="T317" t="s">
        <v>69</v>
      </c>
      <c r="U317" s="79">
        <v>30</v>
      </c>
      <c r="V317" t="s">
        <v>74</v>
      </c>
      <c r="W317" t="s">
        <v>3139</v>
      </c>
      <c r="X317" t="s">
        <v>2756</v>
      </c>
    </row>
    <row r="318" spans="1:24" ht="199.5" x14ac:dyDescent="0.2">
      <c r="A318" s="84" t="s">
        <v>1456</v>
      </c>
      <c r="B318">
        <f t="shared" ca="1" si="4"/>
        <v>52</v>
      </c>
      <c r="C318" s="54" t="s">
        <v>3413</v>
      </c>
      <c r="D318" s="84" t="s">
        <v>1455</v>
      </c>
      <c r="E318" s="84" t="s">
        <v>767</v>
      </c>
      <c r="F318" t="s">
        <v>32</v>
      </c>
      <c r="G318" s="61">
        <v>368000</v>
      </c>
      <c r="H318" s="63">
        <v>368000</v>
      </c>
      <c r="I318" t="s">
        <v>39</v>
      </c>
      <c r="J318" t="s">
        <v>44</v>
      </c>
      <c r="K318" s="198" t="s">
        <v>3095</v>
      </c>
      <c r="M318" t="s">
        <v>54</v>
      </c>
      <c r="N3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8" t="s">
        <v>57</v>
      </c>
      <c r="Q318" t="s">
        <v>61</v>
      </c>
      <c r="R318" t="s">
        <v>61</v>
      </c>
      <c r="S318" t="s">
        <v>64</v>
      </c>
      <c r="T318" t="s">
        <v>69</v>
      </c>
      <c r="U318" s="79">
        <v>30</v>
      </c>
      <c r="V318" t="s">
        <v>74</v>
      </c>
      <c r="W318" t="s">
        <v>3139</v>
      </c>
      <c r="X318" t="s">
        <v>1457</v>
      </c>
    </row>
    <row r="319" spans="1:24" ht="199.5" x14ac:dyDescent="0.2">
      <c r="A319" s="84" t="s">
        <v>1459</v>
      </c>
      <c r="B319">
        <f t="shared" ca="1" si="4"/>
        <v>54</v>
      </c>
      <c r="C319" s="54" t="s">
        <v>3414</v>
      </c>
      <c r="D319" s="84" t="s">
        <v>1458</v>
      </c>
      <c r="E319" s="84" t="s">
        <v>126</v>
      </c>
      <c r="F319" t="s">
        <v>32</v>
      </c>
      <c r="G319" s="61">
        <v>438000</v>
      </c>
      <c r="H319" s="63">
        <v>438000</v>
      </c>
      <c r="I319" t="s">
        <v>39</v>
      </c>
      <c r="J319" t="s">
        <v>44</v>
      </c>
      <c r="K319" s="198" t="s">
        <v>3096</v>
      </c>
      <c r="M319" t="s">
        <v>54</v>
      </c>
      <c r="N3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19" t="s">
        <v>57</v>
      </c>
      <c r="Q319" t="s">
        <v>61</v>
      </c>
      <c r="R319" t="s">
        <v>61</v>
      </c>
      <c r="S319" t="s">
        <v>64</v>
      </c>
      <c r="T319" t="s">
        <v>69</v>
      </c>
      <c r="U319" s="79">
        <v>30</v>
      </c>
      <c r="V319" t="s">
        <v>74</v>
      </c>
      <c r="W319" t="s">
        <v>3139</v>
      </c>
      <c r="X319" t="s">
        <v>1460</v>
      </c>
    </row>
    <row r="320" spans="1:24" ht="199.5" x14ac:dyDescent="0.2">
      <c r="A320" s="84" t="s">
        <v>1462</v>
      </c>
      <c r="B320">
        <f t="shared" ca="1" si="4"/>
        <v>44</v>
      </c>
      <c r="C320" s="54" t="s">
        <v>3415</v>
      </c>
      <c r="D320" s="84" t="s">
        <v>1461</v>
      </c>
      <c r="E320" s="84" t="s">
        <v>436</v>
      </c>
      <c r="F320" t="s">
        <v>32</v>
      </c>
      <c r="G320" s="61">
        <v>426000</v>
      </c>
      <c r="H320" s="63">
        <v>426000</v>
      </c>
      <c r="I320" t="s">
        <v>39</v>
      </c>
      <c r="J320" t="s">
        <v>44</v>
      </c>
      <c r="K320" s="198" t="s">
        <v>3097</v>
      </c>
      <c r="M320" t="s">
        <v>54</v>
      </c>
      <c r="N3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0" t="s">
        <v>57</v>
      </c>
      <c r="Q320" t="s">
        <v>61</v>
      </c>
      <c r="R320" t="s">
        <v>61</v>
      </c>
      <c r="S320" t="s">
        <v>64</v>
      </c>
      <c r="T320" t="s">
        <v>69</v>
      </c>
      <c r="U320" s="79">
        <v>30</v>
      </c>
      <c r="V320" t="s">
        <v>74</v>
      </c>
      <c r="W320" t="s">
        <v>3139</v>
      </c>
      <c r="X320" t="s">
        <v>1463</v>
      </c>
    </row>
    <row r="321" spans="1:24" ht="199.5" x14ac:dyDescent="0.2">
      <c r="A321" s="84" t="s">
        <v>1465</v>
      </c>
      <c r="B321">
        <f t="shared" ca="1" si="4"/>
        <v>44</v>
      </c>
      <c r="C321" s="54" t="s">
        <v>3416</v>
      </c>
      <c r="D321" s="84" t="s">
        <v>1464</v>
      </c>
      <c r="E321" s="84" t="s">
        <v>169</v>
      </c>
      <c r="F321" t="s">
        <v>32</v>
      </c>
      <c r="G321" s="61">
        <v>589000</v>
      </c>
      <c r="H321" s="63">
        <v>589000</v>
      </c>
      <c r="I321" t="s">
        <v>39</v>
      </c>
      <c r="J321" t="s">
        <v>44</v>
      </c>
      <c r="K321" s="198" t="s">
        <v>3098</v>
      </c>
      <c r="M321" t="s">
        <v>54</v>
      </c>
      <c r="N3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1" t="s">
        <v>57</v>
      </c>
      <c r="Q321" t="s">
        <v>61</v>
      </c>
      <c r="R321" t="s">
        <v>61</v>
      </c>
      <c r="S321" t="s">
        <v>64</v>
      </c>
      <c r="T321" t="s">
        <v>69</v>
      </c>
      <c r="U321" s="79">
        <v>30</v>
      </c>
      <c r="V321" t="s">
        <v>74</v>
      </c>
      <c r="W321" t="s">
        <v>3139</v>
      </c>
      <c r="X321" t="s">
        <v>1466</v>
      </c>
    </row>
    <row r="322" spans="1:24" ht="199.5" x14ac:dyDescent="0.2">
      <c r="A322" s="84" t="s">
        <v>1468</v>
      </c>
      <c r="B322">
        <f t="shared" ca="1" si="4"/>
        <v>59</v>
      </c>
      <c r="C322" s="54" t="s">
        <v>3417</v>
      </c>
      <c r="D322" s="84" t="s">
        <v>1467</v>
      </c>
      <c r="E322" s="84" t="s">
        <v>126</v>
      </c>
      <c r="F322" t="s">
        <v>32</v>
      </c>
      <c r="G322" s="61">
        <v>1035000</v>
      </c>
      <c r="H322" s="63">
        <v>1035000</v>
      </c>
      <c r="I322" t="s">
        <v>39</v>
      </c>
      <c r="J322" t="s">
        <v>45</v>
      </c>
      <c r="K322" s="198" t="s">
        <v>3099</v>
      </c>
      <c r="M322" t="s">
        <v>54</v>
      </c>
      <c r="N3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2" t="s">
        <v>57</v>
      </c>
      <c r="Q322" t="s">
        <v>61</v>
      </c>
      <c r="R322" t="s">
        <v>61</v>
      </c>
      <c r="S322" t="s">
        <v>64</v>
      </c>
      <c r="T322" t="s">
        <v>69</v>
      </c>
      <c r="U322" s="79">
        <v>90</v>
      </c>
      <c r="V322" t="s">
        <v>74</v>
      </c>
      <c r="W322" t="s">
        <v>3139</v>
      </c>
      <c r="X322" t="s">
        <v>1469</v>
      </c>
    </row>
    <row r="323" spans="1:24" ht="213.75" x14ac:dyDescent="0.2">
      <c r="A323" s="84" t="s">
        <v>2557</v>
      </c>
      <c r="B323">
        <f t="shared" ca="1" si="4"/>
        <v>58</v>
      </c>
      <c r="C323" s="54" t="s">
        <v>3418</v>
      </c>
      <c r="D323" s="84" t="s">
        <v>1472</v>
      </c>
      <c r="E323" s="84" t="s">
        <v>125</v>
      </c>
      <c r="F323" t="s">
        <v>32</v>
      </c>
      <c r="G323" s="61">
        <v>1152000</v>
      </c>
      <c r="H323" s="63">
        <v>1152000</v>
      </c>
      <c r="I323" t="s">
        <v>39</v>
      </c>
      <c r="J323" t="s">
        <v>44</v>
      </c>
      <c r="K323" s="198" t="s">
        <v>3100</v>
      </c>
      <c r="M323" t="s">
        <v>54</v>
      </c>
      <c r="N3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3" t="s">
        <v>57</v>
      </c>
      <c r="Q323" t="s">
        <v>61</v>
      </c>
      <c r="R323" t="s">
        <v>61</v>
      </c>
      <c r="S323" t="s">
        <v>64</v>
      </c>
      <c r="T323" t="s">
        <v>69</v>
      </c>
      <c r="U323" s="79">
        <v>30</v>
      </c>
      <c r="V323" t="s">
        <v>74</v>
      </c>
      <c r="W323" t="s">
        <v>3139</v>
      </c>
      <c r="X323" t="s">
        <v>1474</v>
      </c>
    </row>
    <row r="324" spans="1:24" ht="213.75" x14ac:dyDescent="0.2">
      <c r="A324" s="84" t="s">
        <v>2558</v>
      </c>
      <c r="B324">
        <f t="shared" ca="1" si="4"/>
        <v>57</v>
      </c>
      <c r="C324" s="54" t="s">
        <v>3419</v>
      </c>
      <c r="D324" s="84" t="s">
        <v>1477</v>
      </c>
      <c r="E324" s="84" t="s">
        <v>126</v>
      </c>
      <c r="F324" t="s">
        <v>32</v>
      </c>
      <c r="G324" s="61">
        <v>659000</v>
      </c>
      <c r="H324" s="63">
        <v>659000</v>
      </c>
      <c r="I324" t="s">
        <v>39</v>
      </c>
      <c r="J324" t="s">
        <v>45</v>
      </c>
      <c r="K324" s="198" t="s">
        <v>3101</v>
      </c>
      <c r="M324" t="s">
        <v>54</v>
      </c>
      <c r="N3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4" t="s">
        <v>57</v>
      </c>
      <c r="Q324" t="s">
        <v>61</v>
      </c>
      <c r="R324" t="s">
        <v>61</v>
      </c>
      <c r="S324" t="s">
        <v>64</v>
      </c>
      <c r="T324" t="s">
        <v>69</v>
      </c>
      <c r="U324" s="79">
        <v>90</v>
      </c>
      <c r="V324" t="s">
        <v>74</v>
      </c>
      <c r="W324" t="s">
        <v>3139</v>
      </c>
      <c r="X324" t="s">
        <v>2757</v>
      </c>
    </row>
    <row r="325" spans="1:24" ht="199.5" x14ac:dyDescent="0.2">
      <c r="A325" s="84" t="s">
        <v>1481</v>
      </c>
      <c r="B325">
        <f t="shared" ca="1" si="4"/>
        <v>55</v>
      </c>
      <c r="D325" s="84" t="s">
        <v>1480</v>
      </c>
      <c r="E325" s="84" t="s">
        <v>126</v>
      </c>
      <c r="F325" t="s">
        <v>32</v>
      </c>
      <c r="G325" s="61">
        <v>624000</v>
      </c>
      <c r="H325" s="63">
        <v>624000</v>
      </c>
      <c r="I325" t="s">
        <v>39</v>
      </c>
      <c r="J325" t="s">
        <v>45</v>
      </c>
      <c r="K325" s="198" t="s">
        <v>3102</v>
      </c>
      <c r="M325" t="s">
        <v>54</v>
      </c>
      <c r="N3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5" t="s">
        <v>57</v>
      </c>
      <c r="Q325" t="s">
        <v>61</v>
      </c>
      <c r="R325" t="s">
        <v>61</v>
      </c>
      <c r="S325" t="s">
        <v>64</v>
      </c>
      <c r="T325" t="s">
        <v>69</v>
      </c>
      <c r="U325" s="79">
        <v>90</v>
      </c>
      <c r="V325" t="s">
        <v>74</v>
      </c>
      <c r="W325" t="s">
        <v>3139</v>
      </c>
      <c r="X325" t="s">
        <v>1482</v>
      </c>
    </row>
    <row r="326" spans="1:24" ht="213.75" x14ac:dyDescent="0.2">
      <c r="A326" s="84" t="s">
        <v>2559</v>
      </c>
      <c r="B326">
        <f t="shared" ca="1" si="4"/>
        <v>60</v>
      </c>
      <c r="C326" s="54" t="s">
        <v>3420</v>
      </c>
      <c r="D326" s="84" t="s">
        <v>1483</v>
      </c>
      <c r="E326" s="84" t="s">
        <v>126</v>
      </c>
      <c r="F326" t="s">
        <v>32</v>
      </c>
      <c r="G326" s="61">
        <v>970000</v>
      </c>
      <c r="H326" s="63">
        <v>970000</v>
      </c>
      <c r="I326" t="s">
        <v>39</v>
      </c>
      <c r="J326" t="s">
        <v>45</v>
      </c>
      <c r="K326" s="198" t="s">
        <v>3103</v>
      </c>
      <c r="M326" t="s">
        <v>54</v>
      </c>
      <c r="N3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6" t="s">
        <v>57</v>
      </c>
      <c r="Q326" t="s">
        <v>61</v>
      </c>
      <c r="R326" t="s">
        <v>61</v>
      </c>
      <c r="S326" t="s">
        <v>64</v>
      </c>
      <c r="T326" t="s">
        <v>69</v>
      </c>
      <c r="U326" s="79">
        <v>90</v>
      </c>
      <c r="V326" t="s">
        <v>74</v>
      </c>
      <c r="W326" t="s">
        <v>3139</v>
      </c>
      <c r="X326" t="s">
        <v>1485</v>
      </c>
    </row>
    <row r="327" spans="1:24" ht="199.5" x14ac:dyDescent="0.2">
      <c r="A327" s="84" t="s">
        <v>2560</v>
      </c>
      <c r="B327">
        <f t="shared" ref="B327:B390" ca="1" si="5">LEN(INDIRECT(ADDRESS(ROW() + (0),COLUMN() + (-1))))</f>
        <v>55</v>
      </c>
      <c r="C327" s="54" t="s">
        <v>3421</v>
      </c>
      <c r="D327" s="84" t="s">
        <v>1488</v>
      </c>
      <c r="E327" s="84" t="s">
        <v>126</v>
      </c>
      <c r="F327" t="s">
        <v>32</v>
      </c>
      <c r="G327" s="61">
        <v>624000</v>
      </c>
      <c r="H327" s="63">
        <v>624000</v>
      </c>
      <c r="I327" t="s">
        <v>39</v>
      </c>
      <c r="J327" t="s">
        <v>44</v>
      </c>
      <c r="K327" s="198" t="s">
        <v>3104</v>
      </c>
      <c r="M327" t="s">
        <v>54</v>
      </c>
      <c r="N3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7" t="s">
        <v>57</v>
      </c>
      <c r="Q327" t="s">
        <v>61</v>
      </c>
      <c r="R327" t="s">
        <v>61</v>
      </c>
      <c r="S327" t="s">
        <v>64</v>
      </c>
      <c r="T327" t="s">
        <v>69</v>
      </c>
      <c r="U327" s="79">
        <v>30</v>
      </c>
      <c r="V327" t="s">
        <v>74</v>
      </c>
      <c r="W327" t="s">
        <v>3139</v>
      </c>
      <c r="X327" t="s">
        <v>2758</v>
      </c>
    </row>
    <row r="328" spans="1:24" ht="199.5" x14ac:dyDescent="0.2">
      <c r="A328" s="84" t="s">
        <v>1492</v>
      </c>
      <c r="B328">
        <f t="shared" ca="1" si="5"/>
        <v>37</v>
      </c>
      <c r="C328" s="54" t="s">
        <v>3422</v>
      </c>
      <c r="D328" s="84" t="s">
        <v>1491</v>
      </c>
      <c r="E328" s="84" t="s">
        <v>125</v>
      </c>
      <c r="F328" t="s">
        <v>32</v>
      </c>
      <c r="G328" s="61">
        <v>822000</v>
      </c>
      <c r="H328" s="63">
        <v>822000</v>
      </c>
      <c r="I328" t="s">
        <v>39</v>
      </c>
      <c r="J328" t="s">
        <v>44</v>
      </c>
      <c r="K328" s="198" t="s">
        <v>3105</v>
      </c>
      <c r="M328" t="s">
        <v>54</v>
      </c>
      <c r="N3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8" t="s">
        <v>57</v>
      </c>
      <c r="Q328" t="s">
        <v>61</v>
      </c>
      <c r="R328" t="s">
        <v>61</v>
      </c>
      <c r="S328" t="s">
        <v>64</v>
      </c>
      <c r="T328" t="s">
        <v>69</v>
      </c>
      <c r="U328" s="79">
        <v>30</v>
      </c>
      <c r="V328" t="s">
        <v>74</v>
      </c>
      <c r="W328" t="s">
        <v>3139</v>
      </c>
      <c r="X328" t="s">
        <v>2759</v>
      </c>
    </row>
    <row r="329" spans="1:24" ht="199.5" x14ac:dyDescent="0.2">
      <c r="A329" s="84" t="s">
        <v>1495</v>
      </c>
      <c r="B329">
        <f t="shared" ca="1" si="5"/>
        <v>52</v>
      </c>
      <c r="C329" s="54" t="s">
        <v>3423</v>
      </c>
      <c r="D329" s="84" t="s">
        <v>1494</v>
      </c>
      <c r="E329" s="84" t="s">
        <v>125</v>
      </c>
      <c r="F329" t="s">
        <v>32</v>
      </c>
      <c r="G329" s="61">
        <v>697000</v>
      </c>
      <c r="H329" s="63">
        <v>697000</v>
      </c>
      <c r="I329" t="s">
        <v>39</v>
      </c>
      <c r="J329" t="s">
        <v>44</v>
      </c>
      <c r="K329" s="198" t="s">
        <v>3106</v>
      </c>
      <c r="M329" t="s">
        <v>54</v>
      </c>
      <c r="N3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29" t="s">
        <v>57</v>
      </c>
      <c r="Q329" t="s">
        <v>61</v>
      </c>
      <c r="R329" t="s">
        <v>61</v>
      </c>
      <c r="S329" t="s">
        <v>64</v>
      </c>
      <c r="T329" t="s">
        <v>69</v>
      </c>
      <c r="U329" s="79">
        <v>30</v>
      </c>
      <c r="V329" t="s">
        <v>74</v>
      </c>
      <c r="W329" t="s">
        <v>3139</v>
      </c>
      <c r="X329" t="s">
        <v>2760</v>
      </c>
    </row>
    <row r="330" spans="1:24" ht="199.5" x14ac:dyDescent="0.2">
      <c r="A330" s="84" t="s">
        <v>1498</v>
      </c>
      <c r="B330">
        <f t="shared" ca="1" si="5"/>
        <v>47</v>
      </c>
      <c r="C330" s="54" t="s">
        <v>3424</v>
      </c>
      <c r="D330" s="84" t="s">
        <v>1497</v>
      </c>
      <c r="E330" s="84" t="s">
        <v>200</v>
      </c>
      <c r="F330" t="s">
        <v>32</v>
      </c>
      <c r="G330" s="61">
        <v>717000</v>
      </c>
      <c r="H330" s="63">
        <v>717000</v>
      </c>
      <c r="I330" t="s">
        <v>39</v>
      </c>
      <c r="J330" t="s">
        <v>44</v>
      </c>
      <c r="K330" s="198" t="s">
        <v>3107</v>
      </c>
      <c r="M330" t="s">
        <v>54</v>
      </c>
      <c r="N3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0" t="s">
        <v>57</v>
      </c>
      <c r="Q330" t="s">
        <v>61</v>
      </c>
      <c r="R330" t="s">
        <v>61</v>
      </c>
      <c r="S330" t="s">
        <v>64</v>
      </c>
      <c r="T330" t="s">
        <v>69</v>
      </c>
      <c r="U330" s="79">
        <v>30</v>
      </c>
      <c r="V330" t="s">
        <v>74</v>
      </c>
      <c r="W330" t="s">
        <v>3139</v>
      </c>
      <c r="X330" t="s">
        <v>1499</v>
      </c>
    </row>
    <row r="331" spans="1:24" ht="199.5" x14ac:dyDescent="0.2">
      <c r="A331" s="84" t="s">
        <v>1501</v>
      </c>
      <c r="B331">
        <f t="shared" ca="1" si="5"/>
        <v>46</v>
      </c>
      <c r="C331" s="54" t="s">
        <v>3425</v>
      </c>
      <c r="D331" s="84" t="s">
        <v>1500</v>
      </c>
      <c r="E331" s="84" t="s">
        <v>126</v>
      </c>
      <c r="F331" t="s">
        <v>32</v>
      </c>
      <c r="G331" s="61">
        <v>647000</v>
      </c>
      <c r="H331" s="63">
        <v>647000</v>
      </c>
      <c r="I331" t="s">
        <v>39</v>
      </c>
      <c r="J331" t="s">
        <v>44</v>
      </c>
      <c r="K331" s="198" t="s">
        <v>3108</v>
      </c>
      <c r="M331" t="s">
        <v>54</v>
      </c>
      <c r="N3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1" t="s">
        <v>57</v>
      </c>
      <c r="Q331" t="s">
        <v>61</v>
      </c>
      <c r="R331" t="s">
        <v>61</v>
      </c>
      <c r="S331" t="s">
        <v>64</v>
      </c>
      <c r="T331" t="s">
        <v>69</v>
      </c>
      <c r="U331" s="79">
        <v>30</v>
      </c>
      <c r="V331" t="s">
        <v>74</v>
      </c>
      <c r="W331" t="s">
        <v>3139</v>
      </c>
      <c r="X331" t="s">
        <v>2761</v>
      </c>
    </row>
    <row r="332" spans="1:24" ht="199.5" x14ac:dyDescent="0.2">
      <c r="A332" s="84" t="s">
        <v>1504</v>
      </c>
      <c r="B332">
        <f t="shared" ca="1" si="5"/>
        <v>52</v>
      </c>
      <c r="C332" s="54" t="s">
        <v>3426</v>
      </c>
      <c r="D332" s="84" t="s">
        <v>1503</v>
      </c>
      <c r="E332" s="84" t="s">
        <v>200</v>
      </c>
      <c r="F332" t="s">
        <v>32</v>
      </c>
      <c r="G332" s="61">
        <v>787000</v>
      </c>
      <c r="H332" s="63">
        <v>787000</v>
      </c>
      <c r="I332" t="s">
        <v>39</v>
      </c>
      <c r="J332" t="s">
        <v>45</v>
      </c>
      <c r="K332" s="198" t="s">
        <v>3109</v>
      </c>
      <c r="M332" t="s">
        <v>54</v>
      </c>
      <c r="N3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2" t="s">
        <v>57</v>
      </c>
      <c r="Q332" t="s">
        <v>61</v>
      </c>
      <c r="R332" t="s">
        <v>61</v>
      </c>
      <c r="S332" t="s">
        <v>64</v>
      </c>
      <c r="T332" t="s">
        <v>69</v>
      </c>
      <c r="U332" s="79">
        <v>90</v>
      </c>
      <c r="V332" t="s">
        <v>74</v>
      </c>
      <c r="W332" t="s">
        <v>3139</v>
      </c>
      <c r="X332" t="s">
        <v>2762</v>
      </c>
    </row>
    <row r="333" spans="1:24" ht="199.5" x14ac:dyDescent="0.2">
      <c r="A333" s="84" t="s">
        <v>1507</v>
      </c>
      <c r="B333">
        <f t="shared" ca="1" si="5"/>
        <v>48</v>
      </c>
      <c r="C333" s="54" t="s">
        <v>3427</v>
      </c>
      <c r="D333" s="84" t="s">
        <v>1506</v>
      </c>
      <c r="E333" s="84" t="s">
        <v>169</v>
      </c>
      <c r="F333" t="s">
        <v>32</v>
      </c>
      <c r="G333" s="61">
        <v>857000</v>
      </c>
      <c r="H333" s="63">
        <v>857000</v>
      </c>
      <c r="I333" t="s">
        <v>39</v>
      </c>
      <c r="J333" t="s">
        <v>44</v>
      </c>
      <c r="K333" s="198" t="s">
        <v>3110</v>
      </c>
      <c r="M333" t="s">
        <v>54</v>
      </c>
      <c r="N3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3" t="s">
        <v>57</v>
      </c>
      <c r="Q333" t="s">
        <v>61</v>
      </c>
      <c r="R333" t="s">
        <v>61</v>
      </c>
      <c r="S333" t="s">
        <v>64</v>
      </c>
      <c r="T333" t="s">
        <v>69</v>
      </c>
      <c r="U333" s="79">
        <v>30</v>
      </c>
      <c r="V333" t="s">
        <v>74</v>
      </c>
      <c r="W333" t="s">
        <v>3139</v>
      </c>
      <c r="X333" t="s">
        <v>2763</v>
      </c>
    </row>
    <row r="334" spans="1:24" ht="199.5" x14ac:dyDescent="0.2">
      <c r="A334" s="84" t="s">
        <v>1510</v>
      </c>
      <c r="B334">
        <f t="shared" ca="1" si="5"/>
        <v>43</v>
      </c>
      <c r="C334" s="54" t="s">
        <v>3428</v>
      </c>
      <c r="D334" s="84" t="s">
        <v>1509</v>
      </c>
      <c r="E334" s="84" t="s">
        <v>125</v>
      </c>
      <c r="F334" t="s">
        <v>32</v>
      </c>
      <c r="G334" s="61">
        <v>845000</v>
      </c>
      <c r="H334" s="63">
        <v>845000</v>
      </c>
      <c r="I334" t="s">
        <v>39</v>
      </c>
      <c r="J334" t="s">
        <v>44</v>
      </c>
      <c r="K334" s="198" t="s">
        <v>3111</v>
      </c>
      <c r="M334" t="s">
        <v>54</v>
      </c>
      <c r="N3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4" t="s">
        <v>57</v>
      </c>
      <c r="Q334" t="s">
        <v>61</v>
      </c>
      <c r="R334" t="s">
        <v>61</v>
      </c>
      <c r="S334" t="s">
        <v>64</v>
      </c>
      <c r="T334" t="s">
        <v>69</v>
      </c>
      <c r="U334" s="79">
        <v>30</v>
      </c>
      <c r="V334" t="s">
        <v>74</v>
      </c>
      <c r="W334" t="s">
        <v>3139</v>
      </c>
      <c r="X334" t="s">
        <v>1511</v>
      </c>
    </row>
    <row r="335" spans="1:24" ht="199.5" x14ac:dyDescent="0.2">
      <c r="A335" s="84" t="s">
        <v>1515</v>
      </c>
      <c r="B335">
        <f t="shared" ca="1" si="5"/>
        <v>51</v>
      </c>
      <c r="C335" s="54" t="s">
        <v>3429</v>
      </c>
      <c r="D335" s="84" t="s">
        <v>1514</v>
      </c>
      <c r="E335" s="84" t="s">
        <v>125</v>
      </c>
      <c r="F335" t="s">
        <v>32</v>
      </c>
      <c r="G335" s="61">
        <v>371000</v>
      </c>
      <c r="H335" s="63">
        <v>371000</v>
      </c>
      <c r="I335" t="s">
        <v>39</v>
      </c>
      <c r="J335" t="s">
        <v>45</v>
      </c>
      <c r="K335" s="198" t="s">
        <v>3112</v>
      </c>
      <c r="M335" t="s">
        <v>54</v>
      </c>
      <c r="N3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5" t="s">
        <v>57</v>
      </c>
      <c r="Q335" t="s">
        <v>61</v>
      </c>
      <c r="R335" t="s">
        <v>61</v>
      </c>
      <c r="S335" t="s">
        <v>64</v>
      </c>
      <c r="T335" t="s">
        <v>69</v>
      </c>
      <c r="U335" s="79">
        <v>90</v>
      </c>
      <c r="V335" t="s">
        <v>74</v>
      </c>
      <c r="W335" t="s">
        <v>3139</v>
      </c>
      <c r="X335" t="s">
        <v>2764</v>
      </c>
    </row>
    <row r="336" spans="1:24" ht="199.5" x14ac:dyDescent="0.2">
      <c r="A336" s="84" t="s">
        <v>1518</v>
      </c>
      <c r="B336">
        <f t="shared" ca="1" si="5"/>
        <v>57</v>
      </c>
      <c r="D336" s="84" t="s">
        <v>1517</v>
      </c>
      <c r="E336" s="84" t="s">
        <v>126</v>
      </c>
      <c r="F336" t="s">
        <v>32</v>
      </c>
      <c r="G336" s="61">
        <v>592000</v>
      </c>
      <c r="H336" s="63">
        <v>592000</v>
      </c>
      <c r="I336" t="s">
        <v>39</v>
      </c>
      <c r="J336" t="s">
        <v>44</v>
      </c>
      <c r="K336" s="198" t="s">
        <v>3113</v>
      </c>
      <c r="M336" t="s">
        <v>54</v>
      </c>
      <c r="N3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6" t="s">
        <v>57</v>
      </c>
      <c r="Q336" t="s">
        <v>61</v>
      </c>
      <c r="R336" t="s">
        <v>61</v>
      </c>
      <c r="S336" t="s">
        <v>64</v>
      </c>
      <c r="T336" t="s">
        <v>69</v>
      </c>
      <c r="U336" s="79">
        <v>30</v>
      </c>
      <c r="V336" t="s">
        <v>74</v>
      </c>
      <c r="W336" t="s">
        <v>3139</v>
      </c>
      <c r="X336" t="s">
        <v>2765</v>
      </c>
    </row>
    <row r="337" spans="1:24" ht="199.5" x14ac:dyDescent="0.2">
      <c r="A337" s="84" t="s">
        <v>1439</v>
      </c>
      <c r="B337">
        <f t="shared" ca="1" si="5"/>
        <v>57</v>
      </c>
      <c r="C337" s="54" t="s">
        <v>3430</v>
      </c>
      <c r="D337" s="84" t="s">
        <v>1520</v>
      </c>
      <c r="E337" s="84" t="s">
        <v>126</v>
      </c>
      <c r="F337" t="s">
        <v>32</v>
      </c>
      <c r="G337" s="61">
        <v>473000</v>
      </c>
      <c r="H337" s="63">
        <v>473000</v>
      </c>
      <c r="I337" t="s">
        <v>39</v>
      </c>
      <c r="J337" t="s">
        <v>45</v>
      </c>
      <c r="K337" s="198" t="s">
        <v>3090</v>
      </c>
      <c r="M337" t="s">
        <v>54</v>
      </c>
      <c r="N3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7" t="s">
        <v>57</v>
      </c>
      <c r="Q337" t="s">
        <v>61</v>
      </c>
      <c r="R337" t="s">
        <v>61</v>
      </c>
      <c r="S337" t="s">
        <v>64</v>
      </c>
      <c r="T337" t="s">
        <v>69</v>
      </c>
      <c r="U337" s="79">
        <v>90</v>
      </c>
      <c r="V337" t="s">
        <v>74</v>
      </c>
      <c r="W337" t="s">
        <v>3139</v>
      </c>
      <c r="X337" t="s">
        <v>1521</v>
      </c>
    </row>
    <row r="338" spans="1:24" ht="199.5" x14ac:dyDescent="0.2">
      <c r="A338" s="84" t="s">
        <v>2561</v>
      </c>
      <c r="B338">
        <f t="shared" ca="1" si="5"/>
        <v>51</v>
      </c>
      <c r="C338" s="54" t="s">
        <v>3431</v>
      </c>
      <c r="D338" s="84" t="s">
        <v>1522</v>
      </c>
      <c r="E338" s="84" t="s">
        <v>125</v>
      </c>
      <c r="F338" t="s">
        <v>32</v>
      </c>
      <c r="G338" s="61">
        <v>380000</v>
      </c>
      <c r="H338" s="63">
        <v>380000</v>
      </c>
      <c r="I338" t="s">
        <v>39</v>
      </c>
      <c r="J338" t="s">
        <v>45</v>
      </c>
      <c r="K338" s="198" t="s">
        <v>3114</v>
      </c>
      <c r="M338" t="s">
        <v>54</v>
      </c>
      <c r="N3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8" t="s">
        <v>57</v>
      </c>
      <c r="Q338" t="s">
        <v>61</v>
      </c>
      <c r="R338" t="s">
        <v>61</v>
      </c>
      <c r="S338" t="s">
        <v>64</v>
      </c>
      <c r="T338" t="s">
        <v>69</v>
      </c>
      <c r="U338" s="79">
        <v>90</v>
      </c>
      <c r="V338" t="s">
        <v>74</v>
      </c>
      <c r="W338" t="s">
        <v>3139</v>
      </c>
      <c r="X338" t="s">
        <v>2766</v>
      </c>
    </row>
    <row r="339" spans="1:24" ht="199.5" x14ac:dyDescent="0.2">
      <c r="A339" s="84" t="s">
        <v>1526</v>
      </c>
      <c r="B339">
        <f t="shared" ca="1" si="5"/>
        <v>38</v>
      </c>
      <c r="C339" s="54" t="s">
        <v>3432</v>
      </c>
      <c r="D339" s="84" t="s">
        <v>1525</v>
      </c>
      <c r="E339" s="84" t="s">
        <v>125</v>
      </c>
      <c r="F339" t="s">
        <v>32</v>
      </c>
      <c r="G339" s="61">
        <v>647000</v>
      </c>
      <c r="H339" s="63">
        <v>647000</v>
      </c>
      <c r="I339" t="s">
        <v>39</v>
      </c>
      <c r="J339" t="s">
        <v>44</v>
      </c>
      <c r="K339" s="198" t="s">
        <v>3115</v>
      </c>
      <c r="M339" t="s">
        <v>54</v>
      </c>
      <c r="N3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39" t="s">
        <v>57</v>
      </c>
      <c r="Q339" t="s">
        <v>61</v>
      </c>
      <c r="R339" t="s">
        <v>61</v>
      </c>
      <c r="S339" t="s">
        <v>64</v>
      </c>
      <c r="T339" t="s">
        <v>69</v>
      </c>
      <c r="U339" s="79">
        <v>30</v>
      </c>
      <c r="V339" t="s">
        <v>74</v>
      </c>
      <c r="W339" t="s">
        <v>3139</v>
      </c>
      <c r="X339" t="s">
        <v>2767</v>
      </c>
    </row>
    <row r="340" spans="1:24" ht="199.5" x14ac:dyDescent="0.2">
      <c r="A340" s="84" t="s">
        <v>722</v>
      </c>
      <c r="B340">
        <f t="shared" ca="1" si="5"/>
        <v>42</v>
      </c>
      <c r="C340" s="54" t="s">
        <v>3433</v>
      </c>
      <c r="D340" s="84" t="s">
        <v>1528</v>
      </c>
      <c r="E340" s="84" t="s">
        <v>200</v>
      </c>
      <c r="F340" t="s">
        <v>32</v>
      </c>
      <c r="G340" s="61">
        <v>1019000</v>
      </c>
      <c r="H340" s="63">
        <v>1019000</v>
      </c>
      <c r="I340" t="s">
        <v>39</v>
      </c>
      <c r="J340" t="s">
        <v>44</v>
      </c>
      <c r="K340" s="198" t="s">
        <v>2907</v>
      </c>
      <c r="M340" t="s">
        <v>54</v>
      </c>
      <c r="N3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0" t="s">
        <v>57</v>
      </c>
      <c r="Q340" t="s">
        <v>61</v>
      </c>
      <c r="R340" t="s">
        <v>61</v>
      </c>
      <c r="S340" t="s">
        <v>64</v>
      </c>
      <c r="T340" t="s">
        <v>69</v>
      </c>
      <c r="U340" s="79">
        <v>30</v>
      </c>
      <c r="V340" t="s">
        <v>74</v>
      </c>
      <c r="W340" t="s">
        <v>3139</v>
      </c>
      <c r="X340" t="s">
        <v>1530</v>
      </c>
    </row>
    <row r="341" spans="1:24" ht="199.5" x14ac:dyDescent="0.2">
      <c r="A341" s="84" t="s">
        <v>2562</v>
      </c>
      <c r="B341">
        <f t="shared" ca="1" si="5"/>
        <v>46</v>
      </c>
      <c r="C341" s="54" t="s">
        <v>3434</v>
      </c>
      <c r="D341" s="84" t="s">
        <v>1531</v>
      </c>
      <c r="E341" s="84" t="s">
        <v>264</v>
      </c>
      <c r="F341" t="s">
        <v>32</v>
      </c>
      <c r="G341" s="61">
        <v>1019000</v>
      </c>
      <c r="H341" s="63">
        <v>1019000</v>
      </c>
      <c r="I341" t="s">
        <v>39</v>
      </c>
      <c r="J341" t="s">
        <v>44</v>
      </c>
      <c r="K341" s="198" t="s">
        <v>3116</v>
      </c>
      <c r="M341" t="s">
        <v>54</v>
      </c>
      <c r="N3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1" t="s">
        <v>57</v>
      </c>
      <c r="Q341" t="s">
        <v>61</v>
      </c>
      <c r="R341" t="s">
        <v>61</v>
      </c>
      <c r="S341" t="s">
        <v>64</v>
      </c>
      <c r="T341" t="s">
        <v>69</v>
      </c>
      <c r="U341" s="79">
        <v>30</v>
      </c>
      <c r="V341" t="s">
        <v>74</v>
      </c>
      <c r="W341" t="s">
        <v>3139</v>
      </c>
      <c r="X341" t="s">
        <v>1533</v>
      </c>
    </row>
    <row r="342" spans="1:24" ht="199.5" x14ac:dyDescent="0.2">
      <c r="A342" s="84" t="s">
        <v>1535</v>
      </c>
      <c r="B342">
        <f t="shared" ca="1" si="5"/>
        <v>54</v>
      </c>
      <c r="C342" s="54" t="s">
        <v>3435</v>
      </c>
      <c r="D342" s="84" t="s">
        <v>1534</v>
      </c>
      <c r="E342" s="84" t="s">
        <v>126</v>
      </c>
      <c r="F342" t="s">
        <v>32</v>
      </c>
      <c r="G342" s="61">
        <v>310000</v>
      </c>
      <c r="H342" s="63">
        <v>310000</v>
      </c>
      <c r="I342" t="s">
        <v>39</v>
      </c>
      <c r="J342" t="s">
        <v>45</v>
      </c>
      <c r="K342" s="198" t="s">
        <v>3117</v>
      </c>
      <c r="M342" t="s">
        <v>54</v>
      </c>
      <c r="N3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2" t="s">
        <v>57</v>
      </c>
      <c r="Q342" t="s">
        <v>61</v>
      </c>
      <c r="R342" t="s">
        <v>61</v>
      </c>
      <c r="S342" t="s">
        <v>64</v>
      </c>
      <c r="T342" t="s">
        <v>69</v>
      </c>
      <c r="U342" s="79">
        <v>90</v>
      </c>
      <c r="V342" t="s">
        <v>74</v>
      </c>
      <c r="W342" t="s">
        <v>3139</v>
      </c>
      <c r="X342" t="s">
        <v>2768</v>
      </c>
    </row>
    <row r="343" spans="1:24" ht="199.5" x14ac:dyDescent="0.2">
      <c r="A343" s="84" t="s">
        <v>1538</v>
      </c>
      <c r="B343">
        <f t="shared" ca="1" si="5"/>
        <v>53</v>
      </c>
      <c r="C343" s="54" t="s">
        <v>3436</v>
      </c>
      <c r="D343" s="84" t="s">
        <v>1537</v>
      </c>
      <c r="E343" s="84" t="s">
        <v>125</v>
      </c>
      <c r="F343" t="s">
        <v>32</v>
      </c>
      <c r="G343" s="61">
        <v>833000</v>
      </c>
      <c r="H343" s="63">
        <v>833000</v>
      </c>
      <c r="I343" t="s">
        <v>39</v>
      </c>
      <c r="J343" t="s">
        <v>44</v>
      </c>
      <c r="K343" s="198" t="s">
        <v>3118</v>
      </c>
      <c r="M343" t="s">
        <v>54</v>
      </c>
      <c r="N3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3" t="s">
        <v>57</v>
      </c>
      <c r="Q343" t="s">
        <v>61</v>
      </c>
      <c r="R343" t="s">
        <v>61</v>
      </c>
      <c r="S343" t="s">
        <v>64</v>
      </c>
      <c r="T343" t="s">
        <v>69</v>
      </c>
      <c r="U343" s="79">
        <v>30</v>
      </c>
      <c r="V343" t="s">
        <v>74</v>
      </c>
      <c r="W343" t="s">
        <v>3139</v>
      </c>
      <c r="X343" t="s">
        <v>2769</v>
      </c>
    </row>
    <row r="344" spans="1:24" ht="199.5" x14ac:dyDescent="0.2">
      <c r="A344" s="84" t="s">
        <v>2563</v>
      </c>
      <c r="B344">
        <f t="shared" ca="1" si="5"/>
        <v>55</v>
      </c>
      <c r="C344" s="54" t="s">
        <v>3437</v>
      </c>
      <c r="D344" s="84" t="s">
        <v>1540</v>
      </c>
      <c r="E344" s="84" t="s">
        <v>144</v>
      </c>
      <c r="F344" t="s">
        <v>32</v>
      </c>
      <c r="G344" s="61">
        <v>798000</v>
      </c>
      <c r="H344" s="63">
        <v>798000</v>
      </c>
      <c r="I344" t="s">
        <v>39</v>
      </c>
      <c r="J344" t="s">
        <v>44</v>
      </c>
      <c r="K344" s="198" t="s">
        <v>3119</v>
      </c>
      <c r="M344" t="s">
        <v>54</v>
      </c>
      <c r="N3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4" t="s">
        <v>57</v>
      </c>
      <c r="Q344" t="s">
        <v>61</v>
      </c>
      <c r="R344" t="s">
        <v>61</v>
      </c>
      <c r="S344" t="s">
        <v>64</v>
      </c>
      <c r="T344" t="s">
        <v>69</v>
      </c>
      <c r="U344" s="79">
        <v>30</v>
      </c>
      <c r="V344" t="s">
        <v>74</v>
      </c>
      <c r="W344" t="s">
        <v>3139</v>
      </c>
      <c r="X344" t="s">
        <v>2770</v>
      </c>
    </row>
    <row r="345" spans="1:24" ht="199.5" x14ac:dyDescent="0.2">
      <c r="A345" s="84" t="s">
        <v>2564</v>
      </c>
      <c r="B345">
        <f t="shared" ca="1" si="5"/>
        <v>41</v>
      </c>
      <c r="C345" s="54" t="s">
        <v>3438</v>
      </c>
      <c r="D345" s="84" t="s">
        <v>1543</v>
      </c>
      <c r="E345" s="84" t="s">
        <v>125</v>
      </c>
      <c r="F345" t="s">
        <v>32</v>
      </c>
      <c r="G345" s="61">
        <v>426000</v>
      </c>
      <c r="H345" s="63">
        <v>426000</v>
      </c>
      <c r="I345" t="s">
        <v>39</v>
      </c>
      <c r="J345" t="s">
        <v>45</v>
      </c>
      <c r="K345" s="198" t="s">
        <v>3120</v>
      </c>
      <c r="M345" t="s">
        <v>54</v>
      </c>
      <c r="N3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5" t="s">
        <v>57</v>
      </c>
      <c r="Q345" t="s">
        <v>61</v>
      </c>
      <c r="R345" t="s">
        <v>61</v>
      </c>
      <c r="S345" t="s">
        <v>64</v>
      </c>
      <c r="T345" t="s">
        <v>69</v>
      </c>
      <c r="U345" s="79">
        <v>90</v>
      </c>
      <c r="V345" t="s">
        <v>74</v>
      </c>
      <c r="W345" t="s">
        <v>3139</v>
      </c>
      <c r="X345" t="s">
        <v>2771</v>
      </c>
    </row>
    <row r="346" spans="1:24" ht="199.5" x14ac:dyDescent="0.2">
      <c r="A346" s="84" t="s">
        <v>1547</v>
      </c>
      <c r="B346">
        <f t="shared" ca="1" si="5"/>
        <v>42</v>
      </c>
      <c r="C346" s="54" t="s">
        <v>3439</v>
      </c>
      <c r="D346" s="84" t="s">
        <v>1546</v>
      </c>
      <c r="E346" s="84" t="s">
        <v>264</v>
      </c>
      <c r="F346" t="s">
        <v>32</v>
      </c>
      <c r="G346" s="61">
        <v>612000</v>
      </c>
      <c r="H346" s="63">
        <v>612000</v>
      </c>
      <c r="I346" t="s">
        <v>39</v>
      </c>
      <c r="J346" t="s">
        <v>44</v>
      </c>
      <c r="K346" s="198" t="s">
        <v>3121</v>
      </c>
      <c r="M346" t="s">
        <v>54</v>
      </c>
      <c r="N3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6" t="s">
        <v>57</v>
      </c>
      <c r="Q346" t="s">
        <v>61</v>
      </c>
      <c r="R346" t="s">
        <v>61</v>
      </c>
      <c r="S346" t="s">
        <v>64</v>
      </c>
      <c r="T346" t="s">
        <v>69</v>
      </c>
      <c r="U346" s="79">
        <v>30</v>
      </c>
      <c r="V346" t="s">
        <v>74</v>
      </c>
      <c r="W346" t="s">
        <v>3139</v>
      </c>
      <c r="X346" t="s">
        <v>1548</v>
      </c>
    </row>
    <row r="347" spans="1:24" ht="199.5" x14ac:dyDescent="0.2">
      <c r="A347" s="84" t="s">
        <v>1550</v>
      </c>
      <c r="B347">
        <f t="shared" ca="1" si="5"/>
        <v>54</v>
      </c>
      <c r="C347" s="54" t="s">
        <v>3440</v>
      </c>
      <c r="D347" s="84" t="s">
        <v>1549</v>
      </c>
      <c r="E347" s="84" t="s">
        <v>126</v>
      </c>
      <c r="F347" t="s">
        <v>32</v>
      </c>
      <c r="G347" s="61">
        <v>484000</v>
      </c>
      <c r="H347" s="63">
        <v>484000</v>
      </c>
      <c r="I347" t="s">
        <v>39</v>
      </c>
      <c r="J347" t="s">
        <v>44</v>
      </c>
      <c r="K347" s="198" t="s">
        <v>3122</v>
      </c>
      <c r="M347" t="s">
        <v>54</v>
      </c>
      <c r="N3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7" t="s">
        <v>57</v>
      </c>
      <c r="Q347" t="s">
        <v>61</v>
      </c>
      <c r="R347" t="s">
        <v>61</v>
      </c>
      <c r="S347" t="s">
        <v>64</v>
      </c>
      <c r="T347" t="s">
        <v>69</v>
      </c>
      <c r="U347" s="79">
        <v>30</v>
      </c>
      <c r="V347" t="s">
        <v>74</v>
      </c>
      <c r="W347" t="s">
        <v>3139</v>
      </c>
      <c r="X347" t="s">
        <v>1551</v>
      </c>
    </row>
    <row r="348" spans="1:24" ht="199.5" x14ac:dyDescent="0.2">
      <c r="A348" s="84" t="s">
        <v>1553</v>
      </c>
      <c r="B348">
        <f t="shared" ca="1" si="5"/>
        <v>42</v>
      </c>
      <c r="D348" s="84" t="s">
        <v>1552</v>
      </c>
      <c r="E348" s="84" t="s">
        <v>126</v>
      </c>
      <c r="F348" t="s">
        <v>32</v>
      </c>
      <c r="G348" s="61">
        <v>833000</v>
      </c>
      <c r="H348" s="63">
        <v>833000</v>
      </c>
      <c r="I348" t="s">
        <v>39</v>
      </c>
      <c r="J348" t="s">
        <v>44</v>
      </c>
      <c r="K348" s="198" t="s">
        <v>3123</v>
      </c>
      <c r="M348" t="s">
        <v>54</v>
      </c>
      <c r="N3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8" t="s">
        <v>57</v>
      </c>
      <c r="Q348" t="s">
        <v>61</v>
      </c>
      <c r="R348" t="s">
        <v>61</v>
      </c>
      <c r="S348" t="s">
        <v>64</v>
      </c>
      <c r="T348" t="s">
        <v>69</v>
      </c>
      <c r="U348" s="79">
        <v>30</v>
      </c>
      <c r="V348" t="s">
        <v>74</v>
      </c>
      <c r="W348" t="s">
        <v>3139</v>
      </c>
      <c r="X348" t="s">
        <v>2772</v>
      </c>
    </row>
    <row r="349" spans="1:24" ht="199.5" x14ac:dyDescent="0.2">
      <c r="A349" s="84" t="s">
        <v>2565</v>
      </c>
      <c r="B349">
        <f t="shared" ca="1" si="5"/>
        <v>58</v>
      </c>
      <c r="C349" s="54" t="s">
        <v>3441</v>
      </c>
      <c r="D349" s="84" t="s">
        <v>1555</v>
      </c>
      <c r="E349" s="84" t="s">
        <v>125</v>
      </c>
      <c r="F349" t="s">
        <v>32</v>
      </c>
      <c r="G349" s="61">
        <v>1740000</v>
      </c>
      <c r="H349" s="63">
        <v>1740000</v>
      </c>
      <c r="I349" t="s">
        <v>39</v>
      </c>
      <c r="J349" t="s">
        <v>44</v>
      </c>
      <c r="K349" s="198" t="s">
        <v>3124</v>
      </c>
      <c r="M349" t="s">
        <v>54</v>
      </c>
      <c r="N3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49" t="s">
        <v>57</v>
      </c>
      <c r="Q349" t="s">
        <v>61</v>
      </c>
      <c r="R349" t="s">
        <v>61</v>
      </c>
      <c r="S349" t="s">
        <v>64</v>
      </c>
      <c r="T349" t="s">
        <v>69</v>
      </c>
      <c r="U349" s="79">
        <v>30</v>
      </c>
      <c r="V349" t="s">
        <v>74</v>
      </c>
      <c r="W349" t="s">
        <v>3139</v>
      </c>
      <c r="X349" t="s">
        <v>2773</v>
      </c>
    </row>
    <row r="350" spans="1:24" ht="199.5" x14ac:dyDescent="0.2">
      <c r="A350" s="84" t="s">
        <v>947</v>
      </c>
      <c r="B350">
        <f t="shared" ca="1" si="5"/>
        <v>50</v>
      </c>
      <c r="C350" s="54" t="s">
        <v>3442</v>
      </c>
      <c r="D350" s="84" t="s">
        <v>1562</v>
      </c>
      <c r="E350" s="84" t="s">
        <v>264</v>
      </c>
      <c r="F350" t="s">
        <v>32</v>
      </c>
      <c r="G350" s="61">
        <v>566000</v>
      </c>
      <c r="H350" s="63">
        <v>566000</v>
      </c>
      <c r="I350" t="s">
        <v>39</v>
      </c>
      <c r="J350" t="s">
        <v>44</v>
      </c>
      <c r="K350" s="198" t="s">
        <v>2963</v>
      </c>
      <c r="M350" t="s">
        <v>54</v>
      </c>
      <c r="N3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0" t="s">
        <v>57</v>
      </c>
      <c r="Q350" t="s">
        <v>61</v>
      </c>
      <c r="R350" t="s">
        <v>61</v>
      </c>
      <c r="S350" t="s">
        <v>64</v>
      </c>
      <c r="T350" t="s">
        <v>69</v>
      </c>
      <c r="U350" s="79">
        <v>30</v>
      </c>
      <c r="V350" t="s">
        <v>74</v>
      </c>
      <c r="W350" t="s">
        <v>3139</v>
      </c>
      <c r="X350" t="s">
        <v>2774</v>
      </c>
    </row>
    <row r="351" spans="1:24" ht="199.5" x14ac:dyDescent="0.2">
      <c r="A351" s="84" t="s">
        <v>1565</v>
      </c>
      <c r="B351">
        <f t="shared" ca="1" si="5"/>
        <v>39</v>
      </c>
      <c r="D351" s="84" t="s">
        <v>1564</v>
      </c>
      <c r="E351" s="84" t="s">
        <v>126</v>
      </c>
      <c r="F351" t="s">
        <v>32</v>
      </c>
      <c r="G351" s="61">
        <v>450000</v>
      </c>
      <c r="H351" s="63">
        <v>450000</v>
      </c>
      <c r="I351" t="s">
        <v>39</v>
      </c>
      <c r="J351" t="s">
        <v>44</v>
      </c>
      <c r="K351" s="198" t="s">
        <v>3125</v>
      </c>
      <c r="M351" t="s">
        <v>54</v>
      </c>
      <c r="N3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1" t="s">
        <v>57</v>
      </c>
      <c r="Q351" t="s">
        <v>61</v>
      </c>
      <c r="R351" t="s">
        <v>61</v>
      </c>
      <c r="S351" t="s">
        <v>64</v>
      </c>
      <c r="T351" t="s">
        <v>69</v>
      </c>
      <c r="U351" s="79">
        <v>30</v>
      </c>
      <c r="V351" t="s">
        <v>74</v>
      </c>
      <c r="W351" t="s">
        <v>3139</v>
      </c>
      <c r="X351" t="s">
        <v>2775</v>
      </c>
    </row>
    <row r="352" spans="1:24" ht="199.5" x14ac:dyDescent="0.2">
      <c r="A352" s="84" t="s">
        <v>2566</v>
      </c>
      <c r="B352">
        <f t="shared" ca="1" si="5"/>
        <v>52</v>
      </c>
      <c r="C352" s="54" t="s">
        <v>3443</v>
      </c>
      <c r="D352" s="84" t="s">
        <v>1567</v>
      </c>
      <c r="E352" s="84" t="s">
        <v>200</v>
      </c>
      <c r="F352" t="s">
        <v>32</v>
      </c>
      <c r="G352" s="61">
        <v>659000</v>
      </c>
      <c r="H352" s="63">
        <v>659000</v>
      </c>
      <c r="I352" t="s">
        <v>39</v>
      </c>
      <c r="J352" t="s">
        <v>44</v>
      </c>
      <c r="K352" s="198" t="s">
        <v>3126</v>
      </c>
      <c r="M352" t="s">
        <v>54</v>
      </c>
      <c r="N3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2" t="s">
        <v>57</v>
      </c>
      <c r="Q352" t="s">
        <v>61</v>
      </c>
      <c r="R352" t="s">
        <v>61</v>
      </c>
      <c r="S352" t="s">
        <v>64</v>
      </c>
      <c r="T352" t="s">
        <v>69</v>
      </c>
      <c r="U352" s="79">
        <v>30</v>
      </c>
      <c r="V352" t="s">
        <v>74</v>
      </c>
      <c r="W352" t="s">
        <v>3139</v>
      </c>
      <c r="X352" t="s">
        <v>2776</v>
      </c>
    </row>
    <row r="353" spans="1:24" ht="213.75" x14ac:dyDescent="0.2">
      <c r="A353" s="84" t="s">
        <v>2567</v>
      </c>
      <c r="B353">
        <f t="shared" ca="1" si="5"/>
        <v>57</v>
      </c>
      <c r="C353" s="54" t="s">
        <v>3444</v>
      </c>
      <c r="D353" s="84" t="s">
        <v>1570</v>
      </c>
      <c r="E353" s="84" t="s">
        <v>125</v>
      </c>
      <c r="F353" t="s">
        <v>32</v>
      </c>
      <c r="G353" s="61">
        <v>926000</v>
      </c>
      <c r="H353" s="63">
        <v>926000</v>
      </c>
      <c r="I353" t="s">
        <v>39</v>
      </c>
      <c r="J353" t="s">
        <v>44</v>
      </c>
      <c r="K353" s="198" t="s">
        <v>3127</v>
      </c>
      <c r="M353" t="s">
        <v>54</v>
      </c>
      <c r="N3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3" t="s">
        <v>57</v>
      </c>
      <c r="Q353" t="s">
        <v>61</v>
      </c>
      <c r="R353" t="s">
        <v>61</v>
      </c>
      <c r="S353" t="s">
        <v>64</v>
      </c>
      <c r="T353" t="s">
        <v>69</v>
      </c>
      <c r="U353" s="79">
        <v>30</v>
      </c>
      <c r="V353" t="s">
        <v>74</v>
      </c>
      <c r="W353" t="s">
        <v>3139</v>
      </c>
      <c r="X353" t="s">
        <v>2777</v>
      </c>
    </row>
    <row r="354" spans="1:24" ht="199.5" x14ac:dyDescent="0.2">
      <c r="A354" s="84" t="s">
        <v>1574</v>
      </c>
      <c r="B354">
        <f t="shared" ca="1" si="5"/>
        <v>47</v>
      </c>
      <c r="C354" s="54" t="s">
        <v>3445</v>
      </c>
      <c r="D354" s="84" t="s">
        <v>1573</v>
      </c>
      <c r="E354" s="84" t="s">
        <v>125</v>
      </c>
      <c r="F354" t="s">
        <v>32</v>
      </c>
      <c r="G354" s="61">
        <v>950000</v>
      </c>
      <c r="H354" s="63">
        <v>950000</v>
      </c>
      <c r="I354" t="s">
        <v>39</v>
      </c>
      <c r="J354" t="s">
        <v>44</v>
      </c>
      <c r="K354" s="198" t="s">
        <v>3128</v>
      </c>
      <c r="M354" t="s">
        <v>54</v>
      </c>
      <c r="N3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4" t="s">
        <v>57</v>
      </c>
      <c r="Q354" t="s">
        <v>61</v>
      </c>
      <c r="R354" t="s">
        <v>61</v>
      </c>
      <c r="S354" t="s">
        <v>64</v>
      </c>
      <c r="T354" t="s">
        <v>69</v>
      </c>
      <c r="U354" s="79">
        <v>30</v>
      </c>
      <c r="V354" t="s">
        <v>74</v>
      </c>
      <c r="W354" t="s">
        <v>3139</v>
      </c>
      <c r="X354" t="s">
        <v>1575</v>
      </c>
    </row>
    <row r="355" spans="1:24" ht="199.5" x14ac:dyDescent="0.2">
      <c r="A355" s="84" t="s">
        <v>1577</v>
      </c>
      <c r="B355">
        <f t="shared" ca="1" si="5"/>
        <v>45</v>
      </c>
      <c r="C355" s="54" t="s">
        <v>3446</v>
      </c>
      <c r="D355" s="84" t="s">
        <v>1576</v>
      </c>
      <c r="E355" s="84" t="s">
        <v>264</v>
      </c>
      <c r="F355" t="s">
        <v>32</v>
      </c>
      <c r="G355" s="61">
        <v>798000</v>
      </c>
      <c r="H355" s="63">
        <v>798000</v>
      </c>
      <c r="I355" t="s">
        <v>39</v>
      </c>
      <c r="J355" t="s">
        <v>44</v>
      </c>
      <c r="K355" s="198" t="s">
        <v>3129</v>
      </c>
      <c r="M355" t="s">
        <v>54</v>
      </c>
      <c r="N3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5" t="s">
        <v>57</v>
      </c>
      <c r="Q355" t="s">
        <v>61</v>
      </c>
      <c r="R355" t="s">
        <v>61</v>
      </c>
      <c r="S355" t="s">
        <v>64</v>
      </c>
      <c r="T355" t="s">
        <v>69</v>
      </c>
      <c r="U355" s="79">
        <v>30</v>
      </c>
      <c r="V355" t="s">
        <v>74</v>
      </c>
      <c r="W355" t="s">
        <v>3139</v>
      </c>
      <c r="X355" t="s">
        <v>1578</v>
      </c>
    </row>
    <row r="356" spans="1:24" ht="199.5" x14ac:dyDescent="0.2">
      <c r="A356" s="84" t="s">
        <v>1580</v>
      </c>
      <c r="B356">
        <f t="shared" ca="1" si="5"/>
        <v>51</v>
      </c>
      <c r="C356" s="54" t="s">
        <v>3447</v>
      </c>
      <c r="D356" s="84" t="s">
        <v>1579</v>
      </c>
      <c r="E356" s="84" t="s">
        <v>264</v>
      </c>
      <c r="F356" t="s">
        <v>32</v>
      </c>
      <c r="G356" s="61">
        <v>461000</v>
      </c>
      <c r="H356" s="63">
        <v>461000</v>
      </c>
      <c r="I356" t="s">
        <v>39</v>
      </c>
      <c r="J356" t="s">
        <v>44</v>
      </c>
      <c r="K356" s="198" t="s">
        <v>3130</v>
      </c>
      <c r="M356" t="s">
        <v>54</v>
      </c>
      <c r="N3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6" t="s">
        <v>57</v>
      </c>
      <c r="Q356" t="s">
        <v>61</v>
      </c>
      <c r="R356" t="s">
        <v>61</v>
      </c>
      <c r="S356" t="s">
        <v>64</v>
      </c>
      <c r="T356" t="s">
        <v>69</v>
      </c>
      <c r="U356" s="79">
        <v>30</v>
      </c>
      <c r="V356" t="s">
        <v>74</v>
      </c>
      <c r="W356" t="s">
        <v>3139</v>
      </c>
      <c r="X356" t="s">
        <v>1581</v>
      </c>
    </row>
    <row r="357" spans="1:24" ht="199.5" x14ac:dyDescent="0.2">
      <c r="A357" s="84" t="s">
        <v>1583</v>
      </c>
      <c r="B357">
        <f t="shared" ca="1" si="5"/>
        <v>56</v>
      </c>
      <c r="C357" s="54" t="s">
        <v>3448</v>
      </c>
      <c r="D357" s="84" t="s">
        <v>1582</v>
      </c>
      <c r="E357" s="84" t="s">
        <v>125</v>
      </c>
      <c r="F357" t="s">
        <v>32</v>
      </c>
      <c r="G357" s="61">
        <v>775000</v>
      </c>
      <c r="H357" s="63">
        <v>775000</v>
      </c>
      <c r="I357" t="s">
        <v>39</v>
      </c>
      <c r="J357" t="s">
        <v>44</v>
      </c>
      <c r="K357" s="198" t="s">
        <v>3131</v>
      </c>
      <c r="M357" t="s">
        <v>54</v>
      </c>
      <c r="N3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7" t="s">
        <v>57</v>
      </c>
      <c r="Q357" t="s">
        <v>61</v>
      </c>
      <c r="R357" t="s">
        <v>61</v>
      </c>
      <c r="S357" t="s">
        <v>64</v>
      </c>
      <c r="T357" t="s">
        <v>69</v>
      </c>
      <c r="U357" s="79">
        <v>30</v>
      </c>
      <c r="V357" t="s">
        <v>74</v>
      </c>
      <c r="W357" t="s">
        <v>3139</v>
      </c>
      <c r="X357" t="s">
        <v>2778</v>
      </c>
    </row>
    <row r="358" spans="1:24" ht="199.5" x14ac:dyDescent="0.2">
      <c r="A358" s="84" t="s">
        <v>1586</v>
      </c>
      <c r="B358">
        <f t="shared" ca="1" si="5"/>
        <v>51</v>
      </c>
      <c r="C358" s="54" t="s">
        <v>3449</v>
      </c>
      <c r="D358" s="84" t="s">
        <v>1585</v>
      </c>
      <c r="E358" s="84" t="s">
        <v>169</v>
      </c>
      <c r="F358" t="s">
        <v>32</v>
      </c>
      <c r="G358" s="61">
        <v>1008000</v>
      </c>
      <c r="H358" s="63">
        <v>1008000</v>
      </c>
      <c r="I358" t="s">
        <v>39</v>
      </c>
      <c r="J358" t="s">
        <v>44</v>
      </c>
      <c r="K358" s="198" t="s">
        <v>3132</v>
      </c>
      <c r="M358" t="s">
        <v>54</v>
      </c>
      <c r="N3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8" t="s">
        <v>57</v>
      </c>
      <c r="Q358" t="s">
        <v>61</v>
      </c>
      <c r="R358" t="s">
        <v>61</v>
      </c>
      <c r="S358" t="s">
        <v>64</v>
      </c>
      <c r="T358" t="s">
        <v>69</v>
      </c>
      <c r="U358" s="79">
        <v>30</v>
      </c>
      <c r="V358" t="s">
        <v>74</v>
      </c>
      <c r="W358" t="s">
        <v>3139</v>
      </c>
      <c r="X358" t="s">
        <v>2779</v>
      </c>
    </row>
    <row r="359" spans="1:24" ht="199.5" x14ac:dyDescent="0.2">
      <c r="A359" s="84" t="s">
        <v>1589</v>
      </c>
      <c r="B359">
        <f t="shared" ca="1" si="5"/>
        <v>50</v>
      </c>
      <c r="D359" s="84" t="s">
        <v>1588</v>
      </c>
      <c r="E359" s="84" t="s">
        <v>126</v>
      </c>
      <c r="F359" t="s">
        <v>32</v>
      </c>
      <c r="G359" s="61">
        <v>775000</v>
      </c>
      <c r="H359" s="63">
        <v>775000</v>
      </c>
      <c r="I359" t="s">
        <v>39</v>
      </c>
      <c r="J359" t="s">
        <v>44</v>
      </c>
      <c r="K359" s="198" t="s">
        <v>3133</v>
      </c>
      <c r="M359" t="s">
        <v>54</v>
      </c>
      <c r="N3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59" t="s">
        <v>57</v>
      </c>
      <c r="Q359" t="s">
        <v>61</v>
      </c>
      <c r="R359" t="s">
        <v>61</v>
      </c>
      <c r="S359" t="s">
        <v>64</v>
      </c>
      <c r="T359" t="s">
        <v>69</v>
      </c>
      <c r="U359" s="79">
        <v>30</v>
      </c>
      <c r="V359" t="s">
        <v>74</v>
      </c>
      <c r="W359" t="s">
        <v>3139</v>
      </c>
      <c r="X359" t="s">
        <v>2780</v>
      </c>
    </row>
    <row r="360" spans="1:24" ht="199.5" x14ac:dyDescent="0.2">
      <c r="A360" s="84" t="s">
        <v>2568</v>
      </c>
      <c r="B360">
        <f t="shared" ca="1" si="5"/>
        <v>41</v>
      </c>
      <c r="C360" s="54" t="s">
        <v>3450</v>
      </c>
      <c r="D360" s="84" t="s">
        <v>1591</v>
      </c>
      <c r="E360" s="84" t="s">
        <v>125</v>
      </c>
      <c r="F360" t="s">
        <v>32</v>
      </c>
      <c r="G360" s="61">
        <v>426000</v>
      </c>
      <c r="H360" s="63">
        <v>426000</v>
      </c>
      <c r="I360" t="s">
        <v>39</v>
      </c>
      <c r="J360" t="s">
        <v>44</v>
      </c>
      <c r="K360" s="198" t="s">
        <v>3134</v>
      </c>
      <c r="M360" t="s">
        <v>54</v>
      </c>
      <c r="N3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0" t="s">
        <v>57</v>
      </c>
      <c r="Q360" t="s">
        <v>61</v>
      </c>
      <c r="R360" t="s">
        <v>61</v>
      </c>
      <c r="S360" t="s">
        <v>64</v>
      </c>
      <c r="T360" t="s">
        <v>69</v>
      </c>
      <c r="U360" s="79">
        <v>30</v>
      </c>
      <c r="V360" t="s">
        <v>74</v>
      </c>
      <c r="W360" t="s">
        <v>3139</v>
      </c>
      <c r="X360" t="s">
        <v>2781</v>
      </c>
    </row>
    <row r="361" spans="1:24" ht="213.75" x14ac:dyDescent="0.2">
      <c r="A361" s="84" t="s">
        <v>2569</v>
      </c>
      <c r="B361">
        <f t="shared" ca="1" si="5"/>
        <v>56</v>
      </c>
      <c r="C361" s="54" t="s">
        <v>3451</v>
      </c>
      <c r="D361" s="84" t="s">
        <v>1594</v>
      </c>
      <c r="E361" s="84" t="s">
        <v>125</v>
      </c>
      <c r="F361" t="s">
        <v>32</v>
      </c>
      <c r="G361" s="61">
        <v>1008000</v>
      </c>
      <c r="H361" s="63">
        <v>1008000</v>
      </c>
      <c r="I361" t="s">
        <v>39</v>
      </c>
      <c r="J361" t="s">
        <v>44</v>
      </c>
      <c r="K361" s="198" t="s">
        <v>3135</v>
      </c>
      <c r="M361" t="s">
        <v>54</v>
      </c>
      <c r="N3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1" t="s">
        <v>57</v>
      </c>
      <c r="Q361" t="s">
        <v>61</v>
      </c>
      <c r="R361" t="s">
        <v>61</v>
      </c>
      <c r="S361" t="s">
        <v>64</v>
      </c>
      <c r="T361" t="s">
        <v>69</v>
      </c>
      <c r="U361" s="79">
        <v>30</v>
      </c>
      <c r="V361" t="s">
        <v>74</v>
      </c>
      <c r="W361" t="s">
        <v>3139</v>
      </c>
      <c r="X361" t="s">
        <v>2782</v>
      </c>
    </row>
    <row r="362" spans="1:24" ht="199.5" x14ac:dyDescent="0.2">
      <c r="A362" s="84" t="s">
        <v>1039</v>
      </c>
      <c r="B362">
        <f t="shared" ca="1" si="5"/>
        <v>49</v>
      </c>
      <c r="C362" s="54" t="s">
        <v>3452</v>
      </c>
      <c r="D362" s="84" t="s">
        <v>1597</v>
      </c>
      <c r="E362" s="84" t="s">
        <v>169</v>
      </c>
      <c r="F362" t="s">
        <v>32</v>
      </c>
      <c r="G362" s="61">
        <v>554000</v>
      </c>
      <c r="H362" s="63">
        <v>554000</v>
      </c>
      <c r="I362" t="s">
        <v>39</v>
      </c>
      <c r="J362" t="s">
        <v>44</v>
      </c>
      <c r="K362" s="198" t="s">
        <v>2985</v>
      </c>
      <c r="M362" t="s">
        <v>54</v>
      </c>
      <c r="N3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2" t="s">
        <v>57</v>
      </c>
      <c r="Q362" t="s">
        <v>61</v>
      </c>
      <c r="R362" t="s">
        <v>61</v>
      </c>
      <c r="S362" t="s">
        <v>64</v>
      </c>
      <c r="T362" t="s">
        <v>69</v>
      </c>
      <c r="U362" s="79">
        <v>30</v>
      </c>
      <c r="V362" t="s">
        <v>74</v>
      </c>
      <c r="W362" t="s">
        <v>3139</v>
      </c>
      <c r="X362" t="s">
        <v>2783</v>
      </c>
    </row>
    <row r="363" spans="1:24" ht="213.75" x14ac:dyDescent="0.2">
      <c r="A363" s="84" t="s">
        <v>2570</v>
      </c>
      <c r="B363">
        <f t="shared" ca="1" si="5"/>
        <v>58</v>
      </c>
      <c r="C363" s="54" t="s">
        <v>3453</v>
      </c>
      <c r="D363" s="84" t="s">
        <v>1599</v>
      </c>
      <c r="E363" s="84" t="s">
        <v>125</v>
      </c>
      <c r="F363" t="s">
        <v>32</v>
      </c>
      <c r="G363" s="61">
        <v>1008000</v>
      </c>
      <c r="H363" s="63">
        <v>1008000</v>
      </c>
      <c r="I363" t="s">
        <v>39</v>
      </c>
      <c r="J363" t="s">
        <v>44</v>
      </c>
      <c r="K363" s="198" t="s">
        <v>3136</v>
      </c>
      <c r="M363" t="s">
        <v>54</v>
      </c>
      <c r="N3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3" t="s">
        <v>57</v>
      </c>
      <c r="Q363" t="s">
        <v>61</v>
      </c>
      <c r="R363" t="s">
        <v>61</v>
      </c>
      <c r="S363" t="s">
        <v>64</v>
      </c>
      <c r="T363" t="s">
        <v>69</v>
      </c>
      <c r="U363" s="79">
        <v>30</v>
      </c>
      <c r="V363" t="s">
        <v>74</v>
      </c>
      <c r="W363" t="s">
        <v>3139</v>
      </c>
      <c r="X363" t="s">
        <v>2784</v>
      </c>
    </row>
    <row r="364" spans="1:24" ht="199.5" x14ac:dyDescent="0.2">
      <c r="A364" s="84" t="s">
        <v>2571</v>
      </c>
      <c r="B364">
        <f t="shared" ca="1" si="5"/>
        <v>48</v>
      </c>
      <c r="C364" s="54" t="s">
        <v>3454</v>
      </c>
      <c r="D364" s="84" t="s">
        <v>1602</v>
      </c>
      <c r="E364" s="84" t="s">
        <v>125</v>
      </c>
      <c r="F364" t="s">
        <v>32</v>
      </c>
      <c r="G364" s="61">
        <v>775000</v>
      </c>
      <c r="H364" s="63">
        <v>775000</v>
      </c>
      <c r="I364" t="s">
        <v>39</v>
      </c>
      <c r="J364" t="s">
        <v>44</v>
      </c>
      <c r="K364" s="198" t="s">
        <v>3137</v>
      </c>
      <c r="M364" t="s">
        <v>54</v>
      </c>
      <c r="N3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4" t="s">
        <v>57</v>
      </c>
      <c r="Q364" t="s">
        <v>61</v>
      </c>
      <c r="R364" t="s">
        <v>61</v>
      </c>
      <c r="S364" t="s">
        <v>64</v>
      </c>
      <c r="T364" t="s">
        <v>69</v>
      </c>
      <c r="U364" s="79">
        <v>30</v>
      </c>
      <c r="V364" t="s">
        <v>74</v>
      </c>
      <c r="W364" t="s">
        <v>3139</v>
      </c>
      <c r="X364" t="s">
        <v>2785</v>
      </c>
    </row>
    <row r="365" spans="1:24" ht="199.5" x14ac:dyDescent="0.2">
      <c r="A365" s="84" t="s">
        <v>1606</v>
      </c>
      <c r="B365">
        <f t="shared" ca="1" si="5"/>
        <v>39</v>
      </c>
      <c r="C365" s="54" t="s">
        <v>3455</v>
      </c>
      <c r="D365" s="84" t="s">
        <v>1605</v>
      </c>
      <c r="E365" s="84" t="s">
        <v>125</v>
      </c>
      <c r="F365" t="s">
        <v>32</v>
      </c>
      <c r="G365" s="61">
        <v>717000</v>
      </c>
      <c r="H365" s="63">
        <v>717000</v>
      </c>
      <c r="I365" t="s">
        <v>39</v>
      </c>
      <c r="J365" t="s">
        <v>44</v>
      </c>
      <c r="K365" s="198" t="s">
        <v>3138</v>
      </c>
      <c r="M365" t="s">
        <v>54</v>
      </c>
      <c r="N3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5" t="s">
        <v>57</v>
      </c>
      <c r="Q365" t="s">
        <v>61</v>
      </c>
      <c r="R365" t="s">
        <v>61</v>
      </c>
      <c r="S365" t="s">
        <v>64</v>
      </c>
      <c r="T365" t="s">
        <v>69</v>
      </c>
      <c r="U365" s="79">
        <v>30</v>
      </c>
      <c r="V365" t="s">
        <v>74</v>
      </c>
      <c r="W365" t="s">
        <v>3139</v>
      </c>
      <c r="X365" t="s">
        <v>2786</v>
      </c>
    </row>
    <row r="366" spans="1:24" x14ac:dyDescent="0.2">
      <c r="A366" s="84"/>
      <c r="B366">
        <f t="shared" ca="1" si="5"/>
        <v>0</v>
      </c>
      <c r="E366">
        <v>1</v>
      </c>
      <c r="F366" t="s">
        <v>32</v>
      </c>
      <c r="I366" t="s">
        <v>39</v>
      </c>
      <c r="J366" t="s">
        <v>44</v>
      </c>
      <c r="M366" t="s">
        <v>54</v>
      </c>
      <c r="N3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6" t="s">
        <v>57</v>
      </c>
      <c r="Q366" t="s">
        <v>59</v>
      </c>
      <c r="R366" t="s">
        <v>59</v>
      </c>
      <c r="S366" t="s">
        <v>59</v>
      </c>
      <c r="T366" t="s">
        <v>59</v>
      </c>
      <c r="V366" t="s">
        <v>59</v>
      </c>
      <c r="W366" t="s">
        <v>80</v>
      </c>
    </row>
    <row r="367" spans="1:24" x14ac:dyDescent="0.2">
      <c r="B367">
        <f t="shared" ca="1" si="5"/>
        <v>0</v>
      </c>
      <c r="E367">
        <v>1</v>
      </c>
      <c r="F367" t="s">
        <v>32</v>
      </c>
      <c r="I367" t="s">
        <v>39</v>
      </c>
      <c r="J367" t="s">
        <v>44</v>
      </c>
      <c r="M367" t="s">
        <v>54</v>
      </c>
      <c r="N3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7" t="s">
        <v>57</v>
      </c>
      <c r="Q367" t="s">
        <v>59</v>
      </c>
      <c r="R367" t="s">
        <v>59</v>
      </c>
      <c r="S367" t="s">
        <v>59</v>
      </c>
      <c r="T367" t="s">
        <v>59</v>
      </c>
      <c r="V367" t="s">
        <v>59</v>
      </c>
      <c r="W367" t="s">
        <v>80</v>
      </c>
    </row>
    <row r="368" spans="1:24" x14ac:dyDescent="0.2">
      <c r="B368">
        <f t="shared" ca="1" si="5"/>
        <v>0</v>
      </c>
      <c r="E368">
        <v>1</v>
      </c>
      <c r="F368" t="s">
        <v>32</v>
      </c>
      <c r="I368" t="s">
        <v>39</v>
      </c>
      <c r="J368" t="s">
        <v>44</v>
      </c>
      <c r="M368" t="s">
        <v>54</v>
      </c>
      <c r="N3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8" t="s">
        <v>57</v>
      </c>
      <c r="Q368" t="s">
        <v>59</v>
      </c>
      <c r="R368" t="s">
        <v>59</v>
      </c>
      <c r="S368" t="s">
        <v>59</v>
      </c>
      <c r="T368" t="s">
        <v>59</v>
      </c>
      <c r="V368" t="s">
        <v>59</v>
      </c>
      <c r="W368" t="s">
        <v>80</v>
      </c>
    </row>
    <row r="369" spans="2:23" x14ac:dyDescent="0.2">
      <c r="B369">
        <f t="shared" ca="1" si="5"/>
        <v>0</v>
      </c>
      <c r="E369">
        <v>1</v>
      </c>
      <c r="F369" t="s">
        <v>32</v>
      </c>
      <c r="I369" t="s">
        <v>39</v>
      </c>
      <c r="J369" t="s">
        <v>44</v>
      </c>
      <c r="M369" t="s">
        <v>54</v>
      </c>
      <c r="N3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69" t="s">
        <v>57</v>
      </c>
      <c r="Q369" t="s">
        <v>59</v>
      </c>
      <c r="R369" t="s">
        <v>59</v>
      </c>
      <c r="S369" t="s">
        <v>59</v>
      </c>
      <c r="T369" t="s">
        <v>59</v>
      </c>
      <c r="V369" t="s">
        <v>59</v>
      </c>
      <c r="W369" t="s">
        <v>80</v>
      </c>
    </row>
    <row r="370" spans="2:23" x14ac:dyDescent="0.2">
      <c r="B370">
        <f t="shared" ca="1" si="5"/>
        <v>0</v>
      </c>
      <c r="E370">
        <v>1</v>
      </c>
      <c r="F370" t="s">
        <v>32</v>
      </c>
      <c r="I370" t="s">
        <v>39</v>
      </c>
      <c r="J370" t="s">
        <v>44</v>
      </c>
      <c r="M370" t="s">
        <v>54</v>
      </c>
      <c r="N3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0" t="s">
        <v>57</v>
      </c>
      <c r="Q370" t="s">
        <v>59</v>
      </c>
      <c r="R370" t="s">
        <v>59</v>
      </c>
      <c r="S370" t="s">
        <v>59</v>
      </c>
      <c r="T370" t="s">
        <v>59</v>
      </c>
      <c r="V370" t="s">
        <v>59</v>
      </c>
      <c r="W370" t="s">
        <v>80</v>
      </c>
    </row>
    <row r="371" spans="2:23" x14ac:dyDescent="0.2">
      <c r="B371">
        <f t="shared" ca="1" si="5"/>
        <v>0</v>
      </c>
      <c r="E371">
        <v>1</v>
      </c>
      <c r="F371" t="s">
        <v>32</v>
      </c>
      <c r="I371" t="s">
        <v>39</v>
      </c>
      <c r="J371" t="s">
        <v>44</v>
      </c>
      <c r="M371" t="s">
        <v>54</v>
      </c>
      <c r="N3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1" t="s">
        <v>57</v>
      </c>
      <c r="Q371" t="s">
        <v>59</v>
      </c>
      <c r="R371" t="s">
        <v>59</v>
      </c>
      <c r="S371" t="s">
        <v>59</v>
      </c>
      <c r="T371" t="s">
        <v>59</v>
      </c>
      <c r="V371" t="s">
        <v>59</v>
      </c>
      <c r="W371" t="s">
        <v>80</v>
      </c>
    </row>
    <row r="372" spans="2:23" x14ac:dyDescent="0.2">
      <c r="B372">
        <f t="shared" ca="1" si="5"/>
        <v>0</v>
      </c>
      <c r="E372">
        <v>1</v>
      </c>
      <c r="F372" t="s">
        <v>32</v>
      </c>
      <c r="I372" t="s">
        <v>39</v>
      </c>
      <c r="J372" t="s">
        <v>44</v>
      </c>
      <c r="M372" t="s">
        <v>54</v>
      </c>
      <c r="N3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2" t="s">
        <v>57</v>
      </c>
      <c r="Q372" t="s">
        <v>59</v>
      </c>
      <c r="R372" t="s">
        <v>59</v>
      </c>
      <c r="S372" t="s">
        <v>59</v>
      </c>
      <c r="T372" t="s">
        <v>59</v>
      </c>
      <c r="V372" t="s">
        <v>59</v>
      </c>
      <c r="W372" t="s">
        <v>80</v>
      </c>
    </row>
    <row r="373" spans="2:23" x14ac:dyDescent="0.2">
      <c r="B373">
        <f t="shared" ca="1" si="5"/>
        <v>0</v>
      </c>
      <c r="E373">
        <v>1</v>
      </c>
      <c r="F373" t="s">
        <v>32</v>
      </c>
      <c r="I373" t="s">
        <v>39</v>
      </c>
      <c r="J373" t="s">
        <v>44</v>
      </c>
      <c r="M373" t="s">
        <v>54</v>
      </c>
      <c r="N3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3" t="s">
        <v>57</v>
      </c>
      <c r="Q373" t="s">
        <v>59</v>
      </c>
      <c r="R373" t="s">
        <v>59</v>
      </c>
      <c r="S373" t="s">
        <v>59</v>
      </c>
      <c r="T373" t="s">
        <v>59</v>
      </c>
      <c r="V373" t="s">
        <v>59</v>
      </c>
      <c r="W373" t="s">
        <v>80</v>
      </c>
    </row>
    <row r="374" spans="2:23" x14ac:dyDescent="0.2">
      <c r="B374">
        <f t="shared" ca="1" si="5"/>
        <v>0</v>
      </c>
      <c r="E374">
        <v>1</v>
      </c>
      <c r="F374" t="s">
        <v>32</v>
      </c>
      <c r="I374" t="s">
        <v>39</v>
      </c>
      <c r="J374" t="s">
        <v>44</v>
      </c>
      <c r="M374" t="s">
        <v>54</v>
      </c>
      <c r="N3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4" t="s">
        <v>57</v>
      </c>
      <c r="Q374" t="s">
        <v>59</v>
      </c>
      <c r="R374" t="s">
        <v>59</v>
      </c>
      <c r="S374" t="s">
        <v>59</v>
      </c>
      <c r="T374" t="s">
        <v>59</v>
      </c>
      <c r="V374" t="s">
        <v>59</v>
      </c>
      <c r="W374" t="s">
        <v>80</v>
      </c>
    </row>
    <row r="375" spans="2:23" x14ac:dyDescent="0.2">
      <c r="B375">
        <f t="shared" ca="1" si="5"/>
        <v>0</v>
      </c>
      <c r="E375">
        <v>1</v>
      </c>
      <c r="F375" t="s">
        <v>32</v>
      </c>
      <c r="I375" t="s">
        <v>39</v>
      </c>
      <c r="J375" t="s">
        <v>44</v>
      </c>
      <c r="M375" t="s">
        <v>54</v>
      </c>
      <c r="N3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5" t="s">
        <v>57</v>
      </c>
      <c r="Q375" t="s">
        <v>59</v>
      </c>
      <c r="R375" t="s">
        <v>59</v>
      </c>
      <c r="S375" t="s">
        <v>59</v>
      </c>
      <c r="T375" t="s">
        <v>59</v>
      </c>
      <c r="V375" t="s">
        <v>59</v>
      </c>
      <c r="W375" t="s">
        <v>80</v>
      </c>
    </row>
    <row r="376" spans="2:23" x14ac:dyDescent="0.2">
      <c r="B376">
        <f t="shared" ca="1" si="5"/>
        <v>0</v>
      </c>
      <c r="E376">
        <v>1</v>
      </c>
      <c r="F376" t="s">
        <v>32</v>
      </c>
      <c r="I376" t="s">
        <v>39</v>
      </c>
      <c r="J376" t="s">
        <v>44</v>
      </c>
      <c r="M376" t="s">
        <v>54</v>
      </c>
      <c r="N3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6" t="s">
        <v>57</v>
      </c>
      <c r="Q376" t="s">
        <v>59</v>
      </c>
      <c r="R376" t="s">
        <v>59</v>
      </c>
      <c r="S376" t="s">
        <v>59</v>
      </c>
      <c r="T376" t="s">
        <v>59</v>
      </c>
      <c r="V376" t="s">
        <v>59</v>
      </c>
      <c r="W376" t="s">
        <v>80</v>
      </c>
    </row>
    <row r="377" spans="2:23" x14ac:dyDescent="0.2">
      <c r="B377">
        <f t="shared" ca="1" si="5"/>
        <v>0</v>
      </c>
      <c r="E377">
        <v>1</v>
      </c>
      <c r="F377" t="s">
        <v>32</v>
      </c>
      <c r="I377" t="s">
        <v>39</v>
      </c>
      <c r="J377" t="s">
        <v>44</v>
      </c>
      <c r="M377" t="s">
        <v>54</v>
      </c>
      <c r="N3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7" t="s">
        <v>57</v>
      </c>
      <c r="Q377" t="s">
        <v>59</v>
      </c>
      <c r="R377" t="s">
        <v>59</v>
      </c>
      <c r="S377" t="s">
        <v>59</v>
      </c>
      <c r="T377" t="s">
        <v>59</v>
      </c>
      <c r="V377" t="s">
        <v>59</v>
      </c>
      <c r="W377" t="s">
        <v>80</v>
      </c>
    </row>
    <row r="378" spans="2:23" x14ac:dyDescent="0.2">
      <c r="B378">
        <f t="shared" ca="1" si="5"/>
        <v>0</v>
      </c>
      <c r="E378">
        <v>1</v>
      </c>
      <c r="F378" t="s">
        <v>32</v>
      </c>
      <c r="I378" t="s">
        <v>39</v>
      </c>
      <c r="J378" t="s">
        <v>44</v>
      </c>
      <c r="M378" t="s">
        <v>54</v>
      </c>
      <c r="N3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8" t="s">
        <v>57</v>
      </c>
      <c r="Q378" t="s">
        <v>59</v>
      </c>
      <c r="R378" t="s">
        <v>59</v>
      </c>
      <c r="S378" t="s">
        <v>59</v>
      </c>
      <c r="T378" t="s">
        <v>59</v>
      </c>
      <c r="V378" t="s">
        <v>59</v>
      </c>
      <c r="W378" t="s">
        <v>80</v>
      </c>
    </row>
    <row r="379" spans="2:23" x14ac:dyDescent="0.2">
      <c r="B379">
        <f t="shared" ca="1" si="5"/>
        <v>0</v>
      </c>
      <c r="E379">
        <v>1</v>
      </c>
      <c r="F379" t="s">
        <v>32</v>
      </c>
      <c r="I379" t="s">
        <v>39</v>
      </c>
      <c r="J379" t="s">
        <v>44</v>
      </c>
      <c r="M379" t="s">
        <v>54</v>
      </c>
      <c r="N3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79" t="s">
        <v>57</v>
      </c>
      <c r="Q379" t="s">
        <v>59</v>
      </c>
      <c r="R379" t="s">
        <v>59</v>
      </c>
      <c r="S379" t="s">
        <v>59</v>
      </c>
      <c r="T379" t="s">
        <v>59</v>
      </c>
      <c r="V379" t="s">
        <v>59</v>
      </c>
      <c r="W379" t="s">
        <v>80</v>
      </c>
    </row>
    <row r="380" spans="2:23" x14ac:dyDescent="0.2">
      <c r="B380">
        <f t="shared" ca="1" si="5"/>
        <v>0</v>
      </c>
      <c r="E380">
        <v>1</v>
      </c>
      <c r="F380" t="s">
        <v>32</v>
      </c>
      <c r="I380" t="s">
        <v>39</v>
      </c>
      <c r="J380" t="s">
        <v>44</v>
      </c>
      <c r="M380" t="s">
        <v>54</v>
      </c>
      <c r="N3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0" t="s">
        <v>57</v>
      </c>
      <c r="Q380" t="s">
        <v>59</v>
      </c>
      <c r="R380" t="s">
        <v>59</v>
      </c>
      <c r="S380" t="s">
        <v>59</v>
      </c>
      <c r="T380" t="s">
        <v>59</v>
      </c>
      <c r="V380" t="s">
        <v>59</v>
      </c>
      <c r="W380" t="s">
        <v>80</v>
      </c>
    </row>
    <row r="381" spans="2:23" x14ac:dyDescent="0.2">
      <c r="B381">
        <f t="shared" ca="1" si="5"/>
        <v>0</v>
      </c>
      <c r="E381">
        <v>1</v>
      </c>
      <c r="F381" t="s">
        <v>32</v>
      </c>
      <c r="I381" t="s">
        <v>39</v>
      </c>
      <c r="J381" t="s">
        <v>44</v>
      </c>
      <c r="M381" t="s">
        <v>54</v>
      </c>
      <c r="N3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1" t="s">
        <v>57</v>
      </c>
      <c r="Q381" t="s">
        <v>59</v>
      </c>
      <c r="R381" t="s">
        <v>59</v>
      </c>
      <c r="S381" t="s">
        <v>59</v>
      </c>
      <c r="T381" t="s">
        <v>59</v>
      </c>
      <c r="V381" t="s">
        <v>59</v>
      </c>
      <c r="W381" t="s">
        <v>80</v>
      </c>
    </row>
    <row r="382" spans="2:23" x14ac:dyDescent="0.2">
      <c r="B382">
        <f t="shared" ca="1" si="5"/>
        <v>0</v>
      </c>
      <c r="E382">
        <v>1</v>
      </c>
      <c r="F382" t="s">
        <v>32</v>
      </c>
      <c r="I382" t="s">
        <v>39</v>
      </c>
      <c r="J382" t="s">
        <v>44</v>
      </c>
      <c r="M382" t="s">
        <v>54</v>
      </c>
      <c r="N3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2" t="s">
        <v>57</v>
      </c>
      <c r="Q382" t="s">
        <v>59</v>
      </c>
      <c r="R382" t="s">
        <v>59</v>
      </c>
      <c r="S382" t="s">
        <v>59</v>
      </c>
      <c r="T382" t="s">
        <v>59</v>
      </c>
      <c r="V382" t="s">
        <v>59</v>
      </c>
      <c r="W382" t="s">
        <v>80</v>
      </c>
    </row>
    <row r="383" spans="2:23" x14ac:dyDescent="0.2">
      <c r="B383">
        <f t="shared" ca="1" si="5"/>
        <v>0</v>
      </c>
      <c r="E383">
        <v>1</v>
      </c>
      <c r="F383" t="s">
        <v>32</v>
      </c>
      <c r="I383" t="s">
        <v>39</v>
      </c>
      <c r="J383" t="s">
        <v>44</v>
      </c>
      <c r="M383" t="s">
        <v>54</v>
      </c>
      <c r="N3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3" t="s">
        <v>57</v>
      </c>
      <c r="Q383" t="s">
        <v>59</v>
      </c>
      <c r="R383" t="s">
        <v>59</v>
      </c>
      <c r="S383" t="s">
        <v>59</v>
      </c>
      <c r="T383" t="s">
        <v>59</v>
      </c>
      <c r="V383" t="s">
        <v>59</v>
      </c>
      <c r="W383" t="s">
        <v>80</v>
      </c>
    </row>
    <row r="384" spans="2:23" x14ac:dyDescent="0.2">
      <c r="B384">
        <f t="shared" ca="1" si="5"/>
        <v>0</v>
      </c>
      <c r="E384">
        <v>1</v>
      </c>
      <c r="F384" t="s">
        <v>32</v>
      </c>
      <c r="I384" t="s">
        <v>39</v>
      </c>
      <c r="J384" t="s">
        <v>44</v>
      </c>
      <c r="M384" t="s">
        <v>54</v>
      </c>
      <c r="N3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4" t="s">
        <v>57</v>
      </c>
      <c r="Q384" t="s">
        <v>59</v>
      </c>
      <c r="R384" t="s">
        <v>59</v>
      </c>
      <c r="S384" t="s">
        <v>59</v>
      </c>
      <c r="T384" t="s">
        <v>59</v>
      </c>
      <c r="V384" t="s">
        <v>59</v>
      </c>
      <c r="W384" t="s">
        <v>80</v>
      </c>
    </row>
    <row r="385" spans="2:23" x14ac:dyDescent="0.2">
      <c r="B385">
        <f t="shared" ca="1" si="5"/>
        <v>0</v>
      </c>
      <c r="E385">
        <v>1</v>
      </c>
      <c r="F385" t="s">
        <v>32</v>
      </c>
      <c r="I385" t="s">
        <v>39</v>
      </c>
      <c r="J385" t="s">
        <v>44</v>
      </c>
      <c r="M385" t="s">
        <v>54</v>
      </c>
      <c r="N3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5" t="s">
        <v>57</v>
      </c>
      <c r="Q385" t="s">
        <v>59</v>
      </c>
      <c r="R385" t="s">
        <v>59</v>
      </c>
      <c r="S385" t="s">
        <v>59</v>
      </c>
      <c r="T385" t="s">
        <v>59</v>
      </c>
      <c r="V385" t="s">
        <v>59</v>
      </c>
      <c r="W385" t="s">
        <v>80</v>
      </c>
    </row>
    <row r="386" spans="2:23" x14ac:dyDescent="0.2">
      <c r="B386">
        <f t="shared" ca="1" si="5"/>
        <v>0</v>
      </c>
      <c r="E386">
        <v>1</v>
      </c>
      <c r="F386" t="s">
        <v>32</v>
      </c>
      <c r="I386" t="s">
        <v>39</v>
      </c>
      <c r="J386" t="s">
        <v>44</v>
      </c>
      <c r="M386" t="s">
        <v>54</v>
      </c>
      <c r="N3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6" t="s">
        <v>57</v>
      </c>
      <c r="Q386" t="s">
        <v>59</v>
      </c>
      <c r="R386" t="s">
        <v>59</v>
      </c>
      <c r="S386" t="s">
        <v>59</v>
      </c>
      <c r="T386" t="s">
        <v>59</v>
      </c>
      <c r="V386" t="s">
        <v>59</v>
      </c>
      <c r="W386" t="s">
        <v>80</v>
      </c>
    </row>
    <row r="387" spans="2:23" x14ac:dyDescent="0.2">
      <c r="B387">
        <f t="shared" ca="1" si="5"/>
        <v>0</v>
      </c>
      <c r="E387">
        <v>1</v>
      </c>
      <c r="F387" t="s">
        <v>32</v>
      </c>
      <c r="I387" t="s">
        <v>39</v>
      </c>
      <c r="J387" t="s">
        <v>44</v>
      </c>
      <c r="M387" t="s">
        <v>54</v>
      </c>
      <c r="N3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7" t="s">
        <v>57</v>
      </c>
      <c r="Q387" t="s">
        <v>59</v>
      </c>
      <c r="R387" t="s">
        <v>59</v>
      </c>
      <c r="S387" t="s">
        <v>59</v>
      </c>
      <c r="T387" t="s">
        <v>59</v>
      </c>
      <c r="V387" t="s">
        <v>59</v>
      </c>
      <c r="W387" t="s">
        <v>80</v>
      </c>
    </row>
    <row r="388" spans="2:23" x14ac:dyDescent="0.2">
      <c r="B388">
        <f t="shared" ca="1" si="5"/>
        <v>0</v>
      </c>
      <c r="E388">
        <v>1</v>
      </c>
      <c r="F388" t="s">
        <v>32</v>
      </c>
      <c r="I388" t="s">
        <v>39</v>
      </c>
      <c r="J388" t="s">
        <v>44</v>
      </c>
      <c r="M388" t="s">
        <v>54</v>
      </c>
      <c r="N3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8" t="s">
        <v>57</v>
      </c>
      <c r="Q388" t="s">
        <v>59</v>
      </c>
      <c r="R388" t="s">
        <v>59</v>
      </c>
      <c r="S388" t="s">
        <v>59</v>
      </c>
      <c r="T388" t="s">
        <v>59</v>
      </c>
      <c r="V388" t="s">
        <v>59</v>
      </c>
      <c r="W388" t="s">
        <v>80</v>
      </c>
    </row>
    <row r="389" spans="2:23" x14ac:dyDescent="0.2">
      <c r="B389">
        <f t="shared" ca="1" si="5"/>
        <v>0</v>
      </c>
      <c r="E389">
        <v>1</v>
      </c>
      <c r="F389" t="s">
        <v>32</v>
      </c>
      <c r="I389" t="s">
        <v>39</v>
      </c>
      <c r="J389" t="s">
        <v>44</v>
      </c>
      <c r="M389" t="s">
        <v>54</v>
      </c>
      <c r="N3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89" t="s">
        <v>57</v>
      </c>
      <c r="Q389" t="s">
        <v>59</v>
      </c>
      <c r="R389" t="s">
        <v>59</v>
      </c>
      <c r="S389" t="s">
        <v>59</v>
      </c>
      <c r="T389" t="s">
        <v>59</v>
      </c>
      <c r="V389" t="s">
        <v>59</v>
      </c>
      <c r="W389" t="s">
        <v>80</v>
      </c>
    </row>
    <row r="390" spans="2:23" x14ac:dyDescent="0.2">
      <c r="B390">
        <f t="shared" ca="1" si="5"/>
        <v>0</v>
      </c>
      <c r="E390">
        <v>1</v>
      </c>
      <c r="F390" t="s">
        <v>32</v>
      </c>
      <c r="I390" t="s">
        <v>39</v>
      </c>
      <c r="J390" t="s">
        <v>44</v>
      </c>
      <c r="M390" t="s">
        <v>54</v>
      </c>
      <c r="N3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0" t="s">
        <v>57</v>
      </c>
      <c r="Q390" t="s">
        <v>59</v>
      </c>
      <c r="R390" t="s">
        <v>59</v>
      </c>
      <c r="S390" t="s">
        <v>59</v>
      </c>
      <c r="T390" t="s">
        <v>59</v>
      </c>
      <c r="V390" t="s">
        <v>59</v>
      </c>
      <c r="W390" t="s">
        <v>80</v>
      </c>
    </row>
    <row r="391" spans="2:23" x14ac:dyDescent="0.2">
      <c r="B391">
        <f t="shared" ref="B391:B454" ca="1" si="6">LEN(INDIRECT(ADDRESS(ROW() + (0),COLUMN() + (-1))))</f>
        <v>0</v>
      </c>
      <c r="E391">
        <v>1</v>
      </c>
      <c r="F391" t="s">
        <v>32</v>
      </c>
      <c r="I391" t="s">
        <v>39</v>
      </c>
      <c r="J391" t="s">
        <v>44</v>
      </c>
      <c r="M391" t="s">
        <v>54</v>
      </c>
      <c r="N3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1" t="s">
        <v>57</v>
      </c>
      <c r="Q391" t="s">
        <v>59</v>
      </c>
      <c r="R391" t="s">
        <v>59</v>
      </c>
      <c r="S391" t="s">
        <v>59</v>
      </c>
      <c r="T391" t="s">
        <v>59</v>
      </c>
      <c r="V391" t="s">
        <v>59</v>
      </c>
      <c r="W391" t="s">
        <v>80</v>
      </c>
    </row>
    <row r="392" spans="2:23" x14ac:dyDescent="0.2">
      <c r="B392">
        <f t="shared" ca="1" si="6"/>
        <v>0</v>
      </c>
      <c r="E392">
        <v>1</v>
      </c>
      <c r="F392" t="s">
        <v>32</v>
      </c>
      <c r="I392" t="s">
        <v>39</v>
      </c>
      <c r="J392" t="s">
        <v>44</v>
      </c>
      <c r="M392" t="s">
        <v>54</v>
      </c>
      <c r="N3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2" t="s">
        <v>57</v>
      </c>
      <c r="Q392" t="s">
        <v>59</v>
      </c>
      <c r="R392" t="s">
        <v>59</v>
      </c>
      <c r="S392" t="s">
        <v>59</v>
      </c>
      <c r="T392" t="s">
        <v>59</v>
      </c>
      <c r="V392" t="s">
        <v>59</v>
      </c>
      <c r="W392" t="s">
        <v>80</v>
      </c>
    </row>
    <row r="393" spans="2:23" x14ac:dyDescent="0.2">
      <c r="B393">
        <f t="shared" ca="1" si="6"/>
        <v>0</v>
      </c>
      <c r="E393">
        <v>1</v>
      </c>
      <c r="F393" t="s">
        <v>32</v>
      </c>
      <c r="I393" t="s">
        <v>39</v>
      </c>
      <c r="J393" t="s">
        <v>44</v>
      </c>
      <c r="M393" t="s">
        <v>54</v>
      </c>
      <c r="N3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3" t="s">
        <v>57</v>
      </c>
      <c r="Q393" t="s">
        <v>59</v>
      </c>
      <c r="R393" t="s">
        <v>59</v>
      </c>
      <c r="S393" t="s">
        <v>59</v>
      </c>
      <c r="T393" t="s">
        <v>59</v>
      </c>
      <c r="V393" t="s">
        <v>59</v>
      </c>
      <c r="W393" t="s">
        <v>80</v>
      </c>
    </row>
    <row r="394" spans="2:23" x14ac:dyDescent="0.2">
      <c r="B394">
        <f t="shared" ca="1" si="6"/>
        <v>0</v>
      </c>
      <c r="E394">
        <v>1</v>
      </c>
      <c r="F394" t="s">
        <v>32</v>
      </c>
      <c r="I394" t="s">
        <v>39</v>
      </c>
      <c r="J394" t="s">
        <v>44</v>
      </c>
      <c r="M394" t="s">
        <v>54</v>
      </c>
      <c r="N3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4" t="s">
        <v>57</v>
      </c>
      <c r="Q394" t="s">
        <v>59</v>
      </c>
      <c r="R394" t="s">
        <v>59</v>
      </c>
      <c r="S394" t="s">
        <v>59</v>
      </c>
      <c r="T394" t="s">
        <v>59</v>
      </c>
      <c r="V394" t="s">
        <v>59</v>
      </c>
      <c r="W394" t="s">
        <v>80</v>
      </c>
    </row>
    <row r="395" spans="2:23" x14ac:dyDescent="0.2">
      <c r="B395">
        <f t="shared" ca="1" si="6"/>
        <v>0</v>
      </c>
      <c r="E395">
        <v>1</v>
      </c>
      <c r="F395" t="s">
        <v>32</v>
      </c>
      <c r="I395" t="s">
        <v>39</v>
      </c>
      <c r="J395" t="s">
        <v>44</v>
      </c>
      <c r="M395" t="s">
        <v>54</v>
      </c>
      <c r="N3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5" t="s">
        <v>57</v>
      </c>
      <c r="Q395" t="s">
        <v>59</v>
      </c>
      <c r="R395" t="s">
        <v>59</v>
      </c>
      <c r="S395" t="s">
        <v>59</v>
      </c>
      <c r="T395" t="s">
        <v>59</v>
      </c>
      <c r="V395" t="s">
        <v>59</v>
      </c>
      <c r="W395" t="s">
        <v>80</v>
      </c>
    </row>
    <row r="396" spans="2:23" x14ac:dyDescent="0.2">
      <c r="B396">
        <f t="shared" ca="1" si="6"/>
        <v>0</v>
      </c>
      <c r="E396">
        <v>1</v>
      </c>
      <c r="F396" t="s">
        <v>32</v>
      </c>
      <c r="I396" t="s">
        <v>39</v>
      </c>
      <c r="J396" t="s">
        <v>44</v>
      </c>
      <c r="M396" t="s">
        <v>54</v>
      </c>
      <c r="N3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6" t="s">
        <v>57</v>
      </c>
      <c r="Q396" t="s">
        <v>59</v>
      </c>
      <c r="R396" t="s">
        <v>59</v>
      </c>
      <c r="S396" t="s">
        <v>59</v>
      </c>
      <c r="T396" t="s">
        <v>59</v>
      </c>
      <c r="V396" t="s">
        <v>59</v>
      </c>
      <c r="W396" t="s">
        <v>80</v>
      </c>
    </row>
    <row r="397" spans="2:23" x14ac:dyDescent="0.2">
      <c r="B397">
        <f t="shared" ca="1" si="6"/>
        <v>0</v>
      </c>
      <c r="E397">
        <v>1</v>
      </c>
      <c r="F397" t="s">
        <v>32</v>
      </c>
      <c r="I397" t="s">
        <v>39</v>
      </c>
      <c r="J397" t="s">
        <v>44</v>
      </c>
      <c r="M397" t="s">
        <v>54</v>
      </c>
      <c r="N3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7" t="s">
        <v>57</v>
      </c>
      <c r="Q397" t="s">
        <v>59</v>
      </c>
      <c r="R397" t="s">
        <v>59</v>
      </c>
      <c r="S397" t="s">
        <v>59</v>
      </c>
      <c r="T397" t="s">
        <v>59</v>
      </c>
      <c r="V397" t="s">
        <v>59</v>
      </c>
      <c r="W397" t="s">
        <v>80</v>
      </c>
    </row>
    <row r="398" spans="2:23" x14ac:dyDescent="0.2">
      <c r="B398">
        <f t="shared" ca="1" si="6"/>
        <v>0</v>
      </c>
      <c r="E398">
        <v>1</v>
      </c>
      <c r="F398" t="s">
        <v>32</v>
      </c>
      <c r="I398" t="s">
        <v>39</v>
      </c>
      <c r="J398" t="s">
        <v>44</v>
      </c>
      <c r="M398" t="s">
        <v>54</v>
      </c>
      <c r="N3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8" t="s">
        <v>57</v>
      </c>
      <c r="Q398" t="s">
        <v>59</v>
      </c>
      <c r="R398" t="s">
        <v>59</v>
      </c>
      <c r="S398" t="s">
        <v>59</v>
      </c>
      <c r="T398" t="s">
        <v>59</v>
      </c>
      <c r="V398" t="s">
        <v>59</v>
      </c>
      <c r="W398" t="s">
        <v>80</v>
      </c>
    </row>
    <row r="399" spans="2:23" x14ac:dyDescent="0.2">
      <c r="B399">
        <f t="shared" ca="1" si="6"/>
        <v>0</v>
      </c>
      <c r="E399">
        <v>1</v>
      </c>
      <c r="F399" t="s">
        <v>32</v>
      </c>
      <c r="I399" t="s">
        <v>39</v>
      </c>
      <c r="J399" t="s">
        <v>44</v>
      </c>
      <c r="M399" t="s">
        <v>54</v>
      </c>
      <c r="N3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3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399" t="s">
        <v>57</v>
      </c>
      <c r="Q399" t="s">
        <v>59</v>
      </c>
      <c r="R399" t="s">
        <v>59</v>
      </c>
      <c r="S399" t="s">
        <v>59</v>
      </c>
      <c r="T399" t="s">
        <v>59</v>
      </c>
      <c r="V399" t="s">
        <v>59</v>
      </c>
      <c r="W399" t="s">
        <v>80</v>
      </c>
    </row>
    <row r="400" spans="2:23" x14ac:dyDescent="0.2">
      <c r="B400">
        <f t="shared" ca="1" si="6"/>
        <v>0</v>
      </c>
      <c r="E400">
        <v>1</v>
      </c>
      <c r="F400" t="s">
        <v>32</v>
      </c>
      <c r="I400" t="s">
        <v>39</v>
      </c>
      <c r="J400" t="s">
        <v>44</v>
      </c>
      <c r="M400" t="s">
        <v>54</v>
      </c>
      <c r="N4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0" t="s">
        <v>57</v>
      </c>
      <c r="Q400" t="s">
        <v>59</v>
      </c>
      <c r="R400" t="s">
        <v>59</v>
      </c>
      <c r="S400" t="s">
        <v>59</v>
      </c>
      <c r="T400" t="s">
        <v>59</v>
      </c>
      <c r="V400" t="s">
        <v>59</v>
      </c>
      <c r="W400" t="s">
        <v>80</v>
      </c>
    </row>
    <row r="401" spans="2:23" x14ac:dyDescent="0.2">
      <c r="B401">
        <f t="shared" ca="1" si="6"/>
        <v>0</v>
      </c>
      <c r="E401">
        <v>1</v>
      </c>
      <c r="F401" t="s">
        <v>32</v>
      </c>
      <c r="I401" t="s">
        <v>39</v>
      </c>
      <c r="J401" t="s">
        <v>44</v>
      </c>
      <c r="M401" t="s">
        <v>54</v>
      </c>
      <c r="N4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1" t="s">
        <v>57</v>
      </c>
      <c r="Q401" t="s">
        <v>59</v>
      </c>
      <c r="R401" t="s">
        <v>59</v>
      </c>
      <c r="S401" t="s">
        <v>59</v>
      </c>
      <c r="T401" t="s">
        <v>59</v>
      </c>
      <c r="V401" t="s">
        <v>59</v>
      </c>
      <c r="W401" t="s">
        <v>80</v>
      </c>
    </row>
    <row r="402" spans="2:23" x14ac:dyDescent="0.2">
      <c r="B402">
        <f t="shared" ca="1" si="6"/>
        <v>0</v>
      </c>
      <c r="E402">
        <v>1</v>
      </c>
      <c r="F402" t="s">
        <v>32</v>
      </c>
      <c r="I402" t="s">
        <v>39</v>
      </c>
      <c r="J402" t="s">
        <v>44</v>
      </c>
      <c r="M402" t="s">
        <v>54</v>
      </c>
      <c r="N4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2" t="s">
        <v>57</v>
      </c>
      <c r="Q402" t="s">
        <v>59</v>
      </c>
      <c r="R402" t="s">
        <v>59</v>
      </c>
      <c r="S402" t="s">
        <v>59</v>
      </c>
      <c r="T402" t="s">
        <v>59</v>
      </c>
      <c r="V402" t="s">
        <v>59</v>
      </c>
      <c r="W402" t="s">
        <v>80</v>
      </c>
    </row>
    <row r="403" spans="2:23" x14ac:dyDescent="0.2">
      <c r="B403">
        <f t="shared" ca="1" si="6"/>
        <v>0</v>
      </c>
      <c r="E403">
        <v>1</v>
      </c>
      <c r="F403" t="s">
        <v>32</v>
      </c>
      <c r="I403" t="s">
        <v>39</v>
      </c>
      <c r="J403" t="s">
        <v>44</v>
      </c>
      <c r="M403" t="s">
        <v>54</v>
      </c>
      <c r="N4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3" t="s">
        <v>57</v>
      </c>
      <c r="Q403" t="s">
        <v>59</v>
      </c>
      <c r="R403" t="s">
        <v>59</v>
      </c>
      <c r="S403" t="s">
        <v>59</v>
      </c>
      <c r="T403" t="s">
        <v>59</v>
      </c>
      <c r="V403" t="s">
        <v>59</v>
      </c>
      <c r="W403" t="s">
        <v>80</v>
      </c>
    </row>
    <row r="404" spans="2:23" x14ac:dyDescent="0.2">
      <c r="B404">
        <f t="shared" ca="1" si="6"/>
        <v>0</v>
      </c>
      <c r="E404">
        <v>1</v>
      </c>
      <c r="F404" t="s">
        <v>32</v>
      </c>
      <c r="I404" t="s">
        <v>39</v>
      </c>
      <c r="J404" t="s">
        <v>44</v>
      </c>
      <c r="M404" t="s">
        <v>54</v>
      </c>
      <c r="N4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4" t="s">
        <v>57</v>
      </c>
      <c r="Q404" t="s">
        <v>59</v>
      </c>
      <c r="R404" t="s">
        <v>59</v>
      </c>
      <c r="S404" t="s">
        <v>59</v>
      </c>
      <c r="T404" t="s">
        <v>59</v>
      </c>
      <c r="V404" t="s">
        <v>59</v>
      </c>
      <c r="W404" t="s">
        <v>80</v>
      </c>
    </row>
    <row r="405" spans="2:23" x14ac:dyDescent="0.2">
      <c r="B405">
        <f t="shared" ca="1" si="6"/>
        <v>0</v>
      </c>
      <c r="E405">
        <v>1</v>
      </c>
      <c r="F405" t="s">
        <v>32</v>
      </c>
      <c r="I405" t="s">
        <v>39</v>
      </c>
      <c r="J405" t="s">
        <v>44</v>
      </c>
      <c r="M405" t="s">
        <v>54</v>
      </c>
      <c r="N4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5" t="s">
        <v>57</v>
      </c>
      <c r="Q405" t="s">
        <v>59</v>
      </c>
      <c r="R405" t="s">
        <v>59</v>
      </c>
      <c r="S405" t="s">
        <v>59</v>
      </c>
      <c r="T405" t="s">
        <v>59</v>
      </c>
      <c r="V405" t="s">
        <v>59</v>
      </c>
      <c r="W405" t="s">
        <v>80</v>
      </c>
    </row>
    <row r="406" spans="2:23" x14ac:dyDescent="0.2">
      <c r="B406">
        <f t="shared" ca="1" si="6"/>
        <v>0</v>
      </c>
      <c r="E406">
        <v>1</v>
      </c>
      <c r="F406" t="s">
        <v>32</v>
      </c>
      <c r="I406" t="s">
        <v>39</v>
      </c>
      <c r="J406" t="s">
        <v>44</v>
      </c>
      <c r="M406" t="s">
        <v>54</v>
      </c>
      <c r="N4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6" t="s">
        <v>57</v>
      </c>
      <c r="Q406" t="s">
        <v>59</v>
      </c>
      <c r="R406" t="s">
        <v>59</v>
      </c>
      <c r="S406" t="s">
        <v>59</v>
      </c>
      <c r="T406" t="s">
        <v>59</v>
      </c>
      <c r="V406" t="s">
        <v>59</v>
      </c>
      <c r="W406" t="s">
        <v>80</v>
      </c>
    </row>
    <row r="407" spans="2:23" x14ac:dyDescent="0.2">
      <c r="B407">
        <f t="shared" ca="1" si="6"/>
        <v>0</v>
      </c>
      <c r="E407">
        <v>1</v>
      </c>
      <c r="F407" t="s">
        <v>32</v>
      </c>
      <c r="I407" t="s">
        <v>39</v>
      </c>
      <c r="J407" t="s">
        <v>44</v>
      </c>
      <c r="M407" t="s">
        <v>54</v>
      </c>
      <c r="N4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7" t="s">
        <v>57</v>
      </c>
      <c r="Q407" t="s">
        <v>59</v>
      </c>
      <c r="R407" t="s">
        <v>59</v>
      </c>
      <c r="S407" t="s">
        <v>59</v>
      </c>
      <c r="T407" t="s">
        <v>59</v>
      </c>
      <c r="V407" t="s">
        <v>59</v>
      </c>
      <c r="W407" t="s">
        <v>80</v>
      </c>
    </row>
    <row r="408" spans="2:23" x14ac:dyDescent="0.2">
      <c r="B408">
        <f t="shared" ca="1" si="6"/>
        <v>0</v>
      </c>
      <c r="E408">
        <v>1</v>
      </c>
      <c r="F408" t="s">
        <v>32</v>
      </c>
      <c r="I408" t="s">
        <v>39</v>
      </c>
      <c r="J408" t="s">
        <v>44</v>
      </c>
      <c r="M408" t="s">
        <v>54</v>
      </c>
      <c r="N4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8" t="s">
        <v>57</v>
      </c>
      <c r="Q408" t="s">
        <v>59</v>
      </c>
      <c r="R408" t="s">
        <v>59</v>
      </c>
      <c r="S408" t="s">
        <v>59</v>
      </c>
      <c r="T408" t="s">
        <v>59</v>
      </c>
      <c r="V408" t="s">
        <v>59</v>
      </c>
      <c r="W408" t="s">
        <v>80</v>
      </c>
    </row>
    <row r="409" spans="2:23" x14ac:dyDescent="0.2">
      <c r="B409">
        <f t="shared" ca="1" si="6"/>
        <v>0</v>
      </c>
      <c r="E409">
        <v>1</v>
      </c>
      <c r="F409" t="s">
        <v>32</v>
      </c>
      <c r="I409" t="s">
        <v>39</v>
      </c>
      <c r="J409" t="s">
        <v>44</v>
      </c>
      <c r="M409" t="s">
        <v>54</v>
      </c>
      <c r="N4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09" t="s">
        <v>57</v>
      </c>
      <c r="Q409" t="s">
        <v>59</v>
      </c>
      <c r="R409" t="s">
        <v>59</v>
      </c>
      <c r="S409" t="s">
        <v>59</v>
      </c>
      <c r="T409" t="s">
        <v>59</v>
      </c>
      <c r="V409" t="s">
        <v>59</v>
      </c>
      <c r="W409" t="s">
        <v>80</v>
      </c>
    </row>
    <row r="410" spans="2:23" x14ac:dyDescent="0.2">
      <c r="B410">
        <f t="shared" ca="1" si="6"/>
        <v>0</v>
      </c>
      <c r="E410">
        <v>1</v>
      </c>
      <c r="F410" t="s">
        <v>32</v>
      </c>
      <c r="I410" t="s">
        <v>39</v>
      </c>
      <c r="J410" t="s">
        <v>44</v>
      </c>
      <c r="M410" t="s">
        <v>54</v>
      </c>
      <c r="N4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0" t="s">
        <v>57</v>
      </c>
      <c r="Q410" t="s">
        <v>59</v>
      </c>
      <c r="R410" t="s">
        <v>59</v>
      </c>
      <c r="S410" t="s">
        <v>59</v>
      </c>
      <c r="T410" t="s">
        <v>59</v>
      </c>
      <c r="V410" t="s">
        <v>59</v>
      </c>
      <c r="W410" t="s">
        <v>80</v>
      </c>
    </row>
    <row r="411" spans="2:23" x14ac:dyDescent="0.2">
      <c r="B411">
        <f t="shared" ca="1" si="6"/>
        <v>0</v>
      </c>
      <c r="E411">
        <v>1</v>
      </c>
      <c r="F411" t="s">
        <v>32</v>
      </c>
      <c r="I411" t="s">
        <v>39</v>
      </c>
      <c r="J411" t="s">
        <v>44</v>
      </c>
      <c r="M411" t="s">
        <v>54</v>
      </c>
      <c r="N4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1" t="s">
        <v>57</v>
      </c>
      <c r="Q411" t="s">
        <v>59</v>
      </c>
      <c r="R411" t="s">
        <v>59</v>
      </c>
      <c r="S411" t="s">
        <v>59</v>
      </c>
      <c r="T411" t="s">
        <v>59</v>
      </c>
      <c r="V411" t="s">
        <v>59</v>
      </c>
      <c r="W411" t="s">
        <v>80</v>
      </c>
    </row>
    <row r="412" spans="2:23" x14ac:dyDescent="0.2">
      <c r="B412">
        <f t="shared" ca="1" si="6"/>
        <v>0</v>
      </c>
      <c r="E412">
        <v>1</v>
      </c>
      <c r="F412" t="s">
        <v>32</v>
      </c>
      <c r="I412" t="s">
        <v>39</v>
      </c>
      <c r="J412" t="s">
        <v>44</v>
      </c>
      <c r="M412" t="s">
        <v>54</v>
      </c>
      <c r="N4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2" t="s">
        <v>57</v>
      </c>
      <c r="Q412" t="s">
        <v>59</v>
      </c>
      <c r="R412" t="s">
        <v>59</v>
      </c>
      <c r="S412" t="s">
        <v>59</v>
      </c>
      <c r="T412" t="s">
        <v>59</v>
      </c>
      <c r="V412" t="s">
        <v>59</v>
      </c>
      <c r="W412" t="s">
        <v>80</v>
      </c>
    </row>
    <row r="413" spans="2:23" x14ac:dyDescent="0.2">
      <c r="B413">
        <f t="shared" ca="1" si="6"/>
        <v>0</v>
      </c>
      <c r="E413">
        <v>1</v>
      </c>
      <c r="F413" t="s">
        <v>32</v>
      </c>
      <c r="I413" t="s">
        <v>39</v>
      </c>
      <c r="J413" t="s">
        <v>44</v>
      </c>
      <c r="M413" t="s">
        <v>54</v>
      </c>
      <c r="N4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3" t="s">
        <v>57</v>
      </c>
      <c r="Q413" t="s">
        <v>59</v>
      </c>
      <c r="R413" t="s">
        <v>59</v>
      </c>
      <c r="S413" t="s">
        <v>59</v>
      </c>
      <c r="T413" t="s">
        <v>59</v>
      </c>
      <c r="V413" t="s">
        <v>59</v>
      </c>
      <c r="W413" t="s">
        <v>80</v>
      </c>
    </row>
    <row r="414" spans="2:23" x14ac:dyDescent="0.2">
      <c r="B414">
        <f t="shared" ca="1" si="6"/>
        <v>0</v>
      </c>
      <c r="E414">
        <v>1</v>
      </c>
      <c r="F414" t="s">
        <v>32</v>
      </c>
      <c r="I414" t="s">
        <v>39</v>
      </c>
      <c r="J414" t="s">
        <v>44</v>
      </c>
      <c r="M414" t="s">
        <v>54</v>
      </c>
      <c r="N4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4" t="s">
        <v>57</v>
      </c>
      <c r="Q414" t="s">
        <v>59</v>
      </c>
      <c r="R414" t="s">
        <v>59</v>
      </c>
      <c r="S414" t="s">
        <v>59</v>
      </c>
      <c r="T414" t="s">
        <v>59</v>
      </c>
      <c r="V414" t="s">
        <v>59</v>
      </c>
      <c r="W414" t="s">
        <v>80</v>
      </c>
    </row>
    <row r="415" spans="2:23" x14ac:dyDescent="0.2">
      <c r="B415">
        <f t="shared" ca="1" si="6"/>
        <v>0</v>
      </c>
      <c r="E415">
        <v>1</v>
      </c>
      <c r="F415" t="s">
        <v>32</v>
      </c>
      <c r="I415" t="s">
        <v>39</v>
      </c>
      <c r="J415" t="s">
        <v>44</v>
      </c>
      <c r="M415" t="s">
        <v>54</v>
      </c>
      <c r="N4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5" t="s">
        <v>57</v>
      </c>
      <c r="Q415" t="s">
        <v>59</v>
      </c>
      <c r="R415" t="s">
        <v>59</v>
      </c>
      <c r="S415" t="s">
        <v>59</v>
      </c>
      <c r="T415" t="s">
        <v>59</v>
      </c>
      <c r="V415" t="s">
        <v>59</v>
      </c>
      <c r="W415" t="s">
        <v>80</v>
      </c>
    </row>
    <row r="416" spans="2:23" x14ac:dyDescent="0.2">
      <c r="B416">
        <f t="shared" ca="1" si="6"/>
        <v>0</v>
      </c>
      <c r="E416">
        <v>1</v>
      </c>
      <c r="F416" t="s">
        <v>32</v>
      </c>
      <c r="I416" t="s">
        <v>39</v>
      </c>
      <c r="J416" t="s">
        <v>44</v>
      </c>
      <c r="M416" t="s">
        <v>54</v>
      </c>
      <c r="N4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6" t="s">
        <v>57</v>
      </c>
      <c r="Q416" t="s">
        <v>59</v>
      </c>
      <c r="R416" t="s">
        <v>59</v>
      </c>
      <c r="S416" t="s">
        <v>59</v>
      </c>
      <c r="T416" t="s">
        <v>59</v>
      </c>
      <c r="V416" t="s">
        <v>59</v>
      </c>
      <c r="W416" t="s">
        <v>80</v>
      </c>
    </row>
    <row r="417" spans="2:23" x14ac:dyDescent="0.2">
      <c r="B417">
        <f t="shared" ca="1" si="6"/>
        <v>0</v>
      </c>
      <c r="E417">
        <v>1</v>
      </c>
      <c r="F417" t="s">
        <v>32</v>
      </c>
      <c r="I417" t="s">
        <v>39</v>
      </c>
      <c r="J417" t="s">
        <v>44</v>
      </c>
      <c r="M417" t="s">
        <v>54</v>
      </c>
      <c r="N4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7" t="s">
        <v>57</v>
      </c>
      <c r="Q417" t="s">
        <v>59</v>
      </c>
      <c r="R417" t="s">
        <v>59</v>
      </c>
      <c r="S417" t="s">
        <v>59</v>
      </c>
      <c r="T417" t="s">
        <v>59</v>
      </c>
      <c r="V417" t="s">
        <v>59</v>
      </c>
      <c r="W417" t="s">
        <v>80</v>
      </c>
    </row>
    <row r="418" spans="2:23" x14ac:dyDescent="0.2">
      <c r="B418">
        <f t="shared" ca="1" si="6"/>
        <v>0</v>
      </c>
      <c r="E418">
        <v>1</v>
      </c>
      <c r="F418" t="s">
        <v>32</v>
      </c>
      <c r="I418" t="s">
        <v>39</v>
      </c>
      <c r="J418" t="s">
        <v>44</v>
      </c>
      <c r="M418" t="s">
        <v>54</v>
      </c>
      <c r="N4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8" t="s">
        <v>57</v>
      </c>
      <c r="Q418" t="s">
        <v>59</v>
      </c>
      <c r="R418" t="s">
        <v>59</v>
      </c>
      <c r="S418" t="s">
        <v>59</v>
      </c>
      <c r="T418" t="s">
        <v>59</v>
      </c>
      <c r="V418" t="s">
        <v>59</v>
      </c>
      <c r="W418" t="s">
        <v>80</v>
      </c>
    </row>
    <row r="419" spans="2:23" x14ac:dyDescent="0.2">
      <c r="B419">
        <f t="shared" ca="1" si="6"/>
        <v>0</v>
      </c>
      <c r="E419">
        <v>1</v>
      </c>
      <c r="F419" t="s">
        <v>32</v>
      </c>
      <c r="I419" t="s">
        <v>39</v>
      </c>
      <c r="J419" t="s">
        <v>44</v>
      </c>
      <c r="M419" t="s">
        <v>54</v>
      </c>
      <c r="N4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19" t="s">
        <v>57</v>
      </c>
      <c r="Q419" t="s">
        <v>59</v>
      </c>
      <c r="R419" t="s">
        <v>59</v>
      </c>
      <c r="S419" t="s">
        <v>59</v>
      </c>
      <c r="T419" t="s">
        <v>59</v>
      </c>
      <c r="V419" t="s">
        <v>59</v>
      </c>
      <c r="W419" t="s">
        <v>80</v>
      </c>
    </row>
    <row r="420" spans="2:23" x14ac:dyDescent="0.2">
      <c r="B420">
        <f t="shared" ca="1" si="6"/>
        <v>0</v>
      </c>
      <c r="E420">
        <v>1</v>
      </c>
      <c r="F420" t="s">
        <v>32</v>
      </c>
      <c r="I420" t="s">
        <v>39</v>
      </c>
      <c r="J420" t="s">
        <v>44</v>
      </c>
      <c r="M420" t="s">
        <v>54</v>
      </c>
      <c r="N4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0" t="s">
        <v>57</v>
      </c>
      <c r="Q420" t="s">
        <v>59</v>
      </c>
      <c r="R420" t="s">
        <v>59</v>
      </c>
      <c r="S420" t="s">
        <v>59</v>
      </c>
      <c r="T420" t="s">
        <v>59</v>
      </c>
      <c r="V420" t="s">
        <v>59</v>
      </c>
      <c r="W420" t="s">
        <v>80</v>
      </c>
    </row>
    <row r="421" spans="2:23" x14ac:dyDescent="0.2">
      <c r="B421">
        <f t="shared" ca="1" si="6"/>
        <v>0</v>
      </c>
      <c r="E421">
        <v>1</v>
      </c>
      <c r="F421" t="s">
        <v>32</v>
      </c>
      <c r="I421" t="s">
        <v>39</v>
      </c>
      <c r="J421" t="s">
        <v>44</v>
      </c>
      <c r="M421" t="s">
        <v>54</v>
      </c>
      <c r="N4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1" t="s">
        <v>57</v>
      </c>
      <c r="Q421" t="s">
        <v>59</v>
      </c>
      <c r="R421" t="s">
        <v>59</v>
      </c>
      <c r="S421" t="s">
        <v>59</v>
      </c>
      <c r="T421" t="s">
        <v>59</v>
      </c>
      <c r="V421" t="s">
        <v>59</v>
      </c>
      <c r="W421" t="s">
        <v>80</v>
      </c>
    </row>
    <row r="422" spans="2:23" x14ac:dyDescent="0.2">
      <c r="B422">
        <f t="shared" ca="1" si="6"/>
        <v>0</v>
      </c>
      <c r="E422">
        <v>1</v>
      </c>
      <c r="F422" t="s">
        <v>32</v>
      </c>
      <c r="I422" t="s">
        <v>39</v>
      </c>
      <c r="J422" t="s">
        <v>44</v>
      </c>
      <c r="M422" t="s">
        <v>54</v>
      </c>
      <c r="N4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2" t="s">
        <v>57</v>
      </c>
      <c r="Q422" t="s">
        <v>59</v>
      </c>
      <c r="R422" t="s">
        <v>59</v>
      </c>
      <c r="S422" t="s">
        <v>59</v>
      </c>
      <c r="T422" t="s">
        <v>59</v>
      </c>
      <c r="V422" t="s">
        <v>59</v>
      </c>
      <c r="W422" t="s">
        <v>80</v>
      </c>
    </row>
    <row r="423" spans="2:23" x14ac:dyDescent="0.2">
      <c r="B423">
        <f t="shared" ca="1" si="6"/>
        <v>0</v>
      </c>
      <c r="E423">
        <v>1</v>
      </c>
      <c r="F423" t="s">
        <v>32</v>
      </c>
      <c r="I423" t="s">
        <v>39</v>
      </c>
      <c r="J423" t="s">
        <v>44</v>
      </c>
      <c r="M423" t="s">
        <v>54</v>
      </c>
      <c r="N4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3" t="s">
        <v>57</v>
      </c>
      <c r="Q423" t="s">
        <v>59</v>
      </c>
      <c r="R423" t="s">
        <v>59</v>
      </c>
      <c r="S423" t="s">
        <v>59</v>
      </c>
      <c r="T423" t="s">
        <v>59</v>
      </c>
      <c r="V423" t="s">
        <v>59</v>
      </c>
      <c r="W423" t="s">
        <v>80</v>
      </c>
    </row>
    <row r="424" spans="2:23" x14ac:dyDescent="0.2">
      <c r="B424">
        <f t="shared" ca="1" si="6"/>
        <v>0</v>
      </c>
      <c r="E424">
        <v>1</v>
      </c>
      <c r="F424" t="s">
        <v>32</v>
      </c>
      <c r="I424" t="s">
        <v>39</v>
      </c>
      <c r="J424" t="s">
        <v>44</v>
      </c>
      <c r="M424" t="s">
        <v>54</v>
      </c>
      <c r="N4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4" t="s">
        <v>57</v>
      </c>
      <c r="Q424" t="s">
        <v>59</v>
      </c>
      <c r="R424" t="s">
        <v>59</v>
      </c>
      <c r="S424" t="s">
        <v>59</v>
      </c>
      <c r="T424" t="s">
        <v>59</v>
      </c>
      <c r="V424" t="s">
        <v>59</v>
      </c>
      <c r="W424" t="s">
        <v>80</v>
      </c>
    </row>
    <row r="425" spans="2:23" x14ac:dyDescent="0.2">
      <c r="B425">
        <f t="shared" ca="1" si="6"/>
        <v>0</v>
      </c>
      <c r="E425">
        <v>1</v>
      </c>
      <c r="F425" t="s">
        <v>32</v>
      </c>
      <c r="I425" t="s">
        <v>39</v>
      </c>
      <c r="J425" t="s">
        <v>44</v>
      </c>
      <c r="M425" t="s">
        <v>54</v>
      </c>
      <c r="N4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5" t="s">
        <v>57</v>
      </c>
      <c r="Q425" t="s">
        <v>59</v>
      </c>
      <c r="R425" t="s">
        <v>59</v>
      </c>
      <c r="S425" t="s">
        <v>59</v>
      </c>
      <c r="T425" t="s">
        <v>59</v>
      </c>
      <c r="V425" t="s">
        <v>59</v>
      </c>
      <c r="W425" t="s">
        <v>80</v>
      </c>
    </row>
    <row r="426" spans="2:23" x14ac:dyDescent="0.2">
      <c r="B426">
        <f t="shared" ca="1" si="6"/>
        <v>0</v>
      </c>
      <c r="E426">
        <v>1</v>
      </c>
      <c r="F426" t="s">
        <v>32</v>
      </c>
      <c r="I426" t="s">
        <v>39</v>
      </c>
      <c r="J426" t="s">
        <v>44</v>
      </c>
      <c r="M426" t="s">
        <v>54</v>
      </c>
      <c r="N4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6" t="s">
        <v>57</v>
      </c>
      <c r="Q426" t="s">
        <v>59</v>
      </c>
      <c r="R426" t="s">
        <v>59</v>
      </c>
      <c r="S426" t="s">
        <v>59</v>
      </c>
      <c r="T426" t="s">
        <v>59</v>
      </c>
      <c r="V426" t="s">
        <v>59</v>
      </c>
      <c r="W426" t="s">
        <v>80</v>
      </c>
    </row>
    <row r="427" spans="2:23" x14ac:dyDescent="0.2">
      <c r="B427">
        <f t="shared" ca="1" si="6"/>
        <v>0</v>
      </c>
      <c r="E427">
        <v>1</v>
      </c>
      <c r="F427" t="s">
        <v>32</v>
      </c>
      <c r="I427" t="s">
        <v>39</v>
      </c>
      <c r="J427" t="s">
        <v>44</v>
      </c>
      <c r="M427" t="s">
        <v>54</v>
      </c>
      <c r="N4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7" t="s">
        <v>57</v>
      </c>
      <c r="Q427" t="s">
        <v>59</v>
      </c>
      <c r="R427" t="s">
        <v>59</v>
      </c>
      <c r="S427" t="s">
        <v>59</v>
      </c>
      <c r="T427" t="s">
        <v>59</v>
      </c>
      <c r="V427" t="s">
        <v>59</v>
      </c>
      <c r="W427" t="s">
        <v>80</v>
      </c>
    </row>
    <row r="428" spans="2:23" x14ac:dyDescent="0.2">
      <c r="B428">
        <f t="shared" ca="1" si="6"/>
        <v>0</v>
      </c>
      <c r="E428">
        <v>1</v>
      </c>
      <c r="F428" t="s">
        <v>32</v>
      </c>
      <c r="I428" t="s">
        <v>39</v>
      </c>
      <c r="J428" t="s">
        <v>44</v>
      </c>
      <c r="M428" t="s">
        <v>54</v>
      </c>
      <c r="N4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8" t="s">
        <v>57</v>
      </c>
      <c r="Q428" t="s">
        <v>59</v>
      </c>
      <c r="R428" t="s">
        <v>59</v>
      </c>
      <c r="S428" t="s">
        <v>59</v>
      </c>
      <c r="T428" t="s">
        <v>59</v>
      </c>
      <c r="V428" t="s">
        <v>59</v>
      </c>
      <c r="W428" t="s">
        <v>80</v>
      </c>
    </row>
    <row r="429" spans="2:23" x14ac:dyDescent="0.2">
      <c r="B429">
        <f t="shared" ca="1" si="6"/>
        <v>0</v>
      </c>
      <c r="E429">
        <v>1</v>
      </c>
      <c r="F429" t="s">
        <v>32</v>
      </c>
      <c r="I429" t="s">
        <v>39</v>
      </c>
      <c r="J429" t="s">
        <v>44</v>
      </c>
      <c r="M429" t="s">
        <v>54</v>
      </c>
      <c r="N4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29" t="s">
        <v>57</v>
      </c>
      <c r="Q429" t="s">
        <v>59</v>
      </c>
      <c r="R429" t="s">
        <v>59</v>
      </c>
      <c r="S429" t="s">
        <v>59</v>
      </c>
      <c r="T429" t="s">
        <v>59</v>
      </c>
      <c r="V429" t="s">
        <v>59</v>
      </c>
      <c r="W429" t="s">
        <v>80</v>
      </c>
    </row>
    <row r="430" spans="2:23" x14ac:dyDescent="0.2">
      <c r="B430">
        <f t="shared" ca="1" si="6"/>
        <v>0</v>
      </c>
      <c r="E430">
        <v>1</v>
      </c>
      <c r="F430" t="s">
        <v>32</v>
      </c>
      <c r="I430" t="s">
        <v>39</v>
      </c>
      <c r="J430" t="s">
        <v>44</v>
      </c>
      <c r="M430" t="s">
        <v>54</v>
      </c>
      <c r="N4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0" t="s">
        <v>57</v>
      </c>
      <c r="Q430" t="s">
        <v>59</v>
      </c>
      <c r="R430" t="s">
        <v>59</v>
      </c>
      <c r="S430" t="s">
        <v>59</v>
      </c>
      <c r="T430" t="s">
        <v>59</v>
      </c>
      <c r="V430" t="s">
        <v>59</v>
      </c>
      <c r="W430" t="s">
        <v>80</v>
      </c>
    </row>
    <row r="431" spans="2:23" x14ac:dyDescent="0.2">
      <c r="B431">
        <f t="shared" ca="1" si="6"/>
        <v>0</v>
      </c>
      <c r="E431">
        <v>1</v>
      </c>
      <c r="F431" t="s">
        <v>32</v>
      </c>
      <c r="I431" t="s">
        <v>39</v>
      </c>
      <c r="J431" t="s">
        <v>44</v>
      </c>
      <c r="M431" t="s">
        <v>54</v>
      </c>
      <c r="N4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1" t="s">
        <v>57</v>
      </c>
      <c r="Q431" t="s">
        <v>59</v>
      </c>
      <c r="R431" t="s">
        <v>59</v>
      </c>
      <c r="S431" t="s">
        <v>59</v>
      </c>
      <c r="T431" t="s">
        <v>59</v>
      </c>
      <c r="V431" t="s">
        <v>59</v>
      </c>
      <c r="W431" t="s">
        <v>80</v>
      </c>
    </row>
    <row r="432" spans="2:23" x14ac:dyDescent="0.2">
      <c r="B432">
        <f t="shared" ca="1" si="6"/>
        <v>0</v>
      </c>
      <c r="E432">
        <v>1</v>
      </c>
      <c r="F432" t="s">
        <v>32</v>
      </c>
      <c r="I432" t="s">
        <v>39</v>
      </c>
      <c r="J432" t="s">
        <v>44</v>
      </c>
      <c r="M432" t="s">
        <v>54</v>
      </c>
      <c r="N4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2" t="s">
        <v>57</v>
      </c>
      <c r="Q432" t="s">
        <v>59</v>
      </c>
      <c r="R432" t="s">
        <v>59</v>
      </c>
      <c r="S432" t="s">
        <v>59</v>
      </c>
      <c r="T432" t="s">
        <v>59</v>
      </c>
      <c r="V432" t="s">
        <v>59</v>
      </c>
      <c r="W432" t="s">
        <v>80</v>
      </c>
    </row>
    <row r="433" spans="2:23" x14ac:dyDescent="0.2">
      <c r="B433">
        <f t="shared" ca="1" si="6"/>
        <v>0</v>
      </c>
      <c r="E433">
        <v>1</v>
      </c>
      <c r="F433" t="s">
        <v>32</v>
      </c>
      <c r="I433" t="s">
        <v>39</v>
      </c>
      <c r="J433" t="s">
        <v>44</v>
      </c>
      <c r="M433" t="s">
        <v>54</v>
      </c>
      <c r="N4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3" t="s">
        <v>57</v>
      </c>
      <c r="Q433" t="s">
        <v>59</v>
      </c>
      <c r="R433" t="s">
        <v>59</v>
      </c>
      <c r="S433" t="s">
        <v>59</v>
      </c>
      <c r="T433" t="s">
        <v>59</v>
      </c>
      <c r="V433" t="s">
        <v>59</v>
      </c>
      <c r="W433" t="s">
        <v>80</v>
      </c>
    </row>
    <row r="434" spans="2:23" x14ac:dyDescent="0.2">
      <c r="B434">
        <f t="shared" ca="1" si="6"/>
        <v>0</v>
      </c>
      <c r="E434">
        <v>1</v>
      </c>
      <c r="F434" t="s">
        <v>32</v>
      </c>
      <c r="I434" t="s">
        <v>39</v>
      </c>
      <c r="J434" t="s">
        <v>44</v>
      </c>
      <c r="M434" t="s">
        <v>54</v>
      </c>
      <c r="N4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4" t="s">
        <v>57</v>
      </c>
      <c r="Q434" t="s">
        <v>59</v>
      </c>
      <c r="R434" t="s">
        <v>59</v>
      </c>
      <c r="S434" t="s">
        <v>59</v>
      </c>
      <c r="T434" t="s">
        <v>59</v>
      </c>
      <c r="V434" t="s">
        <v>59</v>
      </c>
      <c r="W434" t="s">
        <v>80</v>
      </c>
    </row>
    <row r="435" spans="2:23" x14ac:dyDescent="0.2">
      <c r="B435">
        <f t="shared" ca="1" si="6"/>
        <v>0</v>
      </c>
      <c r="E435">
        <v>1</v>
      </c>
      <c r="F435" t="s">
        <v>32</v>
      </c>
      <c r="I435" t="s">
        <v>39</v>
      </c>
      <c r="J435" t="s">
        <v>44</v>
      </c>
      <c r="M435" t="s">
        <v>54</v>
      </c>
      <c r="N4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5" t="s">
        <v>57</v>
      </c>
      <c r="Q435" t="s">
        <v>59</v>
      </c>
      <c r="R435" t="s">
        <v>59</v>
      </c>
      <c r="S435" t="s">
        <v>59</v>
      </c>
      <c r="T435" t="s">
        <v>59</v>
      </c>
      <c r="V435" t="s">
        <v>59</v>
      </c>
      <c r="W435" t="s">
        <v>80</v>
      </c>
    </row>
    <row r="436" spans="2:23" x14ac:dyDescent="0.2">
      <c r="B436">
        <f t="shared" ca="1" si="6"/>
        <v>0</v>
      </c>
      <c r="E436">
        <v>1</v>
      </c>
      <c r="F436" t="s">
        <v>32</v>
      </c>
      <c r="I436" t="s">
        <v>39</v>
      </c>
      <c r="J436" t="s">
        <v>44</v>
      </c>
      <c r="M436" t="s">
        <v>54</v>
      </c>
      <c r="N4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6" t="s">
        <v>57</v>
      </c>
      <c r="Q436" t="s">
        <v>59</v>
      </c>
      <c r="R436" t="s">
        <v>59</v>
      </c>
      <c r="S436" t="s">
        <v>59</v>
      </c>
      <c r="T436" t="s">
        <v>59</v>
      </c>
      <c r="V436" t="s">
        <v>59</v>
      </c>
      <c r="W436" t="s">
        <v>80</v>
      </c>
    </row>
    <row r="437" spans="2:23" x14ac:dyDescent="0.2">
      <c r="B437">
        <f t="shared" ca="1" si="6"/>
        <v>0</v>
      </c>
      <c r="E437">
        <v>1</v>
      </c>
      <c r="F437" t="s">
        <v>32</v>
      </c>
      <c r="I437" t="s">
        <v>39</v>
      </c>
      <c r="J437" t="s">
        <v>44</v>
      </c>
      <c r="M437" t="s">
        <v>54</v>
      </c>
      <c r="N4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7" t="s">
        <v>57</v>
      </c>
      <c r="Q437" t="s">
        <v>59</v>
      </c>
      <c r="R437" t="s">
        <v>59</v>
      </c>
      <c r="S437" t="s">
        <v>59</v>
      </c>
      <c r="T437" t="s">
        <v>59</v>
      </c>
      <c r="V437" t="s">
        <v>59</v>
      </c>
      <c r="W437" t="s">
        <v>80</v>
      </c>
    </row>
    <row r="438" spans="2:23" x14ac:dyDescent="0.2">
      <c r="B438">
        <f t="shared" ca="1" si="6"/>
        <v>0</v>
      </c>
      <c r="E438">
        <v>1</v>
      </c>
      <c r="F438" t="s">
        <v>32</v>
      </c>
      <c r="I438" t="s">
        <v>39</v>
      </c>
      <c r="J438" t="s">
        <v>44</v>
      </c>
      <c r="M438" t="s">
        <v>54</v>
      </c>
      <c r="N4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8" t="s">
        <v>57</v>
      </c>
      <c r="Q438" t="s">
        <v>59</v>
      </c>
      <c r="R438" t="s">
        <v>59</v>
      </c>
      <c r="S438" t="s">
        <v>59</v>
      </c>
      <c r="T438" t="s">
        <v>59</v>
      </c>
      <c r="V438" t="s">
        <v>59</v>
      </c>
      <c r="W438" t="s">
        <v>80</v>
      </c>
    </row>
    <row r="439" spans="2:23" x14ac:dyDescent="0.2">
      <c r="B439">
        <f t="shared" ca="1" si="6"/>
        <v>0</v>
      </c>
      <c r="E439">
        <v>1</v>
      </c>
      <c r="F439" t="s">
        <v>32</v>
      </c>
      <c r="I439" t="s">
        <v>39</v>
      </c>
      <c r="J439" t="s">
        <v>44</v>
      </c>
      <c r="M439" t="s">
        <v>54</v>
      </c>
      <c r="N4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39" t="s">
        <v>57</v>
      </c>
      <c r="Q439" t="s">
        <v>59</v>
      </c>
      <c r="R439" t="s">
        <v>59</v>
      </c>
      <c r="S439" t="s">
        <v>59</v>
      </c>
      <c r="T439" t="s">
        <v>59</v>
      </c>
      <c r="V439" t="s">
        <v>59</v>
      </c>
      <c r="W439" t="s">
        <v>80</v>
      </c>
    </row>
    <row r="440" spans="2:23" x14ac:dyDescent="0.2">
      <c r="B440">
        <f t="shared" ca="1" si="6"/>
        <v>0</v>
      </c>
      <c r="E440">
        <v>1</v>
      </c>
      <c r="F440" t="s">
        <v>32</v>
      </c>
      <c r="I440" t="s">
        <v>39</v>
      </c>
      <c r="J440" t="s">
        <v>44</v>
      </c>
      <c r="M440" t="s">
        <v>54</v>
      </c>
      <c r="N4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0" t="s">
        <v>57</v>
      </c>
      <c r="Q440" t="s">
        <v>59</v>
      </c>
      <c r="R440" t="s">
        <v>59</v>
      </c>
      <c r="S440" t="s">
        <v>59</v>
      </c>
      <c r="T440" t="s">
        <v>59</v>
      </c>
      <c r="V440" t="s">
        <v>59</v>
      </c>
      <c r="W440" t="s">
        <v>80</v>
      </c>
    </row>
    <row r="441" spans="2:23" x14ac:dyDescent="0.2">
      <c r="B441">
        <f t="shared" ca="1" si="6"/>
        <v>0</v>
      </c>
      <c r="E441">
        <v>1</v>
      </c>
      <c r="F441" t="s">
        <v>32</v>
      </c>
      <c r="I441" t="s">
        <v>39</v>
      </c>
      <c r="J441" t="s">
        <v>44</v>
      </c>
      <c r="M441" t="s">
        <v>54</v>
      </c>
      <c r="N4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1" t="s">
        <v>57</v>
      </c>
      <c r="Q441" t="s">
        <v>59</v>
      </c>
      <c r="R441" t="s">
        <v>59</v>
      </c>
      <c r="S441" t="s">
        <v>59</v>
      </c>
      <c r="T441" t="s">
        <v>59</v>
      </c>
      <c r="V441" t="s">
        <v>59</v>
      </c>
      <c r="W441" t="s">
        <v>80</v>
      </c>
    </row>
    <row r="442" spans="2:23" x14ac:dyDescent="0.2">
      <c r="B442">
        <f t="shared" ca="1" si="6"/>
        <v>0</v>
      </c>
      <c r="E442">
        <v>1</v>
      </c>
      <c r="F442" t="s">
        <v>32</v>
      </c>
      <c r="I442" t="s">
        <v>39</v>
      </c>
      <c r="J442" t="s">
        <v>44</v>
      </c>
      <c r="M442" t="s">
        <v>54</v>
      </c>
      <c r="N4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2" t="s">
        <v>57</v>
      </c>
      <c r="Q442" t="s">
        <v>59</v>
      </c>
      <c r="R442" t="s">
        <v>59</v>
      </c>
      <c r="S442" t="s">
        <v>59</v>
      </c>
      <c r="T442" t="s">
        <v>59</v>
      </c>
      <c r="V442" t="s">
        <v>59</v>
      </c>
      <c r="W442" t="s">
        <v>80</v>
      </c>
    </row>
    <row r="443" spans="2:23" x14ac:dyDescent="0.2">
      <c r="B443">
        <f t="shared" ca="1" si="6"/>
        <v>0</v>
      </c>
      <c r="E443">
        <v>1</v>
      </c>
      <c r="F443" t="s">
        <v>32</v>
      </c>
      <c r="I443" t="s">
        <v>39</v>
      </c>
      <c r="J443" t="s">
        <v>44</v>
      </c>
      <c r="M443" t="s">
        <v>54</v>
      </c>
      <c r="N4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3" t="s">
        <v>57</v>
      </c>
      <c r="Q443" t="s">
        <v>59</v>
      </c>
      <c r="R443" t="s">
        <v>59</v>
      </c>
      <c r="S443" t="s">
        <v>59</v>
      </c>
      <c r="T443" t="s">
        <v>59</v>
      </c>
      <c r="V443" t="s">
        <v>59</v>
      </c>
      <c r="W443" t="s">
        <v>80</v>
      </c>
    </row>
    <row r="444" spans="2:23" x14ac:dyDescent="0.2">
      <c r="B444">
        <f t="shared" ca="1" si="6"/>
        <v>0</v>
      </c>
      <c r="E444">
        <v>1</v>
      </c>
      <c r="F444" t="s">
        <v>32</v>
      </c>
      <c r="I444" t="s">
        <v>39</v>
      </c>
      <c r="J444" t="s">
        <v>44</v>
      </c>
      <c r="M444" t="s">
        <v>54</v>
      </c>
      <c r="N4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4" t="s">
        <v>57</v>
      </c>
      <c r="Q444" t="s">
        <v>59</v>
      </c>
      <c r="R444" t="s">
        <v>59</v>
      </c>
      <c r="S444" t="s">
        <v>59</v>
      </c>
      <c r="T444" t="s">
        <v>59</v>
      </c>
      <c r="V444" t="s">
        <v>59</v>
      </c>
      <c r="W444" t="s">
        <v>80</v>
      </c>
    </row>
    <row r="445" spans="2:23" x14ac:dyDescent="0.2">
      <c r="B445">
        <f t="shared" ca="1" si="6"/>
        <v>0</v>
      </c>
      <c r="E445">
        <v>1</v>
      </c>
      <c r="F445" t="s">
        <v>32</v>
      </c>
      <c r="I445" t="s">
        <v>39</v>
      </c>
      <c r="J445" t="s">
        <v>44</v>
      </c>
      <c r="M445" t="s">
        <v>54</v>
      </c>
      <c r="N4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5" t="s">
        <v>57</v>
      </c>
      <c r="Q445" t="s">
        <v>59</v>
      </c>
      <c r="R445" t="s">
        <v>59</v>
      </c>
      <c r="S445" t="s">
        <v>59</v>
      </c>
      <c r="T445" t="s">
        <v>59</v>
      </c>
      <c r="V445" t="s">
        <v>59</v>
      </c>
      <c r="W445" t="s">
        <v>80</v>
      </c>
    </row>
    <row r="446" spans="2:23" x14ac:dyDescent="0.2">
      <c r="B446">
        <f t="shared" ca="1" si="6"/>
        <v>0</v>
      </c>
      <c r="E446">
        <v>1</v>
      </c>
      <c r="F446" t="s">
        <v>32</v>
      </c>
      <c r="I446" t="s">
        <v>39</v>
      </c>
      <c r="J446" t="s">
        <v>44</v>
      </c>
      <c r="M446" t="s">
        <v>54</v>
      </c>
      <c r="N4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6" t="s">
        <v>57</v>
      </c>
      <c r="Q446" t="s">
        <v>59</v>
      </c>
      <c r="R446" t="s">
        <v>59</v>
      </c>
      <c r="S446" t="s">
        <v>59</v>
      </c>
      <c r="T446" t="s">
        <v>59</v>
      </c>
      <c r="V446" t="s">
        <v>59</v>
      </c>
      <c r="W446" t="s">
        <v>80</v>
      </c>
    </row>
    <row r="447" spans="2:23" x14ac:dyDescent="0.2">
      <c r="B447">
        <f t="shared" ca="1" si="6"/>
        <v>0</v>
      </c>
      <c r="E447">
        <v>1</v>
      </c>
      <c r="F447" t="s">
        <v>32</v>
      </c>
      <c r="I447" t="s">
        <v>39</v>
      </c>
      <c r="J447" t="s">
        <v>44</v>
      </c>
      <c r="M447" t="s">
        <v>54</v>
      </c>
      <c r="N4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7" t="s">
        <v>57</v>
      </c>
      <c r="Q447" t="s">
        <v>59</v>
      </c>
      <c r="R447" t="s">
        <v>59</v>
      </c>
      <c r="S447" t="s">
        <v>59</v>
      </c>
      <c r="T447" t="s">
        <v>59</v>
      </c>
      <c r="V447" t="s">
        <v>59</v>
      </c>
      <c r="W447" t="s">
        <v>80</v>
      </c>
    </row>
    <row r="448" spans="2:23" x14ac:dyDescent="0.2">
      <c r="B448">
        <f t="shared" ca="1" si="6"/>
        <v>0</v>
      </c>
      <c r="E448">
        <v>1</v>
      </c>
      <c r="F448" t="s">
        <v>32</v>
      </c>
      <c r="I448" t="s">
        <v>39</v>
      </c>
      <c r="J448" t="s">
        <v>44</v>
      </c>
      <c r="M448" t="s">
        <v>54</v>
      </c>
      <c r="N4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8" t="s">
        <v>57</v>
      </c>
      <c r="Q448" t="s">
        <v>59</v>
      </c>
      <c r="R448" t="s">
        <v>59</v>
      </c>
      <c r="S448" t="s">
        <v>59</v>
      </c>
      <c r="T448" t="s">
        <v>59</v>
      </c>
      <c r="V448" t="s">
        <v>59</v>
      </c>
      <c r="W448" t="s">
        <v>80</v>
      </c>
    </row>
    <row r="449" spans="2:23" x14ac:dyDescent="0.2">
      <c r="B449">
        <f t="shared" ca="1" si="6"/>
        <v>0</v>
      </c>
      <c r="E449">
        <v>1</v>
      </c>
      <c r="F449" t="s">
        <v>32</v>
      </c>
      <c r="I449" t="s">
        <v>39</v>
      </c>
      <c r="J449" t="s">
        <v>44</v>
      </c>
      <c r="M449" t="s">
        <v>54</v>
      </c>
      <c r="N4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49" t="s">
        <v>57</v>
      </c>
      <c r="Q449" t="s">
        <v>59</v>
      </c>
      <c r="R449" t="s">
        <v>59</v>
      </c>
      <c r="S449" t="s">
        <v>59</v>
      </c>
      <c r="T449" t="s">
        <v>59</v>
      </c>
      <c r="V449" t="s">
        <v>59</v>
      </c>
      <c r="W449" t="s">
        <v>80</v>
      </c>
    </row>
    <row r="450" spans="2:23" x14ac:dyDescent="0.2">
      <c r="B450">
        <f t="shared" ca="1" si="6"/>
        <v>0</v>
      </c>
      <c r="E450">
        <v>1</v>
      </c>
      <c r="F450" t="s">
        <v>32</v>
      </c>
      <c r="I450" t="s">
        <v>39</v>
      </c>
      <c r="J450" t="s">
        <v>44</v>
      </c>
      <c r="M450" t="s">
        <v>54</v>
      </c>
      <c r="N4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0" t="s">
        <v>57</v>
      </c>
      <c r="Q450" t="s">
        <v>59</v>
      </c>
      <c r="R450" t="s">
        <v>59</v>
      </c>
      <c r="S450" t="s">
        <v>59</v>
      </c>
      <c r="T450" t="s">
        <v>59</v>
      </c>
      <c r="V450" t="s">
        <v>59</v>
      </c>
      <c r="W450" t="s">
        <v>80</v>
      </c>
    </row>
    <row r="451" spans="2:23" x14ac:dyDescent="0.2">
      <c r="B451">
        <f t="shared" ca="1" si="6"/>
        <v>0</v>
      </c>
      <c r="E451">
        <v>1</v>
      </c>
      <c r="F451" t="s">
        <v>32</v>
      </c>
      <c r="I451" t="s">
        <v>39</v>
      </c>
      <c r="J451" t="s">
        <v>44</v>
      </c>
      <c r="M451" t="s">
        <v>54</v>
      </c>
      <c r="N4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1" t="s">
        <v>57</v>
      </c>
      <c r="Q451" t="s">
        <v>59</v>
      </c>
      <c r="R451" t="s">
        <v>59</v>
      </c>
      <c r="S451" t="s">
        <v>59</v>
      </c>
      <c r="T451" t="s">
        <v>59</v>
      </c>
      <c r="V451" t="s">
        <v>59</v>
      </c>
      <c r="W451" t="s">
        <v>80</v>
      </c>
    </row>
    <row r="452" spans="2:23" x14ac:dyDescent="0.2">
      <c r="B452">
        <f t="shared" ca="1" si="6"/>
        <v>0</v>
      </c>
      <c r="E452">
        <v>1</v>
      </c>
      <c r="F452" t="s">
        <v>32</v>
      </c>
      <c r="I452" t="s">
        <v>39</v>
      </c>
      <c r="J452" t="s">
        <v>44</v>
      </c>
      <c r="M452" t="s">
        <v>54</v>
      </c>
      <c r="N4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2" t="s">
        <v>57</v>
      </c>
      <c r="Q452" t="s">
        <v>59</v>
      </c>
      <c r="R452" t="s">
        <v>59</v>
      </c>
      <c r="S452" t="s">
        <v>59</v>
      </c>
      <c r="T452" t="s">
        <v>59</v>
      </c>
      <c r="V452" t="s">
        <v>59</v>
      </c>
      <c r="W452" t="s">
        <v>80</v>
      </c>
    </row>
    <row r="453" spans="2:23" x14ac:dyDescent="0.2">
      <c r="B453">
        <f t="shared" ca="1" si="6"/>
        <v>0</v>
      </c>
      <c r="E453">
        <v>1</v>
      </c>
      <c r="F453" t="s">
        <v>32</v>
      </c>
      <c r="I453" t="s">
        <v>39</v>
      </c>
      <c r="J453" t="s">
        <v>44</v>
      </c>
      <c r="M453" t="s">
        <v>54</v>
      </c>
      <c r="N4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3" t="s">
        <v>57</v>
      </c>
      <c r="Q453" t="s">
        <v>59</v>
      </c>
      <c r="R453" t="s">
        <v>59</v>
      </c>
      <c r="S453" t="s">
        <v>59</v>
      </c>
      <c r="T453" t="s">
        <v>59</v>
      </c>
      <c r="V453" t="s">
        <v>59</v>
      </c>
      <c r="W453" t="s">
        <v>80</v>
      </c>
    </row>
    <row r="454" spans="2:23" x14ac:dyDescent="0.2">
      <c r="B454">
        <f t="shared" ca="1" si="6"/>
        <v>0</v>
      </c>
      <c r="E454">
        <v>1</v>
      </c>
      <c r="F454" t="s">
        <v>32</v>
      </c>
      <c r="I454" t="s">
        <v>39</v>
      </c>
      <c r="J454" t="s">
        <v>44</v>
      </c>
      <c r="M454" t="s">
        <v>54</v>
      </c>
      <c r="N4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4" t="s">
        <v>57</v>
      </c>
      <c r="Q454" t="s">
        <v>59</v>
      </c>
      <c r="R454" t="s">
        <v>59</v>
      </c>
      <c r="S454" t="s">
        <v>59</v>
      </c>
      <c r="T454" t="s">
        <v>59</v>
      </c>
      <c r="V454" t="s">
        <v>59</v>
      </c>
      <c r="W454" t="s">
        <v>80</v>
      </c>
    </row>
    <row r="455" spans="2:23" x14ac:dyDescent="0.2">
      <c r="B455">
        <f t="shared" ref="B455:B518" ca="1" si="7">LEN(INDIRECT(ADDRESS(ROW() + (0),COLUMN() + (-1))))</f>
        <v>0</v>
      </c>
      <c r="E455">
        <v>1</v>
      </c>
      <c r="F455" t="s">
        <v>32</v>
      </c>
      <c r="I455" t="s">
        <v>39</v>
      </c>
      <c r="J455" t="s">
        <v>44</v>
      </c>
      <c r="M455" t="s">
        <v>54</v>
      </c>
      <c r="N4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5" t="s">
        <v>57</v>
      </c>
      <c r="Q455" t="s">
        <v>59</v>
      </c>
      <c r="R455" t="s">
        <v>59</v>
      </c>
      <c r="S455" t="s">
        <v>59</v>
      </c>
      <c r="T455" t="s">
        <v>59</v>
      </c>
      <c r="V455" t="s">
        <v>59</v>
      </c>
      <c r="W455" t="s">
        <v>80</v>
      </c>
    </row>
    <row r="456" spans="2:23" x14ac:dyDescent="0.2">
      <c r="B456">
        <f t="shared" ca="1" si="7"/>
        <v>0</v>
      </c>
      <c r="E456">
        <v>1</v>
      </c>
      <c r="F456" t="s">
        <v>32</v>
      </c>
      <c r="I456" t="s">
        <v>39</v>
      </c>
      <c r="J456" t="s">
        <v>44</v>
      </c>
      <c r="M456" t="s">
        <v>54</v>
      </c>
      <c r="N4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6" t="s">
        <v>57</v>
      </c>
      <c r="Q456" t="s">
        <v>59</v>
      </c>
      <c r="R456" t="s">
        <v>59</v>
      </c>
      <c r="S456" t="s">
        <v>59</v>
      </c>
      <c r="T456" t="s">
        <v>59</v>
      </c>
      <c r="V456" t="s">
        <v>59</v>
      </c>
      <c r="W456" t="s">
        <v>80</v>
      </c>
    </row>
    <row r="457" spans="2:23" x14ac:dyDescent="0.2">
      <c r="B457">
        <f t="shared" ca="1" si="7"/>
        <v>0</v>
      </c>
      <c r="E457">
        <v>1</v>
      </c>
      <c r="F457" t="s">
        <v>32</v>
      </c>
      <c r="I457" t="s">
        <v>39</v>
      </c>
      <c r="J457" t="s">
        <v>44</v>
      </c>
      <c r="M457" t="s">
        <v>54</v>
      </c>
      <c r="N4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7" t="s">
        <v>57</v>
      </c>
      <c r="Q457" t="s">
        <v>59</v>
      </c>
      <c r="R457" t="s">
        <v>59</v>
      </c>
      <c r="S457" t="s">
        <v>59</v>
      </c>
      <c r="T457" t="s">
        <v>59</v>
      </c>
      <c r="V457" t="s">
        <v>59</v>
      </c>
      <c r="W457" t="s">
        <v>80</v>
      </c>
    </row>
    <row r="458" spans="2:23" x14ac:dyDescent="0.2">
      <c r="B458">
        <f t="shared" ca="1" si="7"/>
        <v>0</v>
      </c>
      <c r="E458">
        <v>1</v>
      </c>
      <c r="F458" t="s">
        <v>32</v>
      </c>
      <c r="I458" t="s">
        <v>39</v>
      </c>
      <c r="J458" t="s">
        <v>44</v>
      </c>
      <c r="M458" t="s">
        <v>54</v>
      </c>
      <c r="N4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8" t="s">
        <v>57</v>
      </c>
      <c r="Q458" t="s">
        <v>59</v>
      </c>
      <c r="R458" t="s">
        <v>59</v>
      </c>
      <c r="S458" t="s">
        <v>59</v>
      </c>
      <c r="T458" t="s">
        <v>59</v>
      </c>
      <c r="V458" t="s">
        <v>59</v>
      </c>
      <c r="W458" t="s">
        <v>80</v>
      </c>
    </row>
    <row r="459" spans="2:23" x14ac:dyDescent="0.2">
      <c r="B459">
        <f t="shared" ca="1" si="7"/>
        <v>0</v>
      </c>
      <c r="E459">
        <v>1</v>
      </c>
      <c r="F459" t="s">
        <v>32</v>
      </c>
      <c r="I459" t="s">
        <v>39</v>
      </c>
      <c r="J459" t="s">
        <v>44</v>
      </c>
      <c r="M459" t="s">
        <v>54</v>
      </c>
      <c r="N4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59" t="s">
        <v>57</v>
      </c>
      <c r="Q459" t="s">
        <v>59</v>
      </c>
      <c r="R459" t="s">
        <v>59</v>
      </c>
      <c r="S459" t="s">
        <v>59</v>
      </c>
      <c r="T459" t="s">
        <v>59</v>
      </c>
      <c r="V459" t="s">
        <v>59</v>
      </c>
      <c r="W459" t="s">
        <v>80</v>
      </c>
    </row>
    <row r="460" spans="2:23" x14ac:dyDescent="0.2">
      <c r="B460">
        <f t="shared" ca="1" si="7"/>
        <v>0</v>
      </c>
      <c r="E460">
        <v>1</v>
      </c>
      <c r="F460" t="s">
        <v>32</v>
      </c>
      <c r="I460" t="s">
        <v>39</v>
      </c>
      <c r="J460" t="s">
        <v>44</v>
      </c>
      <c r="M460" t="s">
        <v>54</v>
      </c>
      <c r="N4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0" t="s">
        <v>57</v>
      </c>
      <c r="Q460" t="s">
        <v>59</v>
      </c>
      <c r="R460" t="s">
        <v>59</v>
      </c>
      <c r="S460" t="s">
        <v>59</v>
      </c>
      <c r="T460" t="s">
        <v>59</v>
      </c>
      <c r="V460" t="s">
        <v>59</v>
      </c>
      <c r="W460" t="s">
        <v>80</v>
      </c>
    </row>
    <row r="461" spans="2:23" x14ac:dyDescent="0.2">
      <c r="B461">
        <f t="shared" ca="1" si="7"/>
        <v>0</v>
      </c>
      <c r="E461">
        <v>1</v>
      </c>
      <c r="F461" t="s">
        <v>32</v>
      </c>
      <c r="I461" t="s">
        <v>39</v>
      </c>
      <c r="J461" t="s">
        <v>44</v>
      </c>
      <c r="M461" t="s">
        <v>54</v>
      </c>
      <c r="N4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1" t="s">
        <v>57</v>
      </c>
      <c r="Q461" t="s">
        <v>59</v>
      </c>
      <c r="R461" t="s">
        <v>59</v>
      </c>
      <c r="S461" t="s">
        <v>59</v>
      </c>
      <c r="T461" t="s">
        <v>59</v>
      </c>
      <c r="V461" t="s">
        <v>59</v>
      </c>
      <c r="W461" t="s">
        <v>80</v>
      </c>
    </row>
    <row r="462" spans="2:23" x14ac:dyDescent="0.2">
      <c r="B462">
        <f t="shared" ca="1" si="7"/>
        <v>0</v>
      </c>
      <c r="E462">
        <v>1</v>
      </c>
      <c r="F462" t="s">
        <v>32</v>
      </c>
      <c r="I462" t="s">
        <v>39</v>
      </c>
      <c r="J462" t="s">
        <v>44</v>
      </c>
      <c r="M462" t="s">
        <v>54</v>
      </c>
      <c r="N4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2" t="s">
        <v>57</v>
      </c>
      <c r="Q462" t="s">
        <v>59</v>
      </c>
      <c r="R462" t="s">
        <v>59</v>
      </c>
      <c r="S462" t="s">
        <v>59</v>
      </c>
      <c r="T462" t="s">
        <v>59</v>
      </c>
      <c r="V462" t="s">
        <v>59</v>
      </c>
      <c r="W462" t="s">
        <v>80</v>
      </c>
    </row>
    <row r="463" spans="2:23" x14ac:dyDescent="0.2">
      <c r="B463">
        <f t="shared" ca="1" si="7"/>
        <v>0</v>
      </c>
      <c r="E463">
        <v>1</v>
      </c>
      <c r="F463" t="s">
        <v>32</v>
      </c>
      <c r="I463" t="s">
        <v>39</v>
      </c>
      <c r="J463" t="s">
        <v>44</v>
      </c>
      <c r="M463" t="s">
        <v>54</v>
      </c>
      <c r="N4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3" t="s">
        <v>57</v>
      </c>
      <c r="Q463" t="s">
        <v>59</v>
      </c>
      <c r="R463" t="s">
        <v>59</v>
      </c>
      <c r="S463" t="s">
        <v>59</v>
      </c>
      <c r="T463" t="s">
        <v>59</v>
      </c>
      <c r="V463" t="s">
        <v>59</v>
      </c>
      <c r="W463" t="s">
        <v>80</v>
      </c>
    </row>
    <row r="464" spans="2:23" x14ac:dyDescent="0.2">
      <c r="B464">
        <f t="shared" ca="1" si="7"/>
        <v>0</v>
      </c>
      <c r="E464">
        <v>1</v>
      </c>
      <c r="F464" t="s">
        <v>32</v>
      </c>
      <c r="I464" t="s">
        <v>39</v>
      </c>
      <c r="J464" t="s">
        <v>44</v>
      </c>
      <c r="M464" t="s">
        <v>54</v>
      </c>
      <c r="N4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4" t="s">
        <v>57</v>
      </c>
      <c r="Q464" t="s">
        <v>59</v>
      </c>
      <c r="R464" t="s">
        <v>59</v>
      </c>
      <c r="S464" t="s">
        <v>59</v>
      </c>
      <c r="T464" t="s">
        <v>59</v>
      </c>
      <c r="V464" t="s">
        <v>59</v>
      </c>
      <c r="W464" t="s">
        <v>80</v>
      </c>
    </row>
    <row r="465" spans="2:23" x14ac:dyDescent="0.2">
      <c r="B465">
        <f t="shared" ca="1" si="7"/>
        <v>0</v>
      </c>
      <c r="E465">
        <v>1</v>
      </c>
      <c r="F465" t="s">
        <v>32</v>
      </c>
      <c r="I465" t="s">
        <v>39</v>
      </c>
      <c r="J465" t="s">
        <v>44</v>
      </c>
      <c r="M465" t="s">
        <v>54</v>
      </c>
      <c r="N4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5" t="s">
        <v>57</v>
      </c>
      <c r="Q465" t="s">
        <v>59</v>
      </c>
      <c r="R465" t="s">
        <v>59</v>
      </c>
      <c r="S465" t="s">
        <v>59</v>
      </c>
      <c r="T465" t="s">
        <v>59</v>
      </c>
      <c r="V465" t="s">
        <v>59</v>
      </c>
      <c r="W465" t="s">
        <v>80</v>
      </c>
    </row>
    <row r="466" spans="2:23" x14ac:dyDescent="0.2">
      <c r="B466">
        <f t="shared" ca="1" si="7"/>
        <v>0</v>
      </c>
      <c r="E466">
        <v>1</v>
      </c>
      <c r="F466" t="s">
        <v>32</v>
      </c>
      <c r="I466" t="s">
        <v>39</v>
      </c>
      <c r="J466" t="s">
        <v>44</v>
      </c>
      <c r="M466" t="s">
        <v>54</v>
      </c>
      <c r="N4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6" t="s">
        <v>57</v>
      </c>
      <c r="Q466" t="s">
        <v>59</v>
      </c>
      <c r="R466" t="s">
        <v>59</v>
      </c>
      <c r="S466" t="s">
        <v>59</v>
      </c>
      <c r="T466" t="s">
        <v>59</v>
      </c>
      <c r="V466" t="s">
        <v>59</v>
      </c>
      <c r="W466" t="s">
        <v>80</v>
      </c>
    </row>
    <row r="467" spans="2:23" x14ac:dyDescent="0.2">
      <c r="B467">
        <f t="shared" ca="1" si="7"/>
        <v>0</v>
      </c>
      <c r="E467">
        <v>1</v>
      </c>
      <c r="F467" t="s">
        <v>32</v>
      </c>
      <c r="I467" t="s">
        <v>39</v>
      </c>
      <c r="J467" t="s">
        <v>44</v>
      </c>
      <c r="M467" t="s">
        <v>54</v>
      </c>
      <c r="N4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7" t="s">
        <v>57</v>
      </c>
      <c r="Q467" t="s">
        <v>59</v>
      </c>
      <c r="R467" t="s">
        <v>59</v>
      </c>
      <c r="S467" t="s">
        <v>59</v>
      </c>
      <c r="T467" t="s">
        <v>59</v>
      </c>
      <c r="V467" t="s">
        <v>59</v>
      </c>
      <c r="W467" t="s">
        <v>80</v>
      </c>
    </row>
    <row r="468" spans="2:23" x14ac:dyDescent="0.2">
      <c r="B468">
        <f t="shared" ca="1" si="7"/>
        <v>0</v>
      </c>
      <c r="E468">
        <v>1</v>
      </c>
      <c r="F468" t="s">
        <v>32</v>
      </c>
      <c r="I468" t="s">
        <v>39</v>
      </c>
      <c r="J468" t="s">
        <v>44</v>
      </c>
      <c r="M468" t="s">
        <v>54</v>
      </c>
      <c r="N4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8" t="s">
        <v>57</v>
      </c>
      <c r="Q468" t="s">
        <v>59</v>
      </c>
      <c r="R468" t="s">
        <v>59</v>
      </c>
      <c r="S468" t="s">
        <v>59</v>
      </c>
      <c r="T468" t="s">
        <v>59</v>
      </c>
      <c r="V468" t="s">
        <v>59</v>
      </c>
      <c r="W468" t="s">
        <v>80</v>
      </c>
    </row>
    <row r="469" spans="2:23" x14ac:dyDescent="0.2">
      <c r="B469">
        <f t="shared" ca="1" si="7"/>
        <v>0</v>
      </c>
      <c r="E469">
        <v>1</v>
      </c>
      <c r="F469" t="s">
        <v>32</v>
      </c>
      <c r="I469" t="s">
        <v>39</v>
      </c>
      <c r="J469" t="s">
        <v>44</v>
      </c>
      <c r="M469" t="s">
        <v>54</v>
      </c>
      <c r="N4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69" t="s">
        <v>57</v>
      </c>
      <c r="Q469" t="s">
        <v>59</v>
      </c>
      <c r="R469" t="s">
        <v>59</v>
      </c>
      <c r="S469" t="s">
        <v>59</v>
      </c>
      <c r="T469" t="s">
        <v>59</v>
      </c>
      <c r="V469" t="s">
        <v>59</v>
      </c>
      <c r="W469" t="s">
        <v>80</v>
      </c>
    </row>
    <row r="470" spans="2:23" x14ac:dyDescent="0.2">
      <c r="B470">
        <f t="shared" ca="1" si="7"/>
        <v>0</v>
      </c>
      <c r="E470">
        <v>1</v>
      </c>
      <c r="F470" t="s">
        <v>32</v>
      </c>
      <c r="I470" t="s">
        <v>39</v>
      </c>
      <c r="J470" t="s">
        <v>44</v>
      </c>
      <c r="M470" t="s">
        <v>54</v>
      </c>
      <c r="N4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0" t="s">
        <v>57</v>
      </c>
      <c r="Q470" t="s">
        <v>59</v>
      </c>
      <c r="R470" t="s">
        <v>59</v>
      </c>
      <c r="S470" t="s">
        <v>59</v>
      </c>
      <c r="T470" t="s">
        <v>59</v>
      </c>
      <c r="V470" t="s">
        <v>59</v>
      </c>
      <c r="W470" t="s">
        <v>80</v>
      </c>
    </row>
    <row r="471" spans="2:23" x14ac:dyDescent="0.2">
      <c r="B471">
        <f t="shared" ca="1" si="7"/>
        <v>0</v>
      </c>
      <c r="E471">
        <v>1</v>
      </c>
      <c r="F471" t="s">
        <v>32</v>
      </c>
      <c r="I471" t="s">
        <v>39</v>
      </c>
      <c r="J471" t="s">
        <v>44</v>
      </c>
      <c r="M471" t="s">
        <v>54</v>
      </c>
      <c r="N4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1" t="s">
        <v>57</v>
      </c>
      <c r="Q471" t="s">
        <v>59</v>
      </c>
      <c r="R471" t="s">
        <v>59</v>
      </c>
      <c r="S471" t="s">
        <v>59</v>
      </c>
      <c r="T471" t="s">
        <v>59</v>
      </c>
      <c r="V471" t="s">
        <v>59</v>
      </c>
      <c r="W471" t="s">
        <v>80</v>
      </c>
    </row>
    <row r="472" spans="2:23" x14ac:dyDescent="0.2">
      <c r="B472">
        <f t="shared" ca="1" si="7"/>
        <v>0</v>
      </c>
      <c r="E472">
        <v>1</v>
      </c>
      <c r="F472" t="s">
        <v>32</v>
      </c>
      <c r="I472" t="s">
        <v>39</v>
      </c>
      <c r="J472" t="s">
        <v>44</v>
      </c>
      <c r="M472" t="s">
        <v>54</v>
      </c>
      <c r="N4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2" t="s">
        <v>57</v>
      </c>
      <c r="Q472" t="s">
        <v>59</v>
      </c>
      <c r="R472" t="s">
        <v>59</v>
      </c>
      <c r="S472" t="s">
        <v>59</v>
      </c>
      <c r="T472" t="s">
        <v>59</v>
      </c>
      <c r="V472" t="s">
        <v>59</v>
      </c>
      <c r="W472" t="s">
        <v>80</v>
      </c>
    </row>
    <row r="473" spans="2:23" x14ac:dyDescent="0.2">
      <c r="B473">
        <f t="shared" ca="1" si="7"/>
        <v>0</v>
      </c>
      <c r="E473">
        <v>1</v>
      </c>
      <c r="F473" t="s">
        <v>32</v>
      </c>
      <c r="I473" t="s">
        <v>39</v>
      </c>
      <c r="J473" t="s">
        <v>44</v>
      </c>
      <c r="M473" t="s">
        <v>54</v>
      </c>
      <c r="N4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3" t="s">
        <v>57</v>
      </c>
      <c r="Q473" t="s">
        <v>59</v>
      </c>
      <c r="R473" t="s">
        <v>59</v>
      </c>
      <c r="S473" t="s">
        <v>59</v>
      </c>
      <c r="T473" t="s">
        <v>59</v>
      </c>
      <c r="V473" t="s">
        <v>59</v>
      </c>
      <c r="W473" t="s">
        <v>80</v>
      </c>
    </row>
    <row r="474" spans="2:23" x14ac:dyDescent="0.2">
      <c r="B474">
        <f t="shared" ca="1" si="7"/>
        <v>0</v>
      </c>
      <c r="E474">
        <v>1</v>
      </c>
      <c r="F474" t="s">
        <v>32</v>
      </c>
      <c r="I474" t="s">
        <v>39</v>
      </c>
      <c r="J474" t="s">
        <v>44</v>
      </c>
      <c r="M474" t="s">
        <v>54</v>
      </c>
      <c r="N4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4" t="s">
        <v>57</v>
      </c>
      <c r="Q474" t="s">
        <v>59</v>
      </c>
      <c r="R474" t="s">
        <v>59</v>
      </c>
      <c r="S474" t="s">
        <v>59</v>
      </c>
      <c r="T474" t="s">
        <v>59</v>
      </c>
      <c r="V474" t="s">
        <v>59</v>
      </c>
      <c r="W474" t="s">
        <v>80</v>
      </c>
    </row>
    <row r="475" spans="2:23" x14ac:dyDescent="0.2">
      <c r="B475">
        <f t="shared" ca="1" si="7"/>
        <v>0</v>
      </c>
      <c r="E475">
        <v>1</v>
      </c>
      <c r="F475" t="s">
        <v>32</v>
      </c>
      <c r="I475" t="s">
        <v>39</v>
      </c>
      <c r="J475" t="s">
        <v>44</v>
      </c>
      <c r="M475" t="s">
        <v>54</v>
      </c>
      <c r="N4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5" t="s">
        <v>57</v>
      </c>
      <c r="Q475" t="s">
        <v>59</v>
      </c>
      <c r="R475" t="s">
        <v>59</v>
      </c>
      <c r="S475" t="s">
        <v>59</v>
      </c>
      <c r="T475" t="s">
        <v>59</v>
      </c>
      <c r="V475" t="s">
        <v>59</v>
      </c>
      <c r="W475" t="s">
        <v>80</v>
      </c>
    </row>
    <row r="476" spans="2:23" x14ac:dyDescent="0.2">
      <c r="B476">
        <f t="shared" ca="1" si="7"/>
        <v>0</v>
      </c>
      <c r="E476">
        <v>1</v>
      </c>
      <c r="F476" t="s">
        <v>32</v>
      </c>
      <c r="I476" t="s">
        <v>39</v>
      </c>
      <c r="J476" t="s">
        <v>44</v>
      </c>
      <c r="M476" t="s">
        <v>54</v>
      </c>
      <c r="N4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6" t="s">
        <v>57</v>
      </c>
      <c r="Q476" t="s">
        <v>59</v>
      </c>
      <c r="R476" t="s">
        <v>59</v>
      </c>
      <c r="S476" t="s">
        <v>59</v>
      </c>
      <c r="T476" t="s">
        <v>59</v>
      </c>
      <c r="V476" t="s">
        <v>59</v>
      </c>
      <c r="W476" t="s">
        <v>80</v>
      </c>
    </row>
    <row r="477" spans="2:23" x14ac:dyDescent="0.2">
      <c r="B477">
        <f t="shared" ca="1" si="7"/>
        <v>0</v>
      </c>
      <c r="E477">
        <v>1</v>
      </c>
      <c r="F477" t="s">
        <v>32</v>
      </c>
      <c r="I477" t="s">
        <v>39</v>
      </c>
      <c r="J477" t="s">
        <v>44</v>
      </c>
      <c r="M477" t="s">
        <v>54</v>
      </c>
      <c r="N4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7" t="s">
        <v>57</v>
      </c>
      <c r="Q477" t="s">
        <v>59</v>
      </c>
      <c r="R477" t="s">
        <v>59</v>
      </c>
      <c r="S477" t="s">
        <v>59</v>
      </c>
      <c r="T477" t="s">
        <v>59</v>
      </c>
      <c r="V477" t="s">
        <v>59</v>
      </c>
      <c r="W477" t="s">
        <v>80</v>
      </c>
    </row>
    <row r="478" spans="2:23" x14ac:dyDescent="0.2">
      <c r="B478">
        <f t="shared" ca="1" si="7"/>
        <v>0</v>
      </c>
      <c r="E478">
        <v>1</v>
      </c>
      <c r="F478" t="s">
        <v>32</v>
      </c>
      <c r="I478" t="s">
        <v>39</v>
      </c>
      <c r="J478" t="s">
        <v>44</v>
      </c>
      <c r="M478" t="s">
        <v>54</v>
      </c>
      <c r="N4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8" t="s">
        <v>57</v>
      </c>
      <c r="Q478" t="s">
        <v>59</v>
      </c>
      <c r="R478" t="s">
        <v>59</v>
      </c>
      <c r="S478" t="s">
        <v>59</v>
      </c>
      <c r="T478" t="s">
        <v>59</v>
      </c>
      <c r="V478" t="s">
        <v>59</v>
      </c>
      <c r="W478" t="s">
        <v>80</v>
      </c>
    </row>
    <row r="479" spans="2:23" x14ac:dyDescent="0.2">
      <c r="B479">
        <f t="shared" ca="1" si="7"/>
        <v>0</v>
      </c>
      <c r="E479">
        <v>1</v>
      </c>
      <c r="F479" t="s">
        <v>32</v>
      </c>
      <c r="I479" t="s">
        <v>39</v>
      </c>
      <c r="J479" t="s">
        <v>44</v>
      </c>
      <c r="M479" t="s">
        <v>54</v>
      </c>
      <c r="N4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79" t="s">
        <v>57</v>
      </c>
      <c r="Q479" t="s">
        <v>59</v>
      </c>
      <c r="R479" t="s">
        <v>59</v>
      </c>
      <c r="S479" t="s">
        <v>59</v>
      </c>
      <c r="T479" t="s">
        <v>59</v>
      </c>
      <c r="V479" t="s">
        <v>59</v>
      </c>
      <c r="W479" t="s">
        <v>80</v>
      </c>
    </row>
    <row r="480" spans="2:23" x14ac:dyDescent="0.2">
      <c r="B480">
        <f t="shared" ca="1" si="7"/>
        <v>0</v>
      </c>
      <c r="E480">
        <v>1</v>
      </c>
      <c r="F480" t="s">
        <v>32</v>
      </c>
      <c r="I480" t="s">
        <v>39</v>
      </c>
      <c r="J480" t="s">
        <v>44</v>
      </c>
      <c r="M480" t="s">
        <v>54</v>
      </c>
      <c r="N4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0" t="s">
        <v>57</v>
      </c>
      <c r="Q480" t="s">
        <v>59</v>
      </c>
      <c r="R480" t="s">
        <v>59</v>
      </c>
      <c r="S480" t="s">
        <v>59</v>
      </c>
      <c r="T480" t="s">
        <v>59</v>
      </c>
      <c r="V480" t="s">
        <v>59</v>
      </c>
      <c r="W480" t="s">
        <v>80</v>
      </c>
    </row>
    <row r="481" spans="2:23" x14ac:dyDescent="0.2">
      <c r="B481">
        <f t="shared" ca="1" si="7"/>
        <v>0</v>
      </c>
      <c r="E481">
        <v>1</v>
      </c>
      <c r="F481" t="s">
        <v>32</v>
      </c>
      <c r="I481" t="s">
        <v>39</v>
      </c>
      <c r="J481" t="s">
        <v>44</v>
      </c>
      <c r="M481" t="s">
        <v>54</v>
      </c>
      <c r="N4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1" t="s">
        <v>57</v>
      </c>
      <c r="Q481" t="s">
        <v>59</v>
      </c>
      <c r="R481" t="s">
        <v>59</v>
      </c>
      <c r="S481" t="s">
        <v>59</v>
      </c>
      <c r="T481" t="s">
        <v>59</v>
      </c>
      <c r="V481" t="s">
        <v>59</v>
      </c>
      <c r="W481" t="s">
        <v>80</v>
      </c>
    </row>
    <row r="482" spans="2:23" x14ac:dyDescent="0.2">
      <c r="B482">
        <f t="shared" ca="1" si="7"/>
        <v>0</v>
      </c>
      <c r="E482">
        <v>1</v>
      </c>
      <c r="F482" t="s">
        <v>32</v>
      </c>
      <c r="I482" t="s">
        <v>39</v>
      </c>
      <c r="J482" t="s">
        <v>44</v>
      </c>
      <c r="M482" t="s">
        <v>54</v>
      </c>
      <c r="N4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2" t="s">
        <v>57</v>
      </c>
      <c r="Q482" t="s">
        <v>59</v>
      </c>
      <c r="R482" t="s">
        <v>59</v>
      </c>
      <c r="S482" t="s">
        <v>59</v>
      </c>
      <c r="T482" t="s">
        <v>59</v>
      </c>
      <c r="V482" t="s">
        <v>59</v>
      </c>
      <c r="W482" t="s">
        <v>80</v>
      </c>
    </row>
    <row r="483" spans="2:23" x14ac:dyDescent="0.2">
      <c r="B483">
        <f t="shared" ca="1" si="7"/>
        <v>0</v>
      </c>
      <c r="E483">
        <v>1</v>
      </c>
      <c r="F483" t="s">
        <v>32</v>
      </c>
      <c r="I483" t="s">
        <v>39</v>
      </c>
      <c r="J483" t="s">
        <v>44</v>
      </c>
      <c r="M483" t="s">
        <v>54</v>
      </c>
      <c r="N4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3" t="s">
        <v>57</v>
      </c>
      <c r="Q483" t="s">
        <v>59</v>
      </c>
      <c r="R483" t="s">
        <v>59</v>
      </c>
      <c r="S483" t="s">
        <v>59</v>
      </c>
      <c r="T483" t="s">
        <v>59</v>
      </c>
      <c r="V483" t="s">
        <v>59</v>
      </c>
      <c r="W483" t="s">
        <v>80</v>
      </c>
    </row>
    <row r="484" spans="2:23" x14ac:dyDescent="0.2">
      <c r="B484">
        <f t="shared" ca="1" si="7"/>
        <v>0</v>
      </c>
      <c r="E484">
        <v>1</v>
      </c>
      <c r="F484" t="s">
        <v>32</v>
      </c>
      <c r="I484" t="s">
        <v>39</v>
      </c>
      <c r="J484" t="s">
        <v>44</v>
      </c>
      <c r="M484" t="s">
        <v>54</v>
      </c>
      <c r="N4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4" t="s">
        <v>57</v>
      </c>
      <c r="Q484" t="s">
        <v>59</v>
      </c>
      <c r="R484" t="s">
        <v>59</v>
      </c>
      <c r="S484" t="s">
        <v>59</v>
      </c>
      <c r="T484" t="s">
        <v>59</v>
      </c>
      <c r="V484" t="s">
        <v>59</v>
      </c>
      <c r="W484" t="s">
        <v>80</v>
      </c>
    </row>
    <row r="485" spans="2:23" x14ac:dyDescent="0.2">
      <c r="B485">
        <f t="shared" ca="1" si="7"/>
        <v>0</v>
      </c>
      <c r="E485">
        <v>1</v>
      </c>
      <c r="F485" t="s">
        <v>32</v>
      </c>
      <c r="I485" t="s">
        <v>39</v>
      </c>
      <c r="J485" t="s">
        <v>44</v>
      </c>
      <c r="M485" t="s">
        <v>54</v>
      </c>
      <c r="N4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5" t="s">
        <v>57</v>
      </c>
      <c r="Q485" t="s">
        <v>59</v>
      </c>
      <c r="R485" t="s">
        <v>59</v>
      </c>
      <c r="S485" t="s">
        <v>59</v>
      </c>
      <c r="T485" t="s">
        <v>59</v>
      </c>
      <c r="V485" t="s">
        <v>59</v>
      </c>
      <c r="W485" t="s">
        <v>80</v>
      </c>
    </row>
    <row r="486" spans="2:23" x14ac:dyDescent="0.2">
      <c r="B486">
        <f t="shared" ca="1" si="7"/>
        <v>0</v>
      </c>
      <c r="E486">
        <v>1</v>
      </c>
      <c r="F486" t="s">
        <v>32</v>
      </c>
      <c r="I486" t="s">
        <v>39</v>
      </c>
      <c r="J486" t="s">
        <v>44</v>
      </c>
      <c r="M486" t="s">
        <v>54</v>
      </c>
      <c r="N4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6" t="s">
        <v>57</v>
      </c>
      <c r="Q486" t="s">
        <v>59</v>
      </c>
      <c r="R486" t="s">
        <v>59</v>
      </c>
      <c r="S486" t="s">
        <v>59</v>
      </c>
      <c r="T486" t="s">
        <v>59</v>
      </c>
      <c r="V486" t="s">
        <v>59</v>
      </c>
      <c r="W486" t="s">
        <v>80</v>
      </c>
    </row>
    <row r="487" spans="2:23" x14ac:dyDescent="0.2">
      <c r="B487">
        <f t="shared" ca="1" si="7"/>
        <v>0</v>
      </c>
      <c r="E487">
        <v>1</v>
      </c>
      <c r="F487" t="s">
        <v>32</v>
      </c>
      <c r="I487" t="s">
        <v>39</v>
      </c>
      <c r="J487" t="s">
        <v>44</v>
      </c>
      <c r="M487" t="s">
        <v>54</v>
      </c>
      <c r="N4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7" t="s">
        <v>57</v>
      </c>
      <c r="Q487" t="s">
        <v>59</v>
      </c>
      <c r="R487" t="s">
        <v>59</v>
      </c>
      <c r="S487" t="s">
        <v>59</v>
      </c>
      <c r="T487" t="s">
        <v>59</v>
      </c>
      <c r="V487" t="s">
        <v>59</v>
      </c>
      <c r="W487" t="s">
        <v>80</v>
      </c>
    </row>
    <row r="488" spans="2:23" x14ac:dyDescent="0.2">
      <c r="B488">
        <f t="shared" ca="1" si="7"/>
        <v>0</v>
      </c>
      <c r="E488">
        <v>1</v>
      </c>
      <c r="F488" t="s">
        <v>32</v>
      </c>
      <c r="I488" t="s">
        <v>39</v>
      </c>
      <c r="J488" t="s">
        <v>44</v>
      </c>
      <c r="M488" t="s">
        <v>54</v>
      </c>
      <c r="N4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8" t="s">
        <v>57</v>
      </c>
      <c r="Q488" t="s">
        <v>59</v>
      </c>
      <c r="R488" t="s">
        <v>59</v>
      </c>
      <c r="S488" t="s">
        <v>59</v>
      </c>
      <c r="T488" t="s">
        <v>59</v>
      </c>
      <c r="V488" t="s">
        <v>59</v>
      </c>
      <c r="W488" t="s">
        <v>80</v>
      </c>
    </row>
    <row r="489" spans="2:23" x14ac:dyDescent="0.2">
      <c r="B489">
        <f t="shared" ca="1" si="7"/>
        <v>0</v>
      </c>
      <c r="E489">
        <v>1</v>
      </c>
      <c r="F489" t="s">
        <v>32</v>
      </c>
      <c r="I489" t="s">
        <v>39</v>
      </c>
      <c r="J489" t="s">
        <v>44</v>
      </c>
      <c r="M489" t="s">
        <v>54</v>
      </c>
      <c r="N4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89" t="s">
        <v>57</v>
      </c>
      <c r="Q489" t="s">
        <v>59</v>
      </c>
      <c r="R489" t="s">
        <v>59</v>
      </c>
      <c r="S489" t="s">
        <v>59</v>
      </c>
      <c r="T489" t="s">
        <v>59</v>
      </c>
      <c r="V489" t="s">
        <v>59</v>
      </c>
      <c r="W489" t="s">
        <v>80</v>
      </c>
    </row>
    <row r="490" spans="2:23" x14ac:dyDescent="0.2">
      <c r="B490">
        <f t="shared" ca="1" si="7"/>
        <v>0</v>
      </c>
      <c r="E490">
        <v>1</v>
      </c>
      <c r="F490" t="s">
        <v>32</v>
      </c>
      <c r="I490" t="s">
        <v>39</v>
      </c>
      <c r="J490" t="s">
        <v>44</v>
      </c>
      <c r="M490" t="s">
        <v>54</v>
      </c>
      <c r="N4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0" t="s">
        <v>57</v>
      </c>
      <c r="Q490" t="s">
        <v>59</v>
      </c>
      <c r="R490" t="s">
        <v>59</v>
      </c>
      <c r="S490" t="s">
        <v>59</v>
      </c>
      <c r="T490" t="s">
        <v>59</v>
      </c>
      <c r="V490" t="s">
        <v>59</v>
      </c>
      <c r="W490" t="s">
        <v>80</v>
      </c>
    </row>
    <row r="491" spans="2:23" x14ac:dyDescent="0.2">
      <c r="B491">
        <f t="shared" ca="1" si="7"/>
        <v>0</v>
      </c>
      <c r="E491">
        <v>1</v>
      </c>
      <c r="F491" t="s">
        <v>32</v>
      </c>
      <c r="I491" t="s">
        <v>39</v>
      </c>
      <c r="J491" t="s">
        <v>44</v>
      </c>
      <c r="M491" t="s">
        <v>54</v>
      </c>
      <c r="N4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1" t="s">
        <v>57</v>
      </c>
      <c r="Q491" t="s">
        <v>59</v>
      </c>
      <c r="R491" t="s">
        <v>59</v>
      </c>
      <c r="S491" t="s">
        <v>59</v>
      </c>
      <c r="T491" t="s">
        <v>59</v>
      </c>
      <c r="V491" t="s">
        <v>59</v>
      </c>
      <c r="W491" t="s">
        <v>80</v>
      </c>
    </row>
    <row r="492" spans="2:23" x14ac:dyDescent="0.2">
      <c r="B492">
        <f t="shared" ca="1" si="7"/>
        <v>0</v>
      </c>
      <c r="E492">
        <v>1</v>
      </c>
      <c r="F492" t="s">
        <v>32</v>
      </c>
      <c r="I492" t="s">
        <v>39</v>
      </c>
      <c r="J492" t="s">
        <v>44</v>
      </c>
      <c r="M492" t="s">
        <v>54</v>
      </c>
      <c r="N4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2" t="s">
        <v>57</v>
      </c>
      <c r="Q492" t="s">
        <v>59</v>
      </c>
      <c r="R492" t="s">
        <v>59</v>
      </c>
      <c r="S492" t="s">
        <v>59</v>
      </c>
      <c r="T492" t="s">
        <v>59</v>
      </c>
      <c r="V492" t="s">
        <v>59</v>
      </c>
      <c r="W492" t="s">
        <v>80</v>
      </c>
    </row>
    <row r="493" spans="2:23" x14ac:dyDescent="0.2">
      <c r="B493">
        <f t="shared" ca="1" si="7"/>
        <v>0</v>
      </c>
      <c r="E493">
        <v>1</v>
      </c>
      <c r="F493" t="s">
        <v>32</v>
      </c>
      <c r="I493" t="s">
        <v>39</v>
      </c>
      <c r="J493" t="s">
        <v>44</v>
      </c>
      <c r="M493" t="s">
        <v>54</v>
      </c>
      <c r="N4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3" t="s">
        <v>57</v>
      </c>
      <c r="Q493" t="s">
        <v>59</v>
      </c>
      <c r="R493" t="s">
        <v>59</v>
      </c>
      <c r="S493" t="s">
        <v>59</v>
      </c>
      <c r="T493" t="s">
        <v>59</v>
      </c>
      <c r="V493" t="s">
        <v>59</v>
      </c>
      <c r="W493" t="s">
        <v>80</v>
      </c>
    </row>
    <row r="494" spans="2:23" x14ac:dyDescent="0.2">
      <c r="B494">
        <f t="shared" ca="1" si="7"/>
        <v>0</v>
      </c>
      <c r="E494">
        <v>1</v>
      </c>
      <c r="F494" t="s">
        <v>32</v>
      </c>
      <c r="I494" t="s">
        <v>39</v>
      </c>
      <c r="J494" t="s">
        <v>44</v>
      </c>
      <c r="M494" t="s">
        <v>54</v>
      </c>
      <c r="N4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4" t="s">
        <v>57</v>
      </c>
      <c r="Q494" t="s">
        <v>59</v>
      </c>
      <c r="R494" t="s">
        <v>59</v>
      </c>
      <c r="S494" t="s">
        <v>59</v>
      </c>
      <c r="T494" t="s">
        <v>59</v>
      </c>
      <c r="V494" t="s">
        <v>59</v>
      </c>
      <c r="W494" t="s">
        <v>80</v>
      </c>
    </row>
    <row r="495" spans="2:23" x14ac:dyDescent="0.2">
      <c r="B495">
        <f t="shared" ca="1" si="7"/>
        <v>0</v>
      </c>
      <c r="E495">
        <v>1</v>
      </c>
      <c r="F495" t="s">
        <v>32</v>
      </c>
      <c r="I495" t="s">
        <v>39</v>
      </c>
      <c r="J495" t="s">
        <v>44</v>
      </c>
      <c r="M495" t="s">
        <v>54</v>
      </c>
      <c r="N4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5" t="s">
        <v>57</v>
      </c>
      <c r="Q495" t="s">
        <v>59</v>
      </c>
      <c r="R495" t="s">
        <v>59</v>
      </c>
      <c r="S495" t="s">
        <v>59</v>
      </c>
      <c r="T495" t="s">
        <v>59</v>
      </c>
      <c r="V495" t="s">
        <v>59</v>
      </c>
      <c r="W495" t="s">
        <v>80</v>
      </c>
    </row>
    <row r="496" spans="2:23" x14ac:dyDescent="0.2">
      <c r="B496">
        <f t="shared" ca="1" si="7"/>
        <v>0</v>
      </c>
      <c r="E496">
        <v>1</v>
      </c>
      <c r="F496" t="s">
        <v>32</v>
      </c>
      <c r="I496" t="s">
        <v>39</v>
      </c>
      <c r="J496" t="s">
        <v>44</v>
      </c>
      <c r="M496" t="s">
        <v>54</v>
      </c>
      <c r="N4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6" t="s">
        <v>57</v>
      </c>
      <c r="Q496" t="s">
        <v>59</v>
      </c>
      <c r="R496" t="s">
        <v>59</v>
      </c>
      <c r="S496" t="s">
        <v>59</v>
      </c>
      <c r="T496" t="s">
        <v>59</v>
      </c>
      <c r="V496" t="s">
        <v>59</v>
      </c>
      <c r="W496" t="s">
        <v>80</v>
      </c>
    </row>
    <row r="497" spans="2:23" x14ac:dyDescent="0.2">
      <c r="B497">
        <f t="shared" ca="1" si="7"/>
        <v>0</v>
      </c>
      <c r="E497">
        <v>1</v>
      </c>
      <c r="F497" t="s">
        <v>32</v>
      </c>
      <c r="I497" t="s">
        <v>39</v>
      </c>
      <c r="J497" t="s">
        <v>44</v>
      </c>
      <c r="M497" t="s">
        <v>54</v>
      </c>
      <c r="N4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7" t="s">
        <v>57</v>
      </c>
      <c r="Q497" t="s">
        <v>59</v>
      </c>
      <c r="R497" t="s">
        <v>59</v>
      </c>
      <c r="S497" t="s">
        <v>59</v>
      </c>
      <c r="T497" t="s">
        <v>59</v>
      </c>
      <c r="V497" t="s">
        <v>59</v>
      </c>
      <c r="W497" t="s">
        <v>80</v>
      </c>
    </row>
    <row r="498" spans="2:23" x14ac:dyDescent="0.2">
      <c r="B498">
        <f t="shared" ca="1" si="7"/>
        <v>0</v>
      </c>
      <c r="E498">
        <v>1</v>
      </c>
      <c r="F498" t="s">
        <v>32</v>
      </c>
      <c r="I498" t="s">
        <v>39</v>
      </c>
      <c r="J498" t="s">
        <v>44</v>
      </c>
      <c r="M498" t="s">
        <v>54</v>
      </c>
      <c r="N4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8" t="s">
        <v>57</v>
      </c>
      <c r="Q498" t="s">
        <v>59</v>
      </c>
      <c r="R498" t="s">
        <v>59</v>
      </c>
      <c r="S498" t="s">
        <v>59</v>
      </c>
      <c r="T498" t="s">
        <v>59</v>
      </c>
      <c r="V498" t="s">
        <v>59</v>
      </c>
      <c r="W498" t="s">
        <v>80</v>
      </c>
    </row>
    <row r="499" spans="2:23" x14ac:dyDescent="0.2">
      <c r="B499">
        <f t="shared" ca="1" si="7"/>
        <v>0</v>
      </c>
      <c r="E499">
        <v>1</v>
      </c>
      <c r="F499" t="s">
        <v>32</v>
      </c>
      <c r="I499" t="s">
        <v>39</v>
      </c>
      <c r="J499" t="s">
        <v>44</v>
      </c>
      <c r="M499" t="s">
        <v>54</v>
      </c>
      <c r="N4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4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499" t="s">
        <v>57</v>
      </c>
      <c r="Q499" t="s">
        <v>59</v>
      </c>
      <c r="R499" t="s">
        <v>59</v>
      </c>
      <c r="S499" t="s">
        <v>59</v>
      </c>
      <c r="T499" t="s">
        <v>59</v>
      </c>
      <c r="V499" t="s">
        <v>59</v>
      </c>
      <c r="W499" t="s">
        <v>80</v>
      </c>
    </row>
    <row r="500" spans="2:23" x14ac:dyDescent="0.2">
      <c r="B500">
        <f t="shared" ca="1" si="7"/>
        <v>0</v>
      </c>
      <c r="E500">
        <v>1</v>
      </c>
      <c r="F500" t="s">
        <v>32</v>
      </c>
      <c r="I500" t="s">
        <v>39</v>
      </c>
      <c r="J500" t="s">
        <v>44</v>
      </c>
      <c r="M500" t="s">
        <v>54</v>
      </c>
      <c r="N5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0" t="s">
        <v>57</v>
      </c>
      <c r="Q500" t="s">
        <v>59</v>
      </c>
      <c r="R500" t="s">
        <v>59</v>
      </c>
      <c r="S500" t="s">
        <v>59</v>
      </c>
      <c r="T500" t="s">
        <v>59</v>
      </c>
      <c r="V500" t="s">
        <v>59</v>
      </c>
      <c r="W500" t="s">
        <v>80</v>
      </c>
    </row>
    <row r="501" spans="2:23" x14ac:dyDescent="0.2">
      <c r="B501">
        <f t="shared" ca="1" si="7"/>
        <v>0</v>
      </c>
      <c r="E501">
        <v>1</v>
      </c>
      <c r="F501" t="s">
        <v>32</v>
      </c>
      <c r="I501" t="s">
        <v>39</v>
      </c>
      <c r="J501" t="s">
        <v>44</v>
      </c>
      <c r="M501" t="s">
        <v>54</v>
      </c>
      <c r="N5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1" t="s">
        <v>57</v>
      </c>
      <c r="Q501" t="s">
        <v>59</v>
      </c>
      <c r="R501" t="s">
        <v>59</v>
      </c>
      <c r="S501" t="s">
        <v>59</v>
      </c>
      <c r="T501" t="s">
        <v>59</v>
      </c>
      <c r="V501" t="s">
        <v>59</v>
      </c>
      <c r="W501" t="s">
        <v>80</v>
      </c>
    </row>
    <row r="502" spans="2:23" x14ac:dyDescent="0.2">
      <c r="B502">
        <f t="shared" ca="1" si="7"/>
        <v>0</v>
      </c>
      <c r="E502">
        <v>1</v>
      </c>
      <c r="F502" t="s">
        <v>32</v>
      </c>
      <c r="I502" t="s">
        <v>39</v>
      </c>
      <c r="J502" t="s">
        <v>44</v>
      </c>
      <c r="M502" t="s">
        <v>54</v>
      </c>
      <c r="N5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2" t="s">
        <v>57</v>
      </c>
      <c r="Q502" t="s">
        <v>59</v>
      </c>
      <c r="R502" t="s">
        <v>59</v>
      </c>
      <c r="S502" t="s">
        <v>59</v>
      </c>
      <c r="T502" t="s">
        <v>59</v>
      </c>
      <c r="V502" t="s">
        <v>59</v>
      </c>
      <c r="W502" t="s">
        <v>80</v>
      </c>
    </row>
    <row r="503" spans="2:23" x14ac:dyDescent="0.2">
      <c r="B503">
        <f t="shared" ca="1" si="7"/>
        <v>0</v>
      </c>
      <c r="E503">
        <v>1</v>
      </c>
      <c r="F503" t="s">
        <v>32</v>
      </c>
      <c r="I503" t="s">
        <v>39</v>
      </c>
      <c r="J503" t="s">
        <v>44</v>
      </c>
      <c r="M503" t="s">
        <v>54</v>
      </c>
      <c r="N5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3" t="s">
        <v>57</v>
      </c>
      <c r="Q503" t="s">
        <v>59</v>
      </c>
      <c r="R503" t="s">
        <v>59</v>
      </c>
      <c r="S503" t="s">
        <v>59</v>
      </c>
      <c r="T503" t="s">
        <v>59</v>
      </c>
      <c r="V503" t="s">
        <v>59</v>
      </c>
      <c r="W503" t="s">
        <v>80</v>
      </c>
    </row>
    <row r="504" spans="2:23" x14ac:dyDescent="0.2">
      <c r="B504">
        <f t="shared" ca="1" si="7"/>
        <v>0</v>
      </c>
      <c r="E504">
        <v>1</v>
      </c>
      <c r="F504" t="s">
        <v>32</v>
      </c>
      <c r="I504" t="s">
        <v>39</v>
      </c>
      <c r="J504" t="s">
        <v>44</v>
      </c>
      <c r="M504" t="s">
        <v>54</v>
      </c>
      <c r="N5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4" t="s">
        <v>57</v>
      </c>
      <c r="Q504" t="s">
        <v>59</v>
      </c>
      <c r="R504" t="s">
        <v>59</v>
      </c>
      <c r="S504" t="s">
        <v>59</v>
      </c>
      <c r="T504" t="s">
        <v>59</v>
      </c>
      <c r="V504" t="s">
        <v>59</v>
      </c>
      <c r="W504" t="s">
        <v>80</v>
      </c>
    </row>
    <row r="505" spans="2:23" x14ac:dyDescent="0.2">
      <c r="B505">
        <f t="shared" ca="1" si="7"/>
        <v>0</v>
      </c>
      <c r="E505">
        <v>1</v>
      </c>
      <c r="F505" t="s">
        <v>32</v>
      </c>
      <c r="I505" t="s">
        <v>39</v>
      </c>
      <c r="J505" t="s">
        <v>44</v>
      </c>
      <c r="M505" t="s">
        <v>54</v>
      </c>
      <c r="N5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5" t="s">
        <v>57</v>
      </c>
      <c r="Q505" t="s">
        <v>59</v>
      </c>
      <c r="R505" t="s">
        <v>59</v>
      </c>
      <c r="S505" t="s">
        <v>59</v>
      </c>
      <c r="T505" t="s">
        <v>59</v>
      </c>
      <c r="V505" t="s">
        <v>59</v>
      </c>
      <c r="W505" t="s">
        <v>80</v>
      </c>
    </row>
    <row r="506" spans="2:23" x14ac:dyDescent="0.2">
      <c r="B506">
        <f t="shared" ca="1" si="7"/>
        <v>0</v>
      </c>
      <c r="E506">
        <v>1</v>
      </c>
      <c r="F506" t="s">
        <v>32</v>
      </c>
      <c r="I506" t="s">
        <v>39</v>
      </c>
      <c r="J506" t="s">
        <v>44</v>
      </c>
      <c r="M506" t="s">
        <v>54</v>
      </c>
      <c r="N5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6" t="s">
        <v>57</v>
      </c>
      <c r="Q506" t="s">
        <v>59</v>
      </c>
      <c r="R506" t="s">
        <v>59</v>
      </c>
      <c r="S506" t="s">
        <v>59</v>
      </c>
      <c r="T506" t="s">
        <v>59</v>
      </c>
      <c r="V506" t="s">
        <v>59</v>
      </c>
      <c r="W506" t="s">
        <v>80</v>
      </c>
    </row>
    <row r="507" spans="2:23" x14ac:dyDescent="0.2">
      <c r="B507">
        <f t="shared" ca="1" si="7"/>
        <v>0</v>
      </c>
      <c r="E507">
        <v>1</v>
      </c>
      <c r="F507" t="s">
        <v>32</v>
      </c>
      <c r="I507" t="s">
        <v>39</v>
      </c>
      <c r="J507" t="s">
        <v>44</v>
      </c>
      <c r="M507" t="s">
        <v>54</v>
      </c>
      <c r="N5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7" t="s">
        <v>57</v>
      </c>
      <c r="Q507" t="s">
        <v>59</v>
      </c>
      <c r="R507" t="s">
        <v>59</v>
      </c>
      <c r="S507" t="s">
        <v>59</v>
      </c>
      <c r="T507" t="s">
        <v>59</v>
      </c>
      <c r="V507" t="s">
        <v>59</v>
      </c>
      <c r="W507" t="s">
        <v>80</v>
      </c>
    </row>
    <row r="508" spans="2:23" x14ac:dyDescent="0.2">
      <c r="B508">
        <f t="shared" ca="1" si="7"/>
        <v>0</v>
      </c>
      <c r="E508">
        <v>1</v>
      </c>
      <c r="F508" t="s">
        <v>32</v>
      </c>
      <c r="I508" t="s">
        <v>39</v>
      </c>
      <c r="J508" t="s">
        <v>44</v>
      </c>
      <c r="M508" t="s">
        <v>54</v>
      </c>
      <c r="N5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8" t="s">
        <v>57</v>
      </c>
      <c r="Q508" t="s">
        <v>59</v>
      </c>
      <c r="R508" t="s">
        <v>59</v>
      </c>
      <c r="S508" t="s">
        <v>59</v>
      </c>
      <c r="T508" t="s">
        <v>59</v>
      </c>
      <c r="V508" t="s">
        <v>59</v>
      </c>
      <c r="W508" t="s">
        <v>80</v>
      </c>
    </row>
    <row r="509" spans="2:23" x14ac:dyDescent="0.2">
      <c r="B509">
        <f t="shared" ca="1" si="7"/>
        <v>0</v>
      </c>
      <c r="E509">
        <v>1</v>
      </c>
      <c r="F509" t="s">
        <v>32</v>
      </c>
      <c r="I509" t="s">
        <v>39</v>
      </c>
      <c r="J509" t="s">
        <v>44</v>
      </c>
      <c r="M509" t="s">
        <v>54</v>
      </c>
      <c r="N5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09" t="s">
        <v>57</v>
      </c>
      <c r="Q509" t="s">
        <v>59</v>
      </c>
      <c r="R509" t="s">
        <v>59</v>
      </c>
      <c r="S509" t="s">
        <v>59</v>
      </c>
      <c r="T509" t="s">
        <v>59</v>
      </c>
      <c r="V509" t="s">
        <v>59</v>
      </c>
      <c r="W509" t="s">
        <v>80</v>
      </c>
    </row>
    <row r="510" spans="2:23" x14ac:dyDescent="0.2">
      <c r="B510">
        <f t="shared" ca="1" si="7"/>
        <v>0</v>
      </c>
      <c r="E510">
        <v>1</v>
      </c>
      <c r="F510" t="s">
        <v>32</v>
      </c>
      <c r="I510" t="s">
        <v>39</v>
      </c>
      <c r="J510" t="s">
        <v>44</v>
      </c>
      <c r="M510" t="s">
        <v>54</v>
      </c>
      <c r="N5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0" t="s">
        <v>57</v>
      </c>
      <c r="Q510" t="s">
        <v>59</v>
      </c>
      <c r="R510" t="s">
        <v>59</v>
      </c>
      <c r="S510" t="s">
        <v>59</v>
      </c>
      <c r="T510" t="s">
        <v>59</v>
      </c>
      <c r="V510" t="s">
        <v>59</v>
      </c>
      <c r="W510" t="s">
        <v>80</v>
      </c>
    </row>
    <row r="511" spans="2:23" x14ac:dyDescent="0.2">
      <c r="B511">
        <f t="shared" ca="1" si="7"/>
        <v>0</v>
      </c>
      <c r="E511">
        <v>1</v>
      </c>
      <c r="F511" t="s">
        <v>32</v>
      </c>
      <c r="I511" t="s">
        <v>39</v>
      </c>
      <c r="J511" t="s">
        <v>44</v>
      </c>
      <c r="M511" t="s">
        <v>54</v>
      </c>
      <c r="N5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1" t="s">
        <v>57</v>
      </c>
      <c r="Q511" t="s">
        <v>59</v>
      </c>
      <c r="R511" t="s">
        <v>59</v>
      </c>
      <c r="S511" t="s">
        <v>59</v>
      </c>
      <c r="T511" t="s">
        <v>59</v>
      </c>
      <c r="V511" t="s">
        <v>59</v>
      </c>
      <c r="W511" t="s">
        <v>80</v>
      </c>
    </row>
    <row r="512" spans="2:23" x14ac:dyDescent="0.2">
      <c r="B512">
        <f t="shared" ca="1" si="7"/>
        <v>0</v>
      </c>
      <c r="E512">
        <v>1</v>
      </c>
      <c r="F512" t="s">
        <v>32</v>
      </c>
      <c r="I512" t="s">
        <v>39</v>
      </c>
      <c r="J512" t="s">
        <v>44</v>
      </c>
      <c r="M512" t="s">
        <v>54</v>
      </c>
      <c r="N5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2" t="s">
        <v>57</v>
      </c>
      <c r="Q512" t="s">
        <v>59</v>
      </c>
      <c r="R512" t="s">
        <v>59</v>
      </c>
      <c r="S512" t="s">
        <v>59</v>
      </c>
      <c r="T512" t="s">
        <v>59</v>
      </c>
      <c r="V512" t="s">
        <v>59</v>
      </c>
      <c r="W512" t="s">
        <v>80</v>
      </c>
    </row>
    <row r="513" spans="2:23" x14ac:dyDescent="0.2">
      <c r="B513">
        <f t="shared" ca="1" si="7"/>
        <v>0</v>
      </c>
      <c r="E513">
        <v>1</v>
      </c>
      <c r="F513" t="s">
        <v>32</v>
      </c>
      <c r="I513" t="s">
        <v>39</v>
      </c>
      <c r="J513" t="s">
        <v>44</v>
      </c>
      <c r="M513" t="s">
        <v>54</v>
      </c>
      <c r="N5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3" t="s">
        <v>57</v>
      </c>
      <c r="Q513" t="s">
        <v>59</v>
      </c>
      <c r="R513" t="s">
        <v>59</v>
      </c>
      <c r="S513" t="s">
        <v>59</v>
      </c>
      <c r="T513" t="s">
        <v>59</v>
      </c>
      <c r="V513" t="s">
        <v>59</v>
      </c>
      <c r="W513" t="s">
        <v>80</v>
      </c>
    </row>
    <row r="514" spans="2:23" x14ac:dyDescent="0.2">
      <c r="B514">
        <f t="shared" ca="1" si="7"/>
        <v>0</v>
      </c>
      <c r="E514">
        <v>1</v>
      </c>
      <c r="F514" t="s">
        <v>32</v>
      </c>
      <c r="I514" t="s">
        <v>39</v>
      </c>
      <c r="J514" t="s">
        <v>44</v>
      </c>
      <c r="M514" t="s">
        <v>54</v>
      </c>
      <c r="N5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4" t="s">
        <v>57</v>
      </c>
      <c r="Q514" t="s">
        <v>59</v>
      </c>
      <c r="R514" t="s">
        <v>59</v>
      </c>
      <c r="S514" t="s">
        <v>59</v>
      </c>
      <c r="T514" t="s">
        <v>59</v>
      </c>
      <c r="V514" t="s">
        <v>59</v>
      </c>
      <c r="W514" t="s">
        <v>80</v>
      </c>
    </row>
    <row r="515" spans="2:23" x14ac:dyDescent="0.2">
      <c r="B515">
        <f t="shared" ca="1" si="7"/>
        <v>0</v>
      </c>
      <c r="E515">
        <v>1</v>
      </c>
      <c r="F515" t="s">
        <v>32</v>
      </c>
      <c r="I515" t="s">
        <v>39</v>
      </c>
      <c r="J515" t="s">
        <v>44</v>
      </c>
      <c r="M515" t="s">
        <v>54</v>
      </c>
      <c r="N5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5" t="s">
        <v>57</v>
      </c>
      <c r="Q515" t="s">
        <v>59</v>
      </c>
      <c r="R515" t="s">
        <v>59</v>
      </c>
      <c r="S515" t="s">
        <v>59</v>
      </c>
      <c r="T515" t="s">
        <v>59</v>
      </c>
      <c r="V515" t="s">
        <v>59</v>
      </c>
      <c r="W515" t="s">
        <v>80</v>
      </c>
    </row>
    <row r="516" spans="2:23" x14ac:dyDescent="0.2">
      <c r="B516">
        <f t="shared" ca="1" si="7"/>
        <v>0</v>
      </c>
      <c r="E516">
        <v>1</v>
      </c>
      <c r="F516" t="s">
        <v>32</v>
      </c>
      <c r="I516" t="s">
        <v>39</v>
      </c>
      <c r="J516" t="s">
        <v>44</v>
      </c>
      <c r="M516" t="s">
        <v>54</v>
      </c>
      <c r="N5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6" t="s">
        <v>57</v>
      </c>
      <c r="Q516" t="s">
        <v>59</v>
      </c>
      <c r="R516" t="s">
        <v>59</v>
      </c>
      <c r="S516" t="s">
        <v>59</v>
      </c>
      <c r="T516" t="s">
        <v>59</v>
      </c>
      <c r="V516" t="s">
        <v>59</v>
      </c>
      <c r="W516" t="s">
        <v>80</v>
      </c>
    </row>
    <row r="517" spans="2:23" x14ac:dyDescent="0.2">
      <c r="B517">
        <f t="shared" ca="1" si="7"/>
        <v>0</v>
      </c>
      <c r="E517">
        <v>1</v>
      </c>
      <c r="F517" t="s">
        <v>32</v>
      </c>
      <c r="I517" t="s">
        <v>39</v>
      </c>
      <c r="J517" t="s">
        <v>44</v>
      </c>
      <c r="M517" t="s">
        <v>54</v>
      </c>
      <c r="N5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7" t="s">
        <v>57</v>
      </c>
      <c r="Q517" t="s">
        <v>59</v>
      </c>
      <c r="R517" t="s">
        <v>59</v>
      </c>
      <c r="S517" t="s">
        <v>59</v>
      </c>
      <c r="T517" t="s">
        <v>59</v>
      </c>
      <c r="V517" t="s">
        <v>59</v>
      </c>
      <c r="W517" t="s">
        <v>80</v>
      </c>
    </row>
    <row r="518" spans="2:23" x14ac:dyDescent="0.2">
      <c r="B518">
        <f t="shared" ca="1" si="7"/>
        <v>0</v>
      </c>
      <c r="E518">
        <v>1</v>
      </c>
      <c r="F518" t="s">
        <v>32</v>
      </c>
      <c r="I518" t="s">
        <v>39</v>
      </c>
      <c r="J518" t="s">
        <v>44</v>
      </c>
      <c r="M518" t="s">
        <v>54</v>
      </c>
      <c r="N5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8" t="s">
        <v>57</v>
      </c>
      <c r="Q518" t="s">
        <v>59</v>
      </c>
      <c r="R518" t="s">
        <v>59</v>
      </c>
      <c r="S518" t="s">
        <v>59</v>
      </c>
      <c r="T518" t="s">
        <v>59</v>
      </c>
      <c r="V518" t="s">
        <v>59</v>
      </c>
      <c r="W518" t="s">
        <v>80</v>
      </c>
    </row>
    <row r="519" spans="2:23" x14ac:dyDescent="0.2">
      <c r="B519">
        <f t="shared" ref="B519:B582" ca="1" si="8">LEN(INDIRECT(ADDRESS(ROW() + (0),COLUMN() + (-1))))</f>
        <v>0</v>
      </c>
      <c r="E519">
        <v>1</v>
      </c>
      <c r="F519" t="s">
        <v>32</v>
      </c>
      <c r="I519" t="s">
        <v>39</v>
      </c>
      <c r="J519" t="s">
        <v>44</v>
      </c>
      <c r="M519" t="s">
        <v>54</v>
      </c>
      <c r="N5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19" t="s">
        <v>57</v>
      </c>
      <c r="Q519" t="s">
        <v>59</v>
      </c>
      <c r="R519" t="s">
        <v>59</v>
      </c>
      <c r="S519" t="s">
        <v>59</v>
      </c>
      <c r="T519" t="s">
        <v>59</v>
      </c>
      <c r="V519" t="s">
        <v>59</v>
      </c>
      <c r="W519" t="s">
        <v>80</v>
      </c>
    </row>
    <row r="520" spans="2:23" x14ac:dyDescent="0.2">
      <c r="B520">
        <f t="shared" ca="1" si="8"/>
        <v>0</v>
      </c>
      <c r="E520">
        <v>1</v>
      </c>
      <c r="F520" t="s">
        <v>32</v>
      </c>
      <c r="I520" t="s">
        <v>39</v>
      </c>
      <c r="J520" t="s">
        <v>44</v>
      </c>
      <c r="M520" t="s">
        <v>54</v>
      </c>
      <c r="N5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0" t="s">
        <v>57</v>
      </c>
      <c r="Q520" t="s">
        <v>59</v>
      </c>
      <c r="R520" t="s">
        <v>59</v>
      </c>
      <c r="S520" t="s">
        <v>59</v>
      </c>
      <c r="T520" t="s">
        <v>59</v>
      </c>
      <c r="V520" t="s">
        <v>59</v>
      </c>
      <c r="W520" t="s">
        <v>80</v>
      </c>
    </row>
    <row r="521" spans="2:23" x14ac:dyDescent="0.2">
      <c r="B521">
        <f t="shared" ca="1" si="8"/>
        <v>0</v>
      </c>
      <c r="E521">
        <v>1</v>
      </c>
      <c r="F521" t="s">
        <v>32</v>
      </c>
      <c r="I521" t="s">
        <v>39</v>
      </c>
      <c r="J521" t="s">
        <v>44</v>
      </c>
      <c r="M521" t="s">
        <v>54</v>
      </c>
      <c r="N5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1" t="s">
        <v>57</v>
      </c>
      <c r="Q521" t="s">
        <v>59</v>
      </c>
      <c r="R521" t="s">
        <v>59</v>
      </c>
      <c r="S521" t="s">
        <v>59</v>
      </c>
      <c r="T521" t="s">
        <v>59</v>
      </c>
      <c r="V521" t="s">
        <v>59</v>
      </c>
      <c r="W521" t="s">
        <v>80</v>
      </c>
    </row>
    <row r="522" spans="2:23" x14ac:dyDescent="0.2">
      <c r="B522">
        <f t="shared" ca="1" si="8"/>
        <v>0</v>
      </c>
      <c r="E522">
        <v>1</v>
      </c>
      <c r="F522" t="s">
        <v>32</v>
      </c>
      <c r="I522" t="s">
        <v>39</v>
      </c>
      <c r="J522" t="s">
        <v>44</v>
      </c>
      <c r="M522" t="s">
        <v>54</v>
      </c>
      <c r="N5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2" t="s">
        <v>57</v>
      </c>
      <c r="Q522" t="s">
        <v>59</v>
      </c>
      <c r="R522" t="s">
        <v>59</v>
      </c>
      <c r="S522" t="s">
        <v>59</v>
      </c>
      <c r="T522" t="s">
        <v>59</v>
      </c>
      <c r="V522" t="s">
        <v>59</v>
      </c>
      <c r="W522" t="s">
        <v>80</v>
      </c>
    </row>
    <row r="523" spans="2:23" x14ac:dyDescent="0.2">
      <c r="B523">
        <f t="shared" ca="1" si="8"/>
        <v>0</v>
      </c>
      <c r="E523">
        <v>1</v>
      </c>
      <c r="F523" t="s">
        <v>32</v>
      </c>
      <c r="I523" t="s">
        <v>39</v>
      </c>
      <c r="J523" t="s">
        <v>44</v>
      </c>
      <c r="M523" t="s">
        <v>54</v>
      </c>
      <c r="N5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3" t="s">
        <v>57</v>
      </c>
      <c r="Q523" t="s">
        <v>59</v>
      </c>
      <c r="R523" t="s">
        <v>59</v>
      </c>
      <c r="S523" t="s">
        <v>59</v>
      </c>
      <c r="T523" t="s">
        <v>59</v>
      </c>
      <c r="V523" t="s">
        <v>59</v>
      </c>
      <c r="W523" t="s">
        <v>80</v>
      </c>
    </row>
    <row r="524" spans="2:23" x14ac:dyDescent="0.2">
      <c r="B524">
        <f t="shared" ca="1" si="8"/>
        <v>0</v>
      </c>
      <c r="E524">
        <v>1</v>
      </c>
      <c r="F524" t="s">
        <v>32</v>
      </c>
      <c r="I524" t="s">
        <v>39</v>
      </c>
      <c r="J524" t="s">
        <v>44</v>
      </c>
      <c r="M524" t="s">
        <v>54</v>
      </c>
      <c r="N5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4" t="s">
        <v>57</v>
      </c>
      <c r="Q524" t="s">
        <v>59</v>
      </c>
      <c r="R524" t="s">
        <v>59</v>
      </c>
      <c r="S524" t="s">
        <v>59</v>
      </c>
      <c r="T524" t="s">
        <v>59</v>
      </c>
      <c r="V524" t="s">
        <v>59</v>
      </c>
      <c r="W524" t="s">
        <v>80</v>
      </c>
    </row>
    <row r="525" spans="2:23" x14ac:dyDescent="0.2">
      <c r="B525">
        <f t="shared" ca="1" si="8"/>
        <v>0</v>
      </c>
      <c r="E525">
        <v>1</v>
      </c>
      <c r="F525" t="s">
        <v>32</v>
      </c>
      <c r="I525" t="s">
        <v>39</v>
      </c>
      <c r="J525" t="s">
        <v>44</v>
      </c>
      <c r="M525" t="s">
        <v>54</v>
      </c>
      <c r="N5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5" t="s">
        <v>57</v>
      </c>
      <c r="Q525" t="s">
        <v>59</v>
      </c>
      <c r="R525" t="s">
        <v>59</v>
      </c>
      <c r="S525" t="s">
        <v>59</v>
      </c>
      <c r="T525" t="s">
        <v>59</v>
      </c>
      <c r="V525" t="s">
        <v>59</v>
      </c>
      <c r="W525" t="s">
        <v>80</v>
      </c>
    </row>
    <row r="526" spans="2:23" x14ac:dyDescent="0.2">
      <c r="B526">
        <f t="shared" ca="1" si="8"/>
        <v>0</v>
      </c>
      <c r="E526">
        <v>1</v>
      </c>
      <c r="F526" t="s">
        <v>32</v>
      </c>
      <c r="I526" t="s">
        <v>39</v>
      </c>
      <c r="J526" t="s">
        <v>44</v>
      </c>
      <c r="M526" t="s">
        <v>54</v>
      </c>
      <c r="N5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6" t="s">
        <v>57</v>
      </c>
      <c r="Q526" t="s">
        <v>59</v>
      </c>
      <c r="R526" t="s">
        <v>59</v>
      </c>
      <c r="S526" t="s">
        <v>59</v>
      </c>
      <c r="T526" t="s">
        <v>59</v>
      </c>
      <c r="V526" t="s">
        <v>59</v>
      </c>
      <c r="W526" t="s">
        <v>80</v>
      </c>
    </row>
    <row r="527" spans="2:23" x14ac:dyDescent="0.2">
      <c r="B527">
        <f t="shared" ca="1" si="8"/>
        <v>0</v>
      </c>
      <c r="E527">
        <v>1</v>
      </c>
      <c r="F527" t="s">
        <v>32</v>
      </c>
      <c r="I527" t="s">
        <v>39</v>
      </c>
      <c r="J527" t="s">
        <v>44</v>
      </c>
      <c r="M527" t="s">
        <v>54</v>
      </c>
      <c r="N5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7" t="s">
        <v>57</v>
      </c>
      <c r="Q527" t="s">
        <v>59</v>
      </c>
      <c r="R527" t="s">
        <v>59</v>
      </c>
      <c r="S527" t="s">
        <v>59</v>
      </c>
      <c r="T527" t="s">
        <v>59</v>
      </c>
      <c r="V527" t="s">
        <v>59</v>
      </c>
      <c r="W527" t="s">
        <v>80</v>
      </c>
    </row>
    <row r="528" spans="2:23" x14ac:dyDescent="0.2">
      <c r="B528">
        <f t="shared" ca="1" si="8"/>
        <v>0</v>
      </c>
      <c r="E528">
        <v>1</v>
      </c>
      <c r="F528" t="s">
        <v>32</v>
      </c>
      <c r="I528" t="s">
        <v>39</v>
      </c>
      <c r="J528" t="s">
        <v>44</v>
      </c>
      <c r="M528" t="s">
        <v>54</v>
      </c>
      <c r="N5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8" t="s">
        <v>57</v>
      </c>
      <c r="Q528" t="s">
        <v>59</v>
      </c>
      <c r="R528" t="s">
        <v>59</v>
      </c>
      <c r="S528" t="s">
        <v>59</v>
      </c>
      <c r="T528" t="s">
        <v>59</v>
      </c>
      <c r="V528" t="s">
        <v>59</v>
      </c>
      <c r="W528" t="s">
        <v>80</v>
      </c>
    </row>
    <row r="529" spans="2:23" x14ac:dyDescent="0.2">
      <c r="B529">
        <f t="shared" ca="1" si="8"/>
        <v>0</v>
      </c>
      <c r="E529">
        <v>1</v>
      </c>
      <c r="F529" t="s">
        <v>32</v>
      </c>
      <c r="I529" t="s">
        <v>39</v>
      </c>
      <c r="J529" t="s">
        <v>44</v>
      </c>
      <c r="M529" t="s">
        <v>54</v>
      </c>
      <c r="N5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29" t="s">
        <v>57</v>
      </c>
      <c r="Q529" t="s">
        <v>59</v>
      </c>
      <c r="R529" t="s">
        <v>59</v>
      </c>
      <c r="S529" t="s">
        <v>59</v>
      </c>
      <c r="T529" t="s">
        <v>59</v>
      </c>
      <c r="V529" t="s">
        <v>59</v>
      </c>
      <c r="W529" t="s">
        <v>80</v>
      </c>
    </row>
    <row r="530" spans="2:23" x14ac:dyDescent="0.2">
      <c r="B530">
        <f t="shared" ca="1" si="8"/>
        <v>0</v>
      </c>
      <c r="E530">
        <v>1</v>
      </c>
      <c r="F530" t="s">
        <v>32</v>
      </c>
      <c r="I530" t="s">
        <v>39</v>
      </c>
      <c r="J530" t="s">
        <v>44</v>
      </c>
      <c r="M530" t="s">
        <v>54</v>
      </c>
      <c r="N5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0" t="s">
        <v>57</v>
      </c>
      <c r="Q530" t="s">
        <v>59</v>
      </c>
      <c r="R530" t="s">
        <v>59</v>
      </c>
      <c r="S530" t="s">
        <v>59</v>
      </c>
      <c r="T530" t="s">
        <v>59</v>
      </c>
      <c r="V530" t="s">
        <v>59</v>
      </c>
      <c r="W530" t="s">
        <v>80</v>
      </c>
    </row>
    <row r="531" spans="2:23" x14ac:dyDescent="0.2">
      <c r="B531">
        <f t="shared" ca="1" si="8"/>
        <v>0</v>
      </c>
      <c r="E531">
        <v>1</v>
      </c>
      <c r="F531" t="s">
        <v>32</v>
      </c>
      <c r="I531" t="s">
        <v>39</v>
      </c>
      <c r="J531" t="s">
        <v>44</v>
      </c>
      <c r="M531" t="s">
        <v>54</v>
      </c>
      <c r="N5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1" t="s">
        <v>57</v>
      </c>
      <c r="Q531" t="s">
        <v>59</v>
      </c>
      <c r="R531" t="s">
        <v>59</v>
      </c>
      <c r="S531" t="s">
        <v>59</v>
      </c>
      <c r="T531" t="s">
        <v>59</v>
      </c>
      <c r="V531" t="s">
        <v>59</v>
      </c>
      <c r="W531" t="s">
        <v>80</v>
      </c>
    </row>
    <row r="532" spans="2:23" x14ac:dyDescent="0.2">
      <c r="B532">
        <f t="shared" ca="1" si="8"/>
        <v>0</v>
      </c>
      <c r="E532">
        <v>1</v>
      </c>
      <c r="F532" t="s">
        <v>32</v>
      </c>
      <c r="I532" t="s">
        <v>39</v>
      </c>
      <c r="J532" t="s">
        <v>44</v>
      </c>
      <c r="M532" t="s">
        <v>54</v>
      </c>
      <c r="N5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2" t="s">
        <v>57</v>
      </c>
      <c r="Q532" t="s">
        <v>59</v>
      </c>
      <c r="R532" t="s">
        <v>59</v>
      </c>
      <c r="S532" t="s">
        <v>59</v>
      </c>
      <c r="T532" t="s">
        <v>59</v>
      </c>
      <c r="V532" t="s">
        <v>59</v>
      </c>
      <c r="W532" t="s">
        <v>80</v>
      </c>
    </row>
    <row r="533" spans="2:23" x14ac:dyDescent="0.2">
      <c r="B533">
        <f t="shared" ca="1" si="8"/>
        <v>0</v>
      </c>
      <c r="E533">
        <v>1</v>
      </c>
      <c r="F533" t="s">
        <v>32</v>
      </c>
      <c r="I533" t="s">
        <v>39</v>
      </c>
      <c r="J533" t="s">
        <v>44</v>
      </c>
      <c r="M533" t="s">
        <v>54</v>
      </c>
      <c r="N5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3" t="s">
        <v>57</v>
      </c>
      <c r="Q533" t="s">
        <v>59</v>
      </c>
      <c r="R533" t="s">
        <v>59</v>
      </c>
      <c r="S533" t="s">
        <v>59</v>
      </c>
      <c r="T533" t="s">
        <v>59</v>
      </c>
      <c r="V533" t="s">
        <v>59</v>
      </c>
      <c r="W533" t="s">
        <v>80</v>
      </c>
    </row>
    <row r="534" spans="2:23" x14ac:dyDescent="0.2">
      <c r="B534">
        <f t="shared" ca="1" si="8"/>
        <v>0</v>
      </c>
      <c r="E534">
        <v>1</v>
      </c>
      <c r="F534" t="s">
        <v>32</v>
      </c>
      <c r="I534" t="s">
        <v>39</v>
      </c>
      <c r="J534" t="s">
        <v>44</v>
      </c>
      <c r="M534" t="s">
        <v>54</v>
      </c>
      <c r="N5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4" t="s">
        <v>57</v>
      </c>
      <c r="Q534" t="s">
        <v>59</v>
      </c>
      <c r="R534" t="s">
        <v>59</v>
      </c>
      <c r="S534" t="s">
        <v>59</v>
      </c>
      <c r="T534" t="s">
        <v>59</v>
      </c>
      <c r="V534" t="s">
        <v>59</v>
      </c>
      <c r="W534" t="s">
        <v>80</v>
      </c>
    </row>
    <row r="535" spans="2:23" x14ac:dyDescent="0.2">
      <c r="B535">
        <f t="shared" ca="1" si="8"/>
        <v>0</v>
      </c>
      <c r="E535">
        <v>1</v>
      </c>
      <c r="F535" t="s">
        <v>32</v>
      </c>
      <c r="I535" t="s">
        <v>39</v>
      </c>
      <c r="J535" t="s">
        <v>44</v>
      </c>
      <c r="M535" t="s">
        <v>54</v>
      </c>
      <c r="N5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5" t="s">
        <v>57</v>
      </c>
      <c r="Q535" t="s">
        <v>59</v>
      </c>
      <c r="R535" t="s">
        <v>59</v>
      </c>
      <c r="S535" t="s">
        <v>59</v>
      </c>
      <c r="T535" t="s">
        <v>59</v>
      </c>
      <c r="V535" t="s">
        <v>59</v>
      </c>
      <c r="W535" t="s">
        <v>80</v>
      </c>
    </row>
    <row r="536" spans="2:23" x14ac:dyDescent="0.2">
      <c r="B536">
        <f t="shared" ca="1" si="8"/>
        <v>0</v>
      </c>
      <c r="E536">
        <v>1</v>
      </c>
      <c r="F536" t="s">
        <v>32</v>
      </c>
      <c r="I536" t="s">
        <v>39</v>
      </c>
      <c r="J536" t="s">
        <v>44</v>
      </c>
      <c r="M536" t="s">
        <v>54</v>
      </c>
      <c r="N5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6" t="s">
        <v>57</v>
      </c>
      <c r="Q536" t="s">
        <v>59</v>
      </c>
      <c r="R536" t="s">
        <v>59</v>
      </c>
      <c r="S536" t="s">
        <v>59</v>
      </c>
      <c r="T536" t="s">
        <v>59</v>
      </c>
      <c r="V536" t="s">
        <v>59</v>
      </c>
      <c r="W536" t="s">
        <v>80</v>
      </c>
    </row>
    <row r="537" spans="2:23" x14ac:dyDescent="0.2">
      <c r="B537">
        <f t="shared" ca="1" si="8"/>
        <v>0</v>
      </c>
      <c r="E537">
        <v>1</v>
      </c>
      <c r="F537" t="s">
        <v>32</v>
      </c>
      <c r="I537" t="s">
        <v>39</v>
      </c>
      <c r="J537" t="s">
        <v>44</v>
      </c>
      <c r="M537" t="s">
        <v>54</v>
      </c>
      <c r="N5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7" t="s">
        <v>57</v>
      </c>
      <c r="Q537" t="s">
        <v>59</v>
      </c>
      <c r="R537" t="s">
        <v>59</v>
      </c>
      <c r="S537" t="s">
        <v>59</v>
      </c>
      <c r="T537" t="s">
        <v>59</v>
      </c>
      <c r="V537" t="s">
        <v>59</v>
      </c>
      <c r="W537" t="s">
        <v>80</v>
      </c>
    </row>
    <row r="538" spans="2:23" x14ac:dyDescent="0.2">
      <c r="B538">
        <f t="shared" ca="1" si="8"/>
        <v>0</v>
      </c>
      <c r="E538">
        <v>1</v>
      </c>
      <c r="F538" t="s">
        <v>32</v>
      </c>
      <c r="I538" t="s">
        <v>39</v>
      </c>
      <c r="J538" t="s">
        <v>44</v>
      </c>
      <c r="M538" t="s">
        <v>54</v>
      </c>
      <c r="N5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8" t="s">
        <v>57</v>
      </c>
      <c r="Q538" t="s">
        <v>59</v>
      </c>
      <c r="R538" t="s">
        <v>59</v>
      </c>
      <c r="S538" t="s">
        <v>59</v>
      </c>
      <c r="T538" t="s">
        <v>59</v>
      </c>
      <c r="V538" t="s">
        <v>59</v>
      </c>
      <c r="W538" t="s">
        <v>80</v>
      </c>
    </row>
    <row r="539" spans="2:23" x14ac:dyDescent="0.2">
      <c r="B539">
        <f t="shared" ca="1" si="8"/>
        <v>0</v>
      </c>
      <c r="E539">
        <v>1</v>
      </c>
      <c r="F539" t="s">
        <v>32</v>
      </c>
      <c r="I539" t="s">
        <v>39</v>
      </c>
      <c r="J539" t="s">
        <v>44</v>
      </c>
      <c r="M539" t="s">
        <v>54</v>
      </c>
      <c r="N5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39" t="s">
        <v>57</v>
      </c>
      <c r="Q539" t="s">
        <v>59</v>
      </c>
      <c r="R539" t="s">
        <v>59</v>
      </c>
      <c r="S539" t="s">
        <v>59</v>
      </c>
      <c r="T539" t="s">
        <v>59</v>
      </c>
      <c r="V539" t="s">
        <v>59</v>
      </c>
      <c r="W539" t="s">
        <v>80</v>
      </c>
    </row>
    <row r="540" spans="2:23" x14ac:dyDescent="0.2">
      <c r="B540">
        <f t="shared" ca="1" si="8"/>
        <v>0</v>
      </c>
      <c r="E540">
        <v>1</v>
      </c>
      <c r="F540" t="s">
        <v>32</v>
      </c>
      <c r="I540" t="s">
        <v>39</v>
      </c>
      <c r="J540" t="s">
        <v>44</v>
      </c>
      <c r="M540" t="s">
        <v>54</v>
      </c>
      <c r="N5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0" t="s">
        <v>57</v>
      </c>
      <c r="Q540" t="s">
        <v>59</v>
      </c>
      <c r="R540" t="s">
        <v>59</v>
      </c>
      <c r="S540" t="s">
        <v>59</v>
      </c>
      <c r="T540" t="s">
        <v>59</v>
      </c>
      <c r="V540" t="s">
        <v>59</v>
      </c>
      <c r="W540" t="s">
        <v>80</v>
      </c>
    </row>
    <row r="541" spans="2:23" x14ac:dyDescent="0.2">
      <c r="B541">
        <f t="shared" ca="1" si="8"/>
        <v>0</v>
      </c>
      <c r="E541">
        <v>1</v>
      </c>
      <c r="F541" t="s">
        <v>32</v>
      </c>
      <c r="I541" t="s">
        <v>39</v>
      </c>
      <c r="J541" t="s">
        <v>44</v>
      </c>
      <c r="M541" t="s">
        <v>54</v>
      </c>
      <c r="N5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1" t="s">
        <v>57</v>
      </c>
      <c r="Q541" t="s">
        <v>59</v>
      </c>
      <c r="R541" t="s">
        <v>59</v>
      </c>
      <c r="S541" t="s">
        <v>59</v>
      </c>
      <c r="T541" t="s">
        <v>59</v>
      </c>
      <c r="V541" t="s">
        <v>59</v>
      </c>
      <c r="W541" t="s">
        <v>80</v>
      </c>
    </row>
    <row r="542" spans="2:23" x14ac:dyDescent="0.2">
      <c r="B542">
        <f t="shared" ca="1" si="8"/>
        <v>0</v>
      </c>
      <c r="E542">
        <v>1</v>
      </c>
      <c r="F542" t="s">
        <v>32</v>
      </c>
      <c r="I542" t="s">
        <v>39</v>
      </c>
      <c r="J542" t="s">
        <v>44</v>
      </c>
      <c r="M542" t="s">
        <v>54</v>
      </c>
      <c r="N5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2" t="s">
        <v>57</v>
      </c>
      <c r="Q542" t="s">
        <v>59</v>
      </c>
      <c r="R542" t="s">
        <v>59</v>
      </c>
      <c r="S542" t="s">
        <v>59</v>
      </c>
      <c r="T542" t="s">
        <v>59</v>
      </c>
      <c r="V542" t="s">
        <v>59</v>
      </c>
      <c r="W542" t="s">
        <v>80</v>
      </c>
    </row>
    <row r="543" spans="2:23" x14ac:dyDescent="0.2">
      <c r="B543">
        <f t="shared" ca="1" si="8"/>
        <v>0</v>
      </c>
      <c r="E543">
        <v>1</v>
      </c>
      <c r="F543" t="s">
        <v>32</v>
      </c>
      <c r="I543" t="s">
        <v>39</v>
      </c>
      <c r="J543" t="s">
        <v>44</v>
      </c>
      <c r="M543" t="s">
        <v>54</v>
      </c>
      <c r="N5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3" t="s">
        <v>57</v>
      </c>
      <c r="Q543" t="s">
        <v>59</v>
      </c>
      <c r="R543" t="s">
        <v>59</v>
      </c>
      <c r="S543" t="s">
        <v>59</v>
      </c>
      <c r="T543" t="s">
        <v>59</v>
      </c>
      <c r="V543" t="s">
        <v>59</v>
      </c>
      <c r="W543" t="s">
        <v>80</v>
      </c>
    </row>
    <row r="544" spans="2:23" x14ac:dyDescent="0.2">
      <c r="B544">
        <f t="shared" ca="1" si="8"/>
        <v>0</v>
      </c>
      <c r="E544">
        <v>1</v>
      </c>
      <c r="F544" t="s">
        <v>32</v>
      </c>
      <c r="I544" t="s">
        <v>39</v>
      </c>
      <c r="J544" t="s">
        <v>44</v>
      </c>
      <c r="M544" t="s">
        <v>54</v>
      </c>
      <c r="N5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4" t="s">
        <v>57</v>
      </c>
      <c r="Q544" t="s">
        <v>59</v>
      </c>
      <c r="R544" t="s">
        <v>59</v>
      </c>
      <c r="S544" t="s">
        <v>59</v>
      </c>
      <c r="T544" t="s">
        <v>59</v>
      </c>
      <c r="V544" t="s">
        <v>59</v>
      </c>
      <c r="W544" t="s">
        <v>80</v>
      </c>
    </row>
    <row r="545" spans="2:23" x14ac:dyDescent="0.2">
      <c r="B545">
        <f t="shared" ca="1" si="8"/>
        <v>0</v>
      </c>
      <c r="E545">
        <v>1</v>
      </c>
      <c r="F545" t="s">
        <v>32</v>
      </c>
      <c r="I545" t="s">
        <v>39</v>
      </c>
      <c r="J545" t="s">
        <v>44</v>
      </c>
      <c r="M545" t="s">
        <v>54</v>
      </c>
      <c r="N5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5" t="s">
        <v>57</v>
      </c>
      <c r="Q545" t="s">
        <v>59</v>
      </c>
      <c r="R545" t="s">
        <v>59</v>
      </c>
      <c r="S545" t="s">
        <v>59</v>
      </c>
      <c r="T545" t="s">
        <v>59</v>
      </c>
      <c r="V545" t="s">
        <v>59</v>
      </c>
      <c r="W545" t="s">
        <v>80</v>
      </c>
    </row>
    <row r="546" spans="2:23" x14ac:dyDescent="0.2">
      <c r="B546">
        <f t="shared" ca="1" si="8"/>
        <v>0</v>
      </c>
      <c r="E546">
        <v>1</v>
      </c>
      <c r="F546" t="s">
        <v>32</v>
      </c>
      <c r="I546" t="s">
        <v>39</v>
      </c>
      <c r="J546" t="s">
        <v>44</v>
      </c>
      <c r="M546" t="s">
        <v>54</v>
      </c>
      <c r="N5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6" t="s">
        <v>57</v>
      </c>
      <c r="Q546" t="s">
        <v>59</v>
      </c>
      <c r="R546" t="s">
        <v>59</v>
      </c>
      <c r="S546" t="s">
        <v>59</v>
      </c>
      <c r="T546" t="s">
        <v>59</v>
      </c>
      <c r="V546" t="s">
        <v>59</v>
      </c>
      <c r="W546" t="s">
        <v>80</v>
      </c>
    </row>
    <row r="547" spans="2:23" x14ac:dyDescent="0.2">
      <c r="B547">
        <f t="shared" ca="1" si="8"/>
        <v>0</v>
      </c>
      <c r="E547">
        <v>1</v>
      </c>
      <c r="F547" t="s">
        <v>32</v>
      </c>
      <c r="I547" t="s">
        <v>39</v>
      </c>
      <c r="J547" t="s">
        <v>44</v>
      </c>
      <c r="M547" t="s">
        <v>54</v>
      </c>
      <c r="N5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7" t="s">
        <v>57</v>
      </c>
      <c r="Q547" t="s">
        <v>59</v>
      </c>
      <c r="R547" t="s">
        <v>59</v>
      </c>
      <c r="S547" t="s">
        <v>59</v>
      </c>
      <c r="T547" t="s">
        <v>59</v>
      </c>
      <c r="V547" t="s">
        <v>59</v>
      </c>
      <c r="W547" t="s">
        <v>80</v>
      </c>
    </row>
    <row r="548" spans="2:23" x14ac:dyDescent="0.2">
      <c r="B548">
        <f t="shared" ca="1" si="8"/>
        <v>0</v>
      </c>
      <c r="E548">
        <v>1</v>
      </c>
      <c r="F548" t="s">
        <v>32</v>
      </c>
      <c r="I548" t="s">
        <v>39</v>
      </c>
      <c r="J548" t="s">
        <v>44</v>
      </c>
      <c r="M548" t="s">
        <v>54</v>
      </c>
      <c r="N5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8" t="s">
        <v>57</v>
      </c>
      <c r="Q548" t="s">
        <v>59</v>
      </c>
      <c r="R548" t="s">
        <v>59</v>
      </c>
      <c r="S548" t="s">
        <v>59</v>
      </c>
      <c r="T548" t="s">
        <v>59</v>
      </c>
      <c r="V548" t="s">
        <v>59</v>
      </c>
      <c r="W548" t="s">
        <v>80</v>
      </c>
    </row>
    <row r="549" spans="2:23" x14ac:dyDescent="0.2">
      <c r="B549">
        <f t="shared" ca="1" si="8"/>
        <v>0</v>
      </c>
      <c r="E549">
        <v>1</v>
      </c>
      <c r="F549" t="s">
        <v>32</v>
      </c>
      <c r="I549" t="s">
        <v>39</v>
      </c>
      <c r="J549" t="s">
        <v>44</v>
      </c>
      <c r="M549" t="s">
        <v>54</v>
      </c>
      <c r="N5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49" t="s">
        <v>57</v>
      </c>
      <c r="Q549" t="s">
        <v>59</v>
      </c>
      <c r="R549" t="s">
        <v>59</v>
      </c>
      <c r="S549" t="s">
        <v>59</v>
      </c>
      <c r="T549" t="s">
        <v>59</v>
      </c>
      <c r="V549" t="s">
        <v>59</v>
      </c>
      <c r="W549" t="s">
        <v>80</v>
      </c>
    </row>
    <row r="550" spans="2:23" x14ac:dyDescent="0.2">
      <c r="B550">
        <f t="shared" ca="1" si="8"/>
        <v>0</v>
      </c>
      <c r="E550">
        <v>1</v>
      </c>
      <c r="F550" t="s">
        <v>32</v>
      </c>
      <c r="I550" t="s">
        <v>39</v>
      </c>
      <c r="J550" t="s">
        <v>44</v>
      </c>
      <c r="M550" t="s">
        <v>54</v>
      </c>
      <c r="N5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0" t="s">
        <v>57</v>
      </c>
      <c r="Q550" t="s">
        <v>59</v>
      </c>
      <c r="R550" t="s">
        <v>59</v>
      </c>
      <c r="S550" t="s">
        <v>59</v>
      </c>
      <c r="T550" t="s">
        <v>59</v>
      </c>
      <c r="V550" t="s">
        <v>59</v>
      </c>
      <c r="W550" t="s">
        <v>80</v>
      </c>
    </row>
    <row r="551" spans="2:23" x14ac:dyDescent="0.2">
      <c r="B551">
        <f t="shared" ca="1" si="8"/>
        <v>0</v>
      </c>
      <c r="E551">
        <v>1</v>
      </c>
      <c r="F551" t="s">
        <v>32</v>
      </c>
      <c r="I551" t="s">
        <v>39</v>
      </c>
      <c r="J551" t="s">
        <v>44</v>
      </c>
      <c r="M551" t="s">
        <v>54</v>
      </c>
      <c r="N5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1" t="s">
        <v>57</v>
      </c>
      <c r="Q551" t="s">
        <v>59</v>
      </c>
      <c r="R551" t="s">
        <v>59</v>
      </c>
      <c r="S551" t="s">
        <v>59</v>
      </c>
      <c r="T551" t="s">
        <v>59</v>
      </c>
      <c r="V551" t="s">
        <v>59</v>
      </c>
      <c r="W551" t="s">
        <v>80</v>
      </c>
    </row>
    <row r="552" spans="2:23" x14ac:dyDescent="0.2">
      <c r="B552">
        <f t="shared" ca="1" si="8"/>
        <v>0</v>
      </c>
      <c r="E552">
        <v>1</v>
      </c>
      <c r="F552" t="s">
        <v>32</v>
      </c>
      <c r="I552" t="s">
        <v>39</v>
      </c>
      <c r="J552" t="s">
        <v>44</v>
      </c>
      <c r="M552" t="s">
        <v>54</v>
      </c>
      <c r="N5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2" t="s">
        <v>57</v>
      </c>
      <c r="Q552" t="s">
        <v>59</v>
      </c>
      <c r="R552" t="s">
        <v>59</v>
      </c>
      <c r="S552" t="s">
        <v>59</v>
      </c>
      <c r="T552" t="s">
        <v>59</v>
      </c>
      <c r="V552" t="s">
        <v>59</v>
      </c>
      <c r="W552" t="s">
        <v>80</v>
      </c>
    </row>
    <row r="553" spans="2:23" x14ac:dyDescent="0.2">
      <c r="B553">
        <f t="shared" ca="1" si="8"/>
        <v>0</v>
      </c>
      <c r="E553">
        <v>1</v>
      </c>
      <c r="F553" t="s">
        <v>32</v>
      </c>
      <c r="I553" t="s">
        <v>39</v>
      </c>
      <c r="J553" t="s">
        <v>44</v>
      </c>
      <c r="M553" t="s">
        <v>54</v>
      </c>
      <c r="N5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3" t="s">
        <v>57</v>
      </c>
      <c r="Q553" t="s">
        <v>59</v>
      </c>
      <c r="R553" t="s">
        <v>59</v>
      </c>
      <c r="S553" t="s">
        <v>59</v>
      </c>
      <c r="T553" t="s">
        <v>59</v>
      </c>
      <c r="V553" t="s">
        <v>59</v>
      </c>
      <c r="W553" t="s">
        <v>80</v>
      </c>
    </row>
    <row r="554" spans="2:23" x14ac:dyDescent="0.2">
      <c r="B554">
        <f t="shared" ca="1" si="8"/>
        <v>0</v>
      </c>
      <c r="E554">
        <v>1</v>
      </c>
      <c r="F554" t="s">
        <v>32</v>
      </c>
      <c r="I554" t="s">
        <v>39</v>
      </c>
      <c r="J554" t="s">
        <v>44</v>
      </c>
      <c r="M554" t="s">
        <v>54</v>
      </c>
      <c r="N5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4" t="s">
        <v>57</v>
      </c>
      <c r="Q554" t="s">
        <v>59</v>
      </c>
      <c r="R554" t="s">
        <v>59</v>
      </c>
      <c r="S554" t="s">
        <v>59</v>
      </c>
      <c r="T554" t="s">
        <v>59</v>
      </c>
      <c r="V554" t="s">
        <v>59</v>
      </c>
      <c r="W554" t="s">
        <v>80</v>
      </c>
    </row>
    <row r="555" spans="2:23" x14ac:dyDescent="0.2">
      <c r="B555">
        <f t="shared" ca="1" si="8"/>
        <v>0</v>
      </c>
      <c r="E555">
        <v>1</v>
      </c>
      <c r="F555" t="s">
        <v>32</v>
      </c>
      <c r="I555" t="s">
        <v>39</v>
      </c>
      <c r="J555" t="s">
        <v>44</v>
      </c>
      <c r="M555" t="s">
        <v>54</v>
      </c>
      <c r="N5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5" t="s">
        <v>57</v>
      </c>
      <c r="Q555" t="s">
        <v>59</v>
      </c>
      <c r="R555" t="s">
        <v>59</v>
      </c>
      <c r="S555" t="s">
        <v>59</v>
      </c>
      <c r="T555" t="s">
        <v>59</v>
      </c>
      <c r="V555" t="s">
        <v>59</v>
      </c>
      <c r="W555" t="s">
        <v>80</v>
      </c>
    </row>
    <row r="556" spans="2:23" x14ac:dyDescent="0.2">
      <c r="B556">
        <f t="shared" ca="1" si="8"/>
        <v>0</v>
      </c>
      <c r="E556">
        <v>1</v>
      </c>
      <c r="F556" t="s">
        <v>32</v>
      </c>
      <c r="I556" t="s">
        <v>39</v>
      </c>
      <c r="J556" t="s">
        <v>44</v>
      </c>
      <c r="M556" t="s">
        <v>54</v>
      </c>
      <c r="N5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6" t="s">
        <v>57</v>
      </c>
      <c r="Q556" t="s">
        <v>59</v>
      </c>
      <c r="R556" t="s">
        <v>59</v>
      </c>
      <c r="S556" t="s">
        <v>59</v>
      </c>
      <c r="T556" t="s">
        <v>59</v>
      </c>
      <c r="V556" t="s">
        <v>59</v>
      </c>
      <c r="W556" t="s">
        <v>80</v>
      </c>
    </row>
    <row r="557" spans="2:23" x14ac:dyDescent="0.2">
      <c r="B557">
        <f t="shared" ca="1" si="8"/>
        <v>0</v>
      </c>
      <c r="E557">
        <v>1</v>
      </c>
      <c r="F557" t="s">
        <v>32</v>
      </c>
      <c r="I557" t="s">
        <v>39</v>
      </c>
      <c r="J557" t="s">
        <v>44</v>
      </c>
      <c r="M557" t="s">
        <v>54</v>
      </c>
      <c r="N5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7" t="s">
        <v>57</v>
      </c>
      <c r="Q557" t="s">
        <v>59</v>
      </c>
      <c r="R557" t="s">
        <v>59</v>
      </c>
      <c r="S557" t="s">
        <v>59</v>
      </c>
      <c r="T557" t="s">
        <v>59</v>
      </c>
      <c r="V557" t="s">
        <v>59</v>
      </c>
      <c r="W557" t="s">
        <v>80</v>
      </c>
    </row>
    <row r="558" spans="2:23" x14ac:dyDescent="0.2">
      <c r="B558">
        <f t="shared" ca="1" si="8"/>
        <v>0</v>
      </c>
      <c r="E558">
        <v>1</v>
      </c>
      <c r="F558" t="s">
        <v>32</v>
      </c>
      <c r="I558" t="s">
        <v>39</v>
      </c>
      <c r="J558" t="s">
        <v>44</v>
      </c>
      <c r="M558" t="s">
        <v>54</v>
      </c>
      <c r="N5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8" t="s">
        <v>57</v>
      </c>
      <c r="Q558" t="s">
        <v>59</v>
      </c>
      <c r="R558" t="s">
        <v>59</v>
      </c>
      <c r="S558" t="s">
        <v>59</v>
      </c>
      <c r="T558" t="s">
        <v>59</v>
      </c>
      <c r="V558" t="s">
        <v>59</v>
      </c>
      <c r="W558" t="s">
        <v>80</v>
      </c>
    </row>
    <row r="559" spans="2:23" x14ac:dyDescent="0.2">
      <c r="B559">
        <f t="shared" ca="1" si="8"/>
        <v>0</v>
      </c>
      <c r="E559">
        <v>1</v>
      </c>
      <c r="F559" t="s">
        <v>32</v>
      </c>
      <c r="I559" t="s">
        <v>39</v>
      </c>
      <c r="J559" t="s">
        <v>44</v>
      </c>
      <c r="M559" t="s">
        <v>54</v>
      </c>
      <c r="N5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59" t="s">
        <v>57</v>
      </c>
      <c r="Q559" t="s">
        <v>59</v>
      </c>
      <c r="R559" t="s">
        <v>59</v>
      </c>
      <c r="S559" t="s">
        <v>59</v>
      </c>
      <c r="T559" t="s">
        <v>59</v>
      </c>
      <c r="V559" t="s">
        <v>59</v>
      </c>
      <c r="W559" t="s">
        <v>80</v>
      </c>
    </row>
    <row r="560" spans="2:23" x14ac:dyDescent="0.2">
      <c r="B560">
        <f t="shared" ca="1" si="8"/>
        <v>0</v>
      </c>
      <c r="E560">
        <v>1</v>
      </c>
      <c r="F560" t="s">
        <v>32</v>
      </c>
      <c r="I560" t="s">
        <v>39</v>
      </c>
      <c r="J560" t="s">
        <v>44</v>
      </c>
      <c r="M560" t="s">
        <v>54</v>
      </c>
      <c r="N5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0" t="s">
        <v>57</v>
      </c>
      <c r="Q560" t="s">
        <v>59</v>
      </c>
      <c r="R560" t="s">
        <v>59</v>
      </c>
      <c r="S560" t="s">
        <v>59</v>
      </c>
      <c r="T560" t="s">
        <v>59</v>
      </c>
      <c r="V560" t="s">
        <v>59</v>
      </c>
      <c r="W560" t="s">
        <v>80</v>
      </c>
    </row>
    <row r="561" spans="2:23" x14ac:dyDescent="0.2">
      <c r="B561">
        <f t="shared" ca="1" si="8"/>
        <v>0</v>
      </c>
      <c r="E561">
        <v>1</v>
      </c>
      <c r="F561" t="s">
        <v>32</v>
      </c>
      <c r="I561" t="s">
        <v>39</v>
      </c>
      <c r="J561" t="s">
        <v>44</v>
      </c>
      <c r="M561" t="s">
        <v>54</v>
      </c>
      <c r="N5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1" t="s">
        <v>57</v>
      </c>
      <c r="Q561" t="s">
        <v>59</v>
      </c>
      <c r="R561" t="s">
        <v>59</v>
      </c>
      <c r="S561" t="s">
        <v>59</v>
      </c>
      <c r="T561" t="s">
        <v>59</v>
      </c>
      <c r="V561" t="s">
        <v>59</v>
      </c>
      <c r="W561" t="s">
        <v>80</v>
      </c>
    </row>
    <row r="562" spans="2:23" x14ac:dyDescent="0.2">
      <c r="B562">
        <f t="shared" ca="1" si="8"/>
        <v>0</v>
      </c>
      <c r="E562">
        <v>1</v>
      </c>
      <c r="F562" t="s">
        <v>32</v>
      </c>
      <c r="I562" t="s">
        <v>39</v>
      </c>
      <c r="J562" t="s">
        <v>44</v>
      </c>
      <c r="M562" t="s">
        <v>54</v>
      </c>
      <c r="N5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2" t="s">
        <v>57</v>
      </c>
      <c r="Q562" t="s">
        <v>59</v>
      </c>
      <c r="R562" t="s">
        <v>59</v>
      </c>
      <c r="S562" t="s">
        <v>59</v>
      </c>
      <c r="T562" t="s">
        <v>59</v>
      </c>
      <c r="V562" t="s">
        <v>59</v>
      </c>
      <c r="W562" t="s">
        <v>80</v>
      </c>
    </row>
    <row r="563" spans="2:23" x14ac:dyDescent="0.2">
      <c r="B563">
        <f t="shared" ca="1" si="8"/>
        <v>0</v>
      </c>
      <c r="E563">
        <v>1</v>
      </c>
      <c r="F563" t="s">
        <v>32</v>
      </c>
      <c r="I563" t="s">
        <v>39</v>
      </c>
      <c r="J563" t="s">
        <v>44</v>
      </c>
      <c r="M563" t="s">
        <v>54</v>
      </c>
      <c r="N5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3" t="s">
        <v>57</v>
      </c>
      <c r="Q563" t="s">
        <v>59</v>
      </c>
      <c r="R563" t="s">
        <v>59</v>
      </c>
      <c r="S563" t="s">
        <v>59</v>
      </c>
      <c r="T563" t="s">
        <v>59</v>
      </c>
      <c r="V563" t="s">
        <v>59</v>
      </c>
      <c r="W563" t="s">
        <v>80</v>
      </c>
    </row>
    <row r="564" spans="2:23" x14ac:dyDescent="0.2">
      <c r="B564">
        <f t="shared" ca="1" si="8"/>
        <v>0</v>
      </c>
      <c r="E564">
        <v>1</v>
      </c>
      <c r="F564" t="s">
        <v>32</v>
      </c>
      <c r="I564" t="s">
        <v>39</v>
      </c>
      <c r="J564" t="s">
        <v>44</v>
      </c>
      <c r="M564" t="s">
        <v>54</v>
      </c>
      <c r="N5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4" t="s">
        <v>57</v>
      </c>
      <c r="Q564" t="s">
        <v>59</v>
      </c>
      <c r="R564" t="s">
        <v>59</v>
      </c>
      <c r="S564" t="s">
        <v>59</v>
      </c>
      <c r="T564" t="s">
        <v>59</v>
      </c>
      <c r="V564" t="s">
        <v>59</v>
      </c>
      <c r="W564" t="s">
        <v>80</v>
      </c>
    </row>
    <row r="565" spans="2:23" x14ac:dyDescent="0.2">
      <c r="B565">
        <f t="shared" ca="1" si="8"/>
        <v>0</v>
      </c>
      <c r="E565">
        <v>1</v>
      </c>
      <c r="F565" t="s">
        <v>32</v>
      </c>
      <c r="I565" t="s">
        <v>39</v>
      </c>
      <c r="J565" t="s">
        <v>44</v>
      </c>
      <c r="M565" t="s">
        <v>54</v>
      </c>
      <c r="N5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5" t="s">
        <v>57</v>
      </c>
      <c r="Q565" t="s">
        <v>59</v>
      </c>
      <c r="R565" t="s">
        <v>59</v>
      </c>
      <c r="S565" t="s">
        <v>59</v>
      </c>
      <c r="T565" t="s">
        <v>59</v>
      </c>
      <c r="V565" t="s">
        <v>59</v>
      </c>
      <c r="W565" t="s">
        <v>80</v>
      </c>
    </row>
    <row r="566" spans="2:23" x14ac:dyDescent="0.2">
      <c r="B566">
        <f t="shared" ca="1" si="8"/>
        <v>0</v>
      </c>
      <c r="E566">
        <v>1</v>
      </c>
      <c r="F566" t="s">
        <v>32</v>
      </c>
      <c r="I566" t="s">
        <v>39</v>
      </c>
      <c r="J566" t="s">
        <v>44</v>
      </c>
      <c r="M566" t="s">
        <v>54</v>
      </c>
      <c r="N5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6" t="s">
        <v>57</v>
      </c>
      <c r="Q566" t="s">
        <v>59</v>
      </c>
      <c r="R566" t="s">
        <v>59</v>
      </c>
      <c r="S566" t="s">
        <v>59</v>
      </c>
      <c r="T566" t="s">
        <v>59</v>
      </c>
      <c r="V566" t="s">
        <v>59</v>
      </c>
      <c r="W566" t="s">
        <v>80</v>
      </c>
    </row>
    <row r="567" spans="2:23" x14ac:dyDescent="0.2">
      <c r="B567">
        <f t="shared" ca="1" si="8"/>
        <v>0</v>
      </c>
      <c r="E567">
        <v>1</v>
      </c>
      <c r="F567" t="s">
        <v>32</v>
      </c>
      <c r="I567" t="s">
        <v>39</v>
      </c>
      <c r="J567" t="s">
        <v>44</v>
      </c>
      <c r="M567" t="s">
        <v>54</v>
      </c>
      <c r="N5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7" t="s">
        <v>57</v>
      </c>
      <c r="Q567" t="s">
        <v>59</v>
      </c>
      <c r="R567" t="s">
        <v>59</v>
      </c>
      <c r="S567" t="s">
        <v>59</v>
      </c>
      <c r="T567" t="s">
        <v>59</v>
      </c>
      <c r="V567" t="s">
        <v>59</v>
      </c>
      <c r="W567" t="s">
        <v>80</v>
      </c>
    </row>
    <row r="568" spans="2:23" x14ac:dyDescent="0.2">
      <c r="B568">
        <f t="shared" ca="1" si="8"/>
        <v>0</v>
      </c>
      <c r="E568">
        <v>1</v>
      </c>
      <c r="F568" t="s">
        <v>32</v>
      </c>
      <c r="I568" t="s">
        <v>39</v>
      </c>
      <c r="J568" t="s">
        <v>44</v>
      </c>
      <c r="M568" t="s">
        <v>54</v>
      </c>
      <c r="N5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8" t="s">
        <v>57</v>
      </c>
      <c r="Q568" t="s">
        <v>59</v>
      </c>
      <c r="R568" t="s">
        <v>59</v>
      </c>
      <c r="S568" t="s">
        <v>59</v>
      </c>
      <c r="T568" t="s">
        <v>59</v>
      </c>
      <c r="V568" t="s">
        <v>59</v>
      </c>
      <c r="W568" t="s">
        <v>80</v>
      </c>
    </row>
    <row r="569" spans="2:23" x14ac:dyDescent="0.2">
      <c r="B569">
        <f t="shared" ca="1" si="8"/>
        <v>0</v>
      </c>
      <c r="E569">
        <v>1</v>
      </c>
      <c r="F569" t="s">
        <v>32</v>
      </c>
      <c r="I569" t="s">
        <v>39</v>
      </c>
      <c r="J569" t="s">
        <v>44</v>
      </c>
      <c r="M569" t="s">
        <v>54</v>
      </c>
      <c r="N5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69" t="s">
        <v>57</v>
      </c>
      <c r="Q569" t="s">
        <v>59</v>
      </c>
      <c r="R569" t="s">
        <v>59</v>
      </c>
      <c r="S569" t="s">
        <v>59</v>
      </c>
      <c r="T569" t="s">
        <v>59</v>
      </c>
      <c r="V569" t="s">
        <v>59</v>
      </c>
      <c r="W569" t="s">
        <v>80</v>
      </c>
    </row>
    <row r="570" spans="2:23" x14ac:dyDescent="0.2">
      <c r="B570">
        <f t="shared" ca="1" si="8"/>
        <v>0</v>
      </c>
      <c r="E570">
        <v>1</v>
      </c>
      <c r="F570" t="s">
        <v>32</v>
      </c>
      <c r="I570" t="s">
        <v>39</v>
      </c>
      <c r="J570" t="s">
        <v>44</v>
      </c>
      <c r="M570" t="s">
        <v>54</v>
      </c>
      <c r="N5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0" t="s">
        <v>57</v>
      </c>
      <c r="Q570" t="s">
        <v>59</v>
      </c>
      <c r="R570" t="s">
        <v>59</v>
      </c>
      <c r="S570" t="s">
        <v>59</v>
      </c>
      <c r="T570" t="s">
        <v>59</v>
      </c>
      <c r="V570" t="s">
        <v>59</v>
      </c>
      <c r="W570" t="s">
        <v>80</v>
      </c>
    </row>
    <row r="571" spans="2:23" x14ac:dyDescent="0.2">
      <c r="B571">
        <f t="shared" ca="1" si="8"/>
        <v>0</v>
      </c>
      <c r="E571">
        <v>1</v>
      </c>
      <c r="F571" t="s">
        <v>32</v>
      </c>
      <c r="I571" t="s">
        <v>39</v>
      </c>
      <c r="J571" t="s">
        <v>44</v>
      </c>
      <c r="M571" t="s">
        <v>54</v>
      </c>
      <c r="N5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1" t="s">
        <v>57</v>
      </c>
      <c r="Q571" t="s">
        <v>59</v>
      </c>
      <c r="R571" t="s">
        <v>59</v>
      </c>
      <c r="S571" t="s">
        <v>59</v>
      </c>
      <c r="T571" t="s">
        <v>59</v>
      </c>
      <c r="V571" t="s">
        <v>59</v>
      </c>
      <c r="W571" t="s">
        <v>80</v>
      </c>
    </row>
    <row r="572" spans="2:23" x14ac:dyDescent="0.2">
      <c r="B572">
        <f t="shared" ca="1" si="8"/>
        <v>0</v>
      </c>
      <c r="E572">
        <v>1</v>
      </c>
      <c r="F572" t="s">
        <v>32</v>
      </c>
      <c r="I572" t="s">
        <v>39</v>
      </c>
      <c r="J572" t="s">
        <v>44</v>
      </c>
      <c r="M572" t="s">
        <v>54</v>
      </c>
      <c r="N5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2" t="s">
        <v>57</v>
      </c>
      <c r="Q572" t="s">
        <v>59</v>
      </c>
      <c r="R572" t="s">
        <v>59</v>
      </c>
      <c r="S572" t="s">
        <v>59</v>
      </c>
      <c r="T572" t="s">
        <v>59</v>
      </c>
      <c r="V572" t="s">
        <v>59</v>
      </c>
      <c r="W572" t="s">
        <v>80</v>
      </c>
    </row>
    <row r="573" spans="2:23" x14ac:dyDescent="0.2">
      <c r="B573">
        <f t="shared" ca="1" si="8"/>
        <v>0</v>
      </c>
      <c r="E573">
        <v>1</v>
      </c>
      <c r="F573" t="s">
        <v>32</v>
      </c>
      <c r="I573" t="s">
        <v>39</v>
      </c>
      <c r="J573" t="s">
        <v>44</v>
      </c>
      <c r="M573" t="s">
        <v>54</v>
      </c>
      <c r="N5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3" t="s">
        <v>57</v>
      </c>
      <c r="Q573" t="s">
        <v>59</v>
      </c>
      <c r="R573" t="s">
        <v>59</v>
      </c>
      <c r="S573" t="s">
        <v>59</v>
      </c>
      <c r="T573" t="s">
        <v>59</v>
      </c>
      <c r="V573" t="s">
        <v>59</v>
      </c>
      <c r="W573" t="s">
        <v>80</v>
      </c>
    </row>
    <row r="574" spans="2:23" x14ac:dyDescent="0.2">
      <c r="B574">
        <f t="shared" ca="1" si="8"/>
        <v>0</v>
      </c>
      <c r="E574">
        <v>1</v>
      </c>
      <c r="F574" t="s">
        <v>32</v>
      </c>
      <c r="I574" t="s">
        <v>39</v>
      </c>
      <c r="J574" t="s">
        <v>44</v>
      </c>
      <c r="M574" t="s">
        <v>54</v>
      </c>
      <c r="N5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4" t="s">
        <v>57</v>
      </c>
      <c r="Q574" t="s">
        <v>59</v>
      </c>
      <c r="R574" t="s">
        <v>59</v>
      </c>
      <c r="S574" t="s">
        <v>59</v>
      </c>
      <c r="T574" t="s">
        <v>59</v>
      </c>
      <c r="V574" t="s">
        <v>59</v>
      </c>
      <c r="W574" t="s">
        <v>80</v>
      </c>
    </row>
    <row r="575" spans="2:23" x14ac:dyDescent="0.2">
      <c r="B575">
        <f t="shared" ca="1" si="8"/>
        <v>0</v>
      </c>
      <c r="E575">
        <v>1</v>
      </c>
      <c r="F575" t="s">
        <v>32</v>
      </c>
      <c r="I575" t="s">
        <v>39</v>
      </c>
      <c r="J575" t="s">
        <v>44</v>
      </c>
      <c r="M575" t="s">
        <v>54</v>
      </c>
      <c r="N5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5" t="s">
        <v>57</v>
      </c>
      <c r="Q575" t="s">
        <v>59</v>
      </c>
      <c r="R575" t="s">
        <v>59</v>
      </c>
      <c r="S575" t="s">
        <v>59</v>
      </c>
      <c r="T575" t="s">
        <v>59</v>
      </c>
      <c r="V575" t="s">
        <v>59</v>
      </c>
      <c r="W575" t="s">
        <v>80</v>
      </c>
    </row>
    <row r="576" spans="2:23" x14ac:dyDescent="0.2">
      <c r="B576">
        <f t="shared" ca="1" si="8"/>
        <v>0</v>
      </c>
      <c r="E576">
        <v>1</v>
      </c>
      <c r="F576" t="s">
        <v>32</v>
      </c>
      <c r="I576" t="s">
        <v>39</v>
      </c>
      <c r="J576" t="s">
        <v>44</v>
      </c>
      <c r="M576" t="s">
        <v>54</v>
      </c>
      <c r="N5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6" t="s">
        <v>57</v>
      </c>
      <c r="Q576" t="s">
        <v>59</v>
      </c>
      <c r="R576" t="s">
        <v>59</v>
      </c>
      <c r="S576" t="s">
        <v>59</v>
      </c>
      <c r="T576" t="s">
        <v>59</v>
      </c>
      <c r="V576" t="s">
        <v>59</v>
      </c>
      <c r="W576" t="s">
        <v>80</v>
      </c>
    </row>
    <row r="577" spans="2:23" x14ac:dyDescent="0.2">
      <c r="B577">
        <f t="shared" ca="1" si="8"/>
        <v>0</v>
      </c>
      <c r="E577">
        <v>1</v>
      </c>
      <c r="F577" t="s">
        <v>32</v>
      </c>
      <c r="I577" t="s">
        <v>39</v>
      </c>
      <c r="J577" t="s">
        <v>44</v>
      </c>
      <c r="M577" t="s">
        <v>54</v>
      </c>
      <c r="N5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7" t="s">
        <v>57</v>
      </c>
      <c r="Q577" t="s">
        <v>59</v>
      </c>
      <c r="R577" t="s">
        <v>59</v>
      </c>
      <c r="S577" t="s">
        <v>59</v>
      </c>
      <c r="T577" t="s">
        <v>59</v>
      </c>
      <c r="V577" t="s">
        <v>59</v>
      </c>
      <c r="W577" t="s">
        <v>80</v>
      </c>
    </row>
    <row r="578" spans="2:23" x14ac:dyDescent="0.2">
      <c r="B578">
        <f t="shared" ca="1" si="8"/>
        <v>0</v>
      </c>
      <c r="E578">
        <v>1</v>
      </c>
      <c r="F578" t="s">
        <v>32</v>
      </c>
      <c r="I578" t="s">
        <v>39</v>
      </c>
      <c r="J578" t="s">
        <v>44</v>
      </c>
      <c r="M578" t="s">
        <v>54</v>
      </c>
      <c r="N5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8" t="s">
        <v>57</v>
      </c>
      <c r="Q578" t="s">
        <v>59</v>
      </c>
      <c r="R578" t="s">
        <v>59</v>
      </c>
      <c r="S578" t="s">
        <v>59</v>
      </c>
      <c r="T578" t="s">
        <v>59</v>
      </c>
      <c r="V578" t="s">
        <v>59</v>
      </c>
      <c r="W578" t="s">
        <v>80</v>
      </c>
    </row>
    <row r="579" spans="2:23" x14ac:dyDescent="0.2">
      <c r="B579">
        <f t="shared" ca="1" si="8"/>
        <v>0</v>
      </c>
      <c r="E579">
        <v>1</v>
      </c>
      <c r="F579" t="s">
        <v>32</v>
      </c>
      <c r="I579" t="s">
        <v>39</v>
      </c>
      <c r="J579" t="s">
        <v>44</v>
      </c>
      <c r="M579" t="s">
        <v>54</v>
      </c>
      <c r="N5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79" t="s">
        <v>57</v>
      </c>
      <c r="Q579" t="s">
        <v>59</v>
      </c>
      <c r="R579" t="s">
        <v>59</v>
      </c>
      <c r="S579" t="s">
        <v>59</v>
      </c>
      <c r="T579" t="s">
        <v>59</v>
      </c>
      <c r="V579" t="s">
        <v>59</v>
      </c>
      <c r="W579" t="s">
        <v>80</v>
      </c>
    </row>
    <row r="580" spans="2:23" x14ac:dyDescent="0.2">
      <c r="B580">
        <f t="shared" ca="1" si="8"/>
        <v>0</v>
      </c>
      <c r="E580">
        <v>1</v>
      </c>
      <c r="F580" t="s">
        <v>32</v>
      </c>
      <c r="I580" t="s">
        <v>39</v>
      </c>
      <c r="J580" t="s">
        <v>44</v>
      </c>
      <c r="M580" t="s">
        <v>54</v>
      </c>
      <c r="N5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0" t="s">
        <v>57</v>
      </c>
      <c r="Q580" t="s">
        <v>59</v>
      </c>
      <c r="R580" t="s">
        <v>59</v>
      </c>
      <c r="S580" t="s">
        <v>59</v>
      </c>
      <c r="T580" t="s">
        <v>59</v>
      </c>
      <c r="V580" t="s">
        <v>59</v>
      </c>
      <c r="W580" t="s">
        <v>80</v>
      </c>
    </row>
    <row r="581" spans="2:23" x14ac:dyDescent="0.2">
      <c r="B581">
        <f t="shared" ca="1" si="8"/>
        <v>0</v>
      </c>
      <c r="E581">
        <v>1</v>
      </c>
      <c r="F581" t="s">
        <v>32</v>
      </c>
      <c r="I581" t="s">
        <v>39</v>
      </c>
      <c r="J581" t="s">
        <v>44</v>
      </c>
      <c r="M581" t="s">
        <v>54</v>
      </c>
      <c r="N5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1" t="s">
        <v>57</v>
      </c>
      <c r="Q581" t="s">
        <v>59</v>
      </c>
      <c r="R581" t="s">
        <v>59</v>
      </c>
      <c r="S581" t="s">
        <v>59</v>
      </c>
      <c r="T581" t="s">
        <v>59</v>
      </c>
      <c r="V581" t="s">
        <v>59</v>
      </c>
      <c r="W581" t="s">
        <v>80</v>
      </c>
    </row>
    <row r="582" spans="2:23" x14ac:dyDescent="0.2">
      <c r="B582">
        <f t="shared" ca="1" si="8"/>
        <v>0</v>
      </c>
      <c r="E582">
        <v>1</v>
      </c>
      <c r="F582" t="s">
        <v>32</v>
      </c>
      <c r="I582" t="s">
        <v>39</v>
      </c>
      <c r="J582" t="s">
        <v>44</v>
      </c>
      <c r="M582" t="s">
        <v>54</v>
      </c>
      <c r="N5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2" t="s">
        <v>57</v>
      </c>
      <c r="Q582" t="s">
        <v>59</v>
      </c>
      <c r="R582" t="s">
        <v>59</v>
      </c>
      <c r="S582" t="s">
        <v>59</v>
      </c>
      <c r="T582" t="s">
        <v>59</v>
      </c>
      <c r="V582" t="s">
        <v>59</v>
      </c>
      <c r="W582" t="s">
        <v>80</v>
      </c>
    </row>
    <row r="583" spans="2:23" x14ac:dyDescent="0.2">
      <c r="B583">
        <f t="shared" ref="B583:B646" ca="1" si="9">LEN(INDIRECT(ADDRESS(ROW() + (0),COLUMN() + (-1))))</f>
        <v>0</v>
      </c>
      <c r="E583">
        <v>1</v>
      </c>
      <c r="F583" t="s">
        <v>32</v>
      </c>
      <c r="I583" t="s">
        <v>39</v>
      </c>
      <c r="J583" t="s">
        <v>44</v>
      </c>
      <c r="M583" t="s">
        <v>54</v>
      </c>
      <c r="N5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3" t="s">
        <v>57</v>
      </c>
      <c r="Q583" t="s">
        <v>59</v>
      </c>
      <c r="R583" t="s">
        <v>59</v>
      </c>
      <c r="S583" t="s">
        <v>59</v>
      </c>
      <c r="T583" t="s">
        <v>59</v>
      </c>
      <c r="V583" t="s">
        <v>59</v>
      </c>
      <c r="W583" t="s">
        <v>80</v>
      </c>
    </row>
    <row r="584" spans="2:23" x14ac:dyDescent="0.2">
      <c r="B584">
        <f t="shared" ca="1" si="9"/>
        <v>0</v>
      </c>
      <c r="E584">
        <v>1</v>
      </c>
      <c r="F584" t="s">
        <v>32</v>
      </c>
      <c r="I584" t="s">
        <v>39</v>
      </c>
      <c r="J584" t="s">
        <v>44</v>
      </c>
      <c r="M584" t="s">
        <v>54</v>
      </c>
      <c r="N5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4" t="s">
        <v>57</v>
      </c>
      <c r="Q584" t="s">
        <v>59</v>
      </c>
      <c r="R584" t="s">
        <v>59</v>
      </c>
      <c r="S584" t="s">
        <v>59</v>
      </c>
      <c r="T584" t="s">
        <v>59</v>
      </c>
      <c r="V584" t="s">
        <v>59</v>
      </c>
      <c r="W584" t="s">
        <v>80</v>
      </c>
    </row>
    <row r="585" spans="2:23" x14ac:dyDescent="0.2">
      <c r="B585">
        <f t="shared" ca="1" si="9"/>
        <v>0</v>
      </c>
      <c r="E585">
        <v>1</v>
      </c>
      <c r="F585" t="s">
        <v>32</v>
      </c>
      <c r="I585" t="s">
        <v>39</v>
      </c>
      <c r="J585" t="s">
        <v>44</v>
      </c>
      <c r="M585" t="s">
        <v>54</v>
      </c>
      <c r="N5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5" t="s">
        <v>57</v>
      </c>
      <c r="Q585" t="s">
        <v>59</v>
      </c>
      <c r="R585" t="s">
        <v>59</v>
      </c>
      <c r="S585" t="s">
        <v>59</v>
      </c>
      <c r="T585" t="s">
        <v>59</v>
      </c>
      <c r="V585" t="s">
        <v>59</v>
      </c>
      <c r="W585" t="s">
        <v>80</v>
      </c>
    </row>
    <row r="586" spans="2:23" x14ac:dyDescent="0.2">
      <c r="B586">
        <f t="shared" ca="1" si="9"/>
        <v>0</v>
      </c>
      <c r="E586">
        <v>1</v>
      </c>
      <c r="F586" t="s">
        <v>32</v>
      </c>
      <c r="I586" t="s">
        <v>39</v>
      </c>
      <c r="J586" t="s">
        <v>44</v>
      </c>
      <c r="M586" t="s">
        <v>54</v>
      </c>
      <c r="N5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6" t="s">
        <v>57</v>
      </c>
      <c r="Q586" t="s">
        <v>59</v>
      </c>
      <c r="R586" t="s">
        <v>59</v>
      </c>
      <c r="S586" t="s">
        <v>59</v>
      </c>
      <c r="T586" t="s">
        <v>59</v>
      </c>
      <c r="V586" t="s">
        <v>59</v>
      </c>
      <c r="W586" t="s">
        <v>80</v>
      </c>
    </row>
    <row r="587" spans="2:23" x14ac:dyDescent="0.2">
      <c r="B587">
        <f t="shared" ca="1" si="9"/>
        <v>0</v>
      </c>
      <c r="E587">
        <v>1</v>
      </c>
      <c r="F587" t="s">
        <v>32</v>
      </c>
      <c r="I587" t="s">
        <v>39</v>
      </c>
      <c r="J587" t="s">
        <v>44</v>
      </c>
      <c r="M587" t="s">
        <v>54</v>
      </c>
      <c r="N5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7" t="s">
        <v>57</v>
      </c>
      <c r="Q587" t="s">
        <v>59</v>
      </c>
      <c r="R587" t="s">
        <v>59</v>
      </c>
      <c r="S587" t="s">
        <v>59</v>
      </c>
      <c r="T587" t="s">
        <v>59</v>
      </c>
      <c r="V587" t="s">
        <v>59</v>
      </c>
      <c r="W587" t="s">
        <v>80</v>
      </c>
    </row>
    <row r="588" spans="2:23" x14ac:dyDescent="0.2">
      <c r="B588">
        <f t="shared" ca="1" si="9"/>
        <v>0</v>
      </c>
      <c r="E588">
        <v>1</v>
      </c>
      <c r="F588" t="s">
        <v>32</v>
      </c>
      <c r="I588" t="s">
        <v>39</v>
      </c>
      <c r="J588" t="s">
        <v>44</v>
      </c>
      <c r="M588" t="s">
        <v>54</v>
      </c>
      <c r="N5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8" t="s">
        <v>57</v>
      </c>
      <c r="Q588" t="s">
        <v>59</v>
      </c>
      <c r="R588" t="s">
        <v>59</v>
      </c>
      <c r="S588" t="s">
        <v>59</v>
      </c>
      <c r="T588" t="s">
        <v>59</v>
      </c>
      <c r="V588" t="s">
        <v>59</v>
      </c>
      <c r="W588" t="s">
        <v>80</v>
      </c>
    </row>
    <row r="589" spans="2:23" x14ac:dyDescent="0.2">
      <c r="B589">
        <f t="shared" ca="1" si="9"/>
        <v>0</v>
      </c>
      <c r="E589">
        <v>1</v>
      </c>
      <c r="F589" t="s">
        <v>32</v>
      </c>
      <c r="I589" t="s">
        <v>39</v>
      </c>
      <c r="J589" t="s">
        <v>44</v>
      </c>
      <c r="M589" t="s">
        <v>54</v>
      </c>
      <c r="N5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89" t="s">
        <v>57</v>
      </c>
      <c r="Q589" t="s">
        <v>59</v>
      </c>
      <c r="R589" t="s">
        <v>59</v>
      </c>
      <c r="S589" t="s">
        <v>59</v>
      </c>
      <c r="T589" t="s">
        <v>59</v>
      </c>
      <c r="V589" t="s">
        <v>59</v>
      </c>
      <c r="W589" t="s">
        <v>80</v>
      </c>
    </row>
    <row r="590" spans="2:23" x14ac:dyDescent="0.2">
      <c r="B590">
        <f t="shared" ca="1" si="9"/>
        <v>0</v>
      </c>
      <c r="E590">
        <v>1</v>
      </c>
      <c r="F590" t="s">
        <v>32</v>
      </c>
      <c r="I590" t="s">
        <v>39</v>
      </c>
      <c r="J590" t="s">
        <v>44</v>
      </c>
      <c r="M590" t="s">
        <v>54</v>
      </c>
      <c r="N5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0" t="s">
        <v>57</v>
      </c>
      <c r="Q590" t="s">
        <v>59</v>
      </c>
      <c r="R590" t="s">
        <v>59</v>
      </c>
      <c r="S590" t="s">
        <v>59</v>
      </c>
      <c r="T590" t="s">
        <v>59</v>
      </c>
      <c r="V590" t="s">
        <v>59</v>
      </c>
      <c r="W590" t="s">
        <v>80</v>
      </c>
    </row>
    <row r="591" spans="2:23" x14ac:dyDescent="0.2">
      <c r="B591">
        <f t="shared" ca="1" si="9"/>
        <v>0</v>
      </c>
      <c r="E591">
        <v>1</v>
      </c>
      <c r="F591" t="s">
        <v>32</v>
      </c>
      <c r="I591" t="s">
        <v>39</v>
      </c>
      <c r="J591" t="s">
        <v>44</v>
      </c>
      <c r="M591" t="s">
        <v>54</v>
      </c>
      <c r="N5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1" t="s">
        <v>57</v>
      </c>
      <c r="Q591" t="s">
        <v>59</v>
      </c>
      <c r="R591" t="s">
        <v>59</v>
      </c>
      <c r="S591" t="s">
        <v>59</v>
      </c>
      <c r="T591" t="s">
        <v>59</v>
      </c>
      <c r="V591" t="s">
        <v>59</v>
      </c>
      <c r="W591" t="s">
        <v>80</v>
      </c>
    </row>
    <row r="592" spans="2:23" x14ac:dyDescent="0.2">
      <c r="B592">
        <f t="shared" ca="1" si="9"/>
        <v>0</v>
      </c>
      <c r="E592">
        <v>1</v>
      </c>
      <c r="F592" t="s">
        <v>32</v>
      </c>
      <c r="I592" t="s">
        <v>39</v>
      </c>
      <c r="J592" t="s">
        <v>44</v>
      </c>
      <c r="M592" t="s">
        <v>54</v>
      </c>
      <c r="N5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2" t="s">
        <v>57</v>
      </c>
      <c r="Q592" t="s">
        <v>59</v>
      </c>
      <c r="R592" t="s">
        <v>59</v>
      </c>
      <c r="S592" t="s">
        <v>59</v>
      </c>
      <c r="T592" t="s">
        <v>59</v>
      </c>
      <c r="V592" t="s">
        <v>59</v>
      </c>
      <c r="W592" t="s">
        <v>80</v>
      </c>
    </row>
    <row r="593" spans="2:23" x14ac:dyDescent="0.2">
      <c r="B593">
        <f t="shared" ca="1" si="9"/>
        <v>0</v>
      </c>
      <c r="E593">
        <v>1</v>
      </c>
      <c r="F593" t="s">
        <v>32</v>
      </c>
      <c r="I593" t="s">
        <v>39</v>
      </c>
      <c r="J593" t="s">
        <v>44</v>
      </c>
      <c r="M593" t="s">
        <v>54</v>
      </c>
      <c r="N5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3" t="s">
        <v>57</v>
      </c>
      <c r="Q593" t="s">
        <v>59</v>
      </c>
      <c r="R593" t="s">
        <v>59</v>
      </c>
      <c r="S593" t="s">
        <v>59</v>
      </c>
      <c r="T593" t="s">
        <v>59</v>
      </c>
      <c r="V593" t="s">
        <v>59</v>
      </c>
      <c r="W593" t="s">
        <v>80</v>
      </c>
    </row>
    <row r="594" spans="2:23" x14ac:dyDescent="0.2">
      <c r="B594">
        <f t="shared" ca="1" si="9"/>
        <v>0</v>
      </c>
      <c r="E594">
        <v>1</v>
      </c>
      <c r="F594" t="s">
        <v>32</v>
      </c>
      <c r="I594" t="s">
        <v>39</v>
      </c>
      <c r="J594" t="s">
        <v>44</v>
      </c>
      <c r="M594" t="s">
        <v>54</v>
      </c>
      <c r="N5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4" t="s">
        <v>57</v>
      </c>
      <c r="Q594" t="s">
        <v>59</v>
      </c>
      <c r="R594" t="s">
        <v>59</v>
      </c>
      <c r="S594" t="s">
        <v>59</v>
      </c>
      <c r="T594" t="s">
        <v>59</v>
      </c>
      <c r="V594" t="s">
        <v>59</v>
      </c>
      <c r="W594" t="s">
        <v>80</v>
      </c>
    </row>
    <row r="595" spans="2:23" x14ac:dyDescent="0.2">
      <c r="B595">
        <f t="shared" ca="1" si="9"/>
        <v>0</v>
      </c>
      <c r="E595">
        <v>1</v>
      </c>
      <c r="F595" t="s">
        <v>32</v>
      </c>
      <c r="I595" t="s">
        <v>39</v>
      </c>
      <c r="J595" t="s">
        <v>44</v>
      </c>
      <c r="M595" t="s">
        <v>54</v>
      </c>
      <c r="N5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5" t="s">
        <v>57</v>
      </c>
      <c r="Q595" t="s">
        <v>59</v>
      </c>
      <c r="R595" t="s">
        <v>59</v>
      </c>
      <c r="S595" t="s">
        <v>59</v>
      </c>
      <c r="T595" t="s">
        <v>59</v>
      </c>
      <c r="V595" t="s">
        <v>59</v>
      </c>
      <c r="W595" t="s">
        <v>80</v>
      </c>
    </row>
    <row r="596" spans="2:23" x14ac:dyDescent="0.2">
      <c r="B596">
        <f t="shared" ca="1" si="9"/>
        <v>0</v>
      </c>
      <c r="E596">
        <v>1</v>
      </c>
      <c r="F596" t="s">
        <v>32</v>
      </c>
      <c r="I596" t="s">
        <v>39</v>
      </c>
      <c r="J596" t="s">
        <v>44</v>
      </c>
      <c r="M596" t="s">
        <v>54</v>
      </c>
      <c r="N5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6" t="s">
        <v>57</v>
      </c>
      <c r="Q596" t="s">
        <v>59</v>
      </c>
      <c r="R596" t="s">
        <v>59</v>
      </c>
      <c r="S596" t="s">
        <v>59</v>
      </c>
      <c r="T596" t="s">
        <v>59</v>
      </c>
      <c r="V596" t="s">
        <v>59</v>
      </c>
      <c r="W596" t="s">
        <v>80</v>
      </c>
    </row>
    <row r="597" spans="2:23" x14ac:dyDescent="0.2">
      <c r="B597">
        <f t="shared" ca="1" si="9"/>
        <v>0</v>
      </c>
      <c r="E597">
        <v>1</v>
      </c>
      <c r="F597" t="s">
        <v>32</v>
      </c>
      <c r="I597" t="s">
        <v>39</v>
      </c>
      <c r="J597" t="s">
        <v>44</v>
      </c>
      <c r="M597" t="s">
        <v>54</v>
      </c>
      <c r="N5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7" t="s">
        <v>57</v>
      </c>
      <c r="Q597" t="s">
        <v>59</v>
      </c>
      <c r="R597" t="s">
        <v>59</v>
      </c>
      <c r="S597" t="s">
        <v>59</v>
      </c>
      <c r="T597" t="s">
        <v>59</v>
      </c>
      <c r="V597" t="s">
        <v>59</v>
      </c>
      <c r="W597" t="s">
        <v>80</v>
      </c>
    </row>
    <row r="598" spans="2:23" x14ac:dyDescent="0.2">
      <c r="B598">
        <f t="shared" ca="1" si="9"/>
        <v>0</v>
      </c>
      <c r="E598">
        <v>1</v>
      </c>
      <c r="F598" t="s">
        <v>32</v>
      </c>
      <c r="I598" t="s">
        <v>39</v>
      </c>
      <c r="J598" t="s">
        <v>44</v>
      </c>
      <c r="M598" t="s">
        <v>54</v>
      </c>
      <c r="N5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8" t="s">
        <v>57</v>
      </c>
      <c r="Q598" t="s">
        <v>59</v>
      </c>
      <c r="R598" t="s">
        <v>59</v>
      </c>
      <c r="S598" t="s">
        <v>59</v>
      </c>
      <c r="T598" t="s">
        <v>59</v>
      </c>
      <c r="V598" t="s">
        <v>59</v>
      </c>
      <c r="W598" t="s">
        <v>80</v>
      </c>
    </row>
    <row r="599" spans="2:23" x14ac:dyDescent="0.2">
      <c r="B599">
        <f t="shared" ca="1" si="9"/>
        <v>0</v>
      </c>
      <c r="E599">
        <v>1</v>
      </c>
      <c r="F599" t="s">
        <v>32</v>
      </c>
      <c r="I599" t="s">
        <v>39</v>
      </c>
      <c r="J599" t="s">
        <v>44</v>
      </c>
      <c r="M599" t="s">
        <v>54</v>
      </c>
      <c r="N5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5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599" t="s">
        <v>57</v>
      </c>
      <c r="Q599" t="s">
        <v>59</v>
      </c>
      <c r="R599" t="s">
        <v>59</v>
      </c>
      <c r="S599" t="s">
        <v>59</v>
      </c>
      <c r="T599" t="s">
        <v>59</v>
      </c>
      <c r="V599" t="s">
        <v>59</v>
      </c>
      <c r="W599" t="s">
        <v>80</v>
      </c>
    </row>
    <row r="600" spans="2:23" x14ac:dyDescent="0.2">
      <c r="B600">
        <f t="shared" ca="1" si="9"/>
        <v>0</v>
      </c>
      <c r="E600">
        <v>1</v>
      </c>
      <c r="F600" t="s">
        <v>32</v>
      </c>
      <c r="I600" t="s">
        <v>39</v>
      </c>
      <c r="J600" t="s">
        <v>44</v>
      </c>
      <c r="M600" t="s">
        <v>54</v>
      </c>
      <c r="N6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0" t="s">
        <v>57</v>
      </c>
      <c r="Q600" t="s">
        <v>59</v>
      </c>
      <c r="R600" t="s">
        <v>59</v>
      </c>
      <c r="S600" t="s">
        <v>59</v>
      </c>
      <c r="T600" t="s">
        <v>59</v>
      </c>
      <c r="V600" t="s">
        <v>59</v>
      </c>
      <c r="W600" t="s">
        <v>80</v>
      </c>
    </row>
    <row r="601" spans="2:23" x14ac:dyDescent="0.2">
      <c r="B601">
        <f t="shared" ca="1" si="9"/>
        <v>0</v>
      </c>
      <c r="E601">
        <v>1</v>
      </c>
      <c r="F601" t="s">
        <v>32</v>
      </c>
      <c r="I601" t="s">
        <v>39</v>
      </c>
      <c r="J601" t="s">
        <v>44</v>
      </c>
      <c r="M601" t="s">
        <v>54</v>
      </c>
      <c r="N6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1" t="s">
        <v>57</v>
      </c>
      <c r="Q601" t="s">
        <v>59</v>
      </c>
      <c r="R601" t="s">
        <v>59</v>
      </c>
      <c r="S601" t="s">
        <v>59</v>
      </c>
      <c r="T601" t="s">
        <v>59</v>
      </c>
      <c r="V601" t="s">
        <v>59</v>
      </c>
      <c r="W601" t="s">
        <v>80</v>
      </c>
    </row>
    <row r="602" spans="2:23" x14ac:dyDescent="0.2">
      <c r="B602">
        <f t="shared" ca="1" si="9"/>
        <v>0</v>
      </c>
      <c r="E602">
        <v>1</v>
      </c>
      <c r="F602" t="s">
        <v>32</v>
      </c>
      <c r="I602" t="s">
        <v>39</v>
      </c>
      <c r="J602" t="s">
        <v>44</v>
      </c>
      <c r="M602" t="s">
        <v>54</v>
      </c>
      <c r="N6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2" t="s">
        <v>57</v>
      </c>
      <c r="Q602" t="s">
        <v>59</v>
      </c>
      <c r="R602" t="s">
        <v>59</v>
      </c>
      <c r="S602" t="s">
        <v>59</v>
      </c>
      <c r="T602" t="s">
        <v>59</v>
      </c>
      <c r="V602" t="s">
        <v>59</v>
      </c>
      <c r="W602" t="s">
        <v>80</v>
      </c>
    </row>
    <row r="603" spans="2:23" x14ac:dyDescent="0.2">
      <c r="B603">
        <f t="shared" ca="1" si="9"/>
        <v>0</v>
      </c>
      <c r="E603">
        <v>1</v>
      </c>
      <c r="F603" t="s">
        <v>32</v>
      </c>
      <c r="I603" t="s">
        <v>39</v>
      </c>
      <c r="J603" t="s">
        <v>44</v>
      </c>
      <c r="M603" t="s">
        <v>54</v>
      </c>
      <c r="N6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3" t="s">
        <v>57</v>
      </c>
      <c r="Q603" t="s">
        <v>59</v>
      </c>
      <c r="R603" t="s">
        <v>59</v>
      </c>
      <c r="S603" t="s">
        <v>59</v>
      </c>
      <c r="T603" t="s">
        <v>59</v>
      </c>
      <c r="V603" t="s">
        <v>59</v>
      </c>
      <c r="W603" t="s">
        <v>80</v>
      </c>
    </row>
    <row r="604" spans="2:23" x14ac:dyDescent="0.2">
      <c r="B604">
        <f t="shared" ca="1" si="9"/>
        <v>0</v>
      </c>
      <c r="E604">
        <v>1</v>
      </c>
      <c r="F604" t="s">
        <v>32</v>
      </c>
      <c r="I604" t="s">
        <v>39</v>
      </c>
      <c r="J604" t="s">
        <v>44</v>
      </c>
      <c r="M604" t="s">
        <v>54</v>
      </c>
      <c r="N6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4" t="s">
        <v>57</v>
      </c>
      <c r="Q604" t="s">
        <v>59</v>
      </c>
      <c r="R604" t="s">
        <v>59</v>
      </c>
      <c r="S604" t="s">
        <v>59</v>
      </c>
      <c r="T604" t="s">
        <v>59</v>
      </c>
      <c r="V604" t="s">
        <v>59</v>
      </c>
      <c r="W604" t="s">
        <v>80</v>
      </c>
    </row>
    <row r="605" spans="2:23" x14ac:dyDescent="0.2">
      <c r="B605">
        <f t="shared" ca="1" si="9"/>
        <v>0</v>
      </c>
      <c r="E605">
        <v>1</v>
      </c>
      <c r="F605" t="s">
        <v>32</v>
      </c>
      <c r="I605" t="s">
        <v>39</v>
      </c>
      <c r="J605" t="s">
        <v>44</v>
      </c>
      <c r="M605" t="s">
        <v>54</v>
      </c>
      <c r="N6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5" t="s">
        <v>57</v>
      </c>
      <c r="Q605" t="s">
        <v>59</v>
      </c>
      <c r="R605" t="s">
        <v>59</v>
      </c>
      <c r="S605" t="s">
        <v>59</v>
      </c>
      <c r="T605" t="s">
        <v>59</v>
      </c>
      <c r="V605" t="s">
        <v>59</v>
      </c>
      <c r="W605" t="s">
        <v>80</v>
      </c>
    </row>
    <row r="606" spans="2:23" x14ac:dyDescent="0.2">
      <c r="B606">
        <f t="shared" ca="1" si="9"/>
        <v>0</v>
      </c>
      <c r="E606">
        <v>1</v>
      </c>
      <c r="F606" t="s">
        <v>32</v>
      </c>
      <c r="I606" t="s">
        <v>39</v>
      </c>
      <c r="J606" t="s">
        <v>44</v>
      </c>
      <c r="M606" t="s">
        <v>54</v>
      </c>
      <c r="N6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6" t="s">
        <v>57</v>
      </c>
      <c r="Q606" t="s">
        <v>59</v>
      </c>
      <c r="R606" t="s">
        <v>59</v>
      </c>
      <c r="S606" t="s">
        <v>59</v>
      </c>
      <c r="T606" t="s">
        <v>59</v>
      </c>
      <c r="V606" t="s">
        <v>59</v>
      </c>
      <c r="W606" t="s">
        <v>80</v>
      </c>
    </row>
    <row r="607" spans="2:23" x14ac:dyDescent="0.2">
      <c r="B607">
        <f t="shared" ca="1" si="9"/>
        <v>0</v>
      </c>
      <c r="E607">
        <v>1</v>
      </c>
      <c r="F607" t="s">
        <v>32</v>
      </c>
      <c r="I607" t="s">
        <v>39</v>
      </c>
      <c r="J607" t="s">
        <v>44</v>
      </c>
      <c r="M607" t="s">
        <v>54</v>
      </c>
      <c r="N6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7" t="s">
        <v>57</v>
      </c>
      <c r="Q607" t="s">
        <v>59</v>
      </c>
      <c r="R607" t="s">
        <v>59</v>
      </c>
      <c r="S607" t="s">
        <v>59</v>
      </c>
      <c r="T607" t="s">
        <v>59</v>
      </c>
      <c r="V607" t="s">
        <v>59</v>
      </c>
      <c r="W607" t="s">
        <v>80</v>
      </c>
    </row>
    <row r="608" spans="2:23" x14ac:dyDescent="0.2">
      <c r="B608">
        <f t="shared" ca="1" si="9"/>
        <v>0</v>
      </c>
      <c r="E608">
        <v>1</v>
      </c>
      <c r="F608" t="s">
        <v>32</v>
      </c>
      <c r="I608" t="s">
        <v>39</v>
      </c>
      <c r="J608" t="s">
        <v>44</v>
      </c>
      <c r="M608" t="s">
        <v>54</v>
      </c>
      <c r="N6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8" t="s">
        <v>57</v>
      </c>
      <c r="Q608" t="s">
        <v>59</v>
      </c>
      <c r="R608" t="s">
        <v>59</v>
      </c>
      <c r="S608" t="s">
        <v>59</v>
      </c>
      <c r="T608" t="s">
        <v>59</v>
      </c>
      <c r="V608" t="s">
        <v>59</v>
      </c>
      <c r="W608" t="s">
        <v>80</v>
      </c>
    </row>
    <row r="609" spans="2:23" x14ac:dyDescent="0.2">
      <c r="B609">
        <f t="shared" ca="1" si="9"/>
        <v>0</v>
      </c>
      <c r="E609">
        <v>1</v>
      </c>
      <c r="F609" t="s">
        <v>32</v>
      </c>
      <c r="I609" t="s">
        <v>39</v>
      </c>
      <c r="J609" t="s">
        <v>44</v>
      </c>
      <c r="M609" t="s">
        <v>54</v>
      </c>
      <c r="N6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09" t="s">
        <v>57</v>
      </c>
      <c r="Q609" t="s">
        <v>59</v>
      </c>
      <c r="R609" t="s">
        <v>59</v>
      </c>
      <c r="S609" t="s">
        <v>59</v>
      </c>
      <c r="T609" t="s">
        <v>59</v>
      </c>
      <c r="V609" t="s">
        <v>59</v>
      </c>
      <c r="W609" t="s">
        <v>80</v>
      </c>
    </row>
    <row r="610" spans="2:23" x14ac:dyDescent="0.2">
      <c r="B610">
        <f t="shared" ca="1" si="9"/>
        <v>0</v>
      </c>
      <c r="E610">
        <v>1</v>
      </c>
      <c r="F610" t="s">
        <v>32</v>
      </c>
      <c r="I610" t="s">
        <v>39</v>
      </c>
      <c r="J610" t="s">
        <v>44</v>
      </c>
      <c r="M610" t="s">
        <v>54</v>
      </c>
      <c r="N6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0" t="s">
        <v>57</v>
      </c>
      <c r="Q610" t="s">
        <v>59</v>
      </c>
      <c r="R610" t="s">
        <v>59</v>
      </c>
      <c r="S610" t="s">
        <v>59</v>
      </c>
      <c r="T610" t="s">
        <v>59</v>
      </c>
      <c r="V610" t="s">
        <v>59</v>
      </c>
      <c r="W610" t="s">
        <v>80</v>
      </c>
    </row>
    <row r="611" spans="2:23" x14ac:dyDescent="0.2">
      <c r="B611">
        <f t="shared" ca="1" si="9"/>
        <v>0</v>
      </c>
      <c r="E611">
        <v>1</v>
      </c>
      <c r="F611" t="s">
        <v>32</v>
      </c>
      <c r="I611" t="s">
        <v>39</v>
      </c>
      <c r="J611" t="s">
        <v>44</v>
      </c>
      <c r="M611" t="s">
        <v>54</v>
      </c>
      <c r="N6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1" t="s">
        <v>57</v>
      </c>
      <c r="Q611" t="s">
        <v>59</v>
      </c>
      <c r="R611" t="s">
        <v>59</v>
      </c>
      <c r="S611" t="s">
        <v>59</v>
      </c>
      <c r="T611" t="s">
        <v>59</v>
      </c>
      <c r="V611" t="s">
        <v>59</v>
      </c>
      <c r="W611" t="s">
        <v>80</v>
      </c>
    </row>
    <row r="612" spans="2:23" x14ac:dyDescent="0.2">
      <c r="B612">
        <f t="shared" ca="1" si="9"/>
        <v>0</v>
      </c>
      <c r="E612">
        <v>1</v>
      </c>
      <c r="F612" t="s">
        <v>32</v>
      </c>
      <c r="I612" t="s">
        <v>39</v>
      </c>
      <c r="J612" t="s">
        <v>44</v>
      </c>
      <c r="M612" t="s">
        <v>54</v>
      </c>
      <c r="N6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2" t="s">
        <v>57</v>
      </c>
      <c r="Q612" t="s">
        <v>59</v>
      </c>
      <c r="R612" t="s">
        <v>59</v>
      </c>
      <c r="S612" t="s">
        <v>59</v>
      </c>
      <c r="T612" t="s">
        <v>59</v>
      </c>
      <c r="V612" t="s">
        <v>59</v>
      </c>
      <c r="W612" t="s">
        <v>80</v>
      </c>
    </row>
    <row r="613" spans="2:23" x14ac:dyDescent="0.2">
      <c r="B613">
        <f t="shared" ca="1" si="9"/>
        <v>0</v>
      </c>
      <c r="E613">
        <v>1</v>
      </c>
      <c r="F613" t="s">
        <v>32</v>
      </c>
      <c r="I613" t="s">
        <v>39</v>
      </c>
      <c r="J613" t="s">
        <v>44</v>
      </c>
      <c r="M613" t="s">
        <v>54</v>
      </c>
      <c r="N6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3" t="s">
        <v>57</v>
      </c>
      <c r="Q613" t="s">
        <v>59</v>
      </c>
      <c r="R613" t="s">
        <v>59</v>
      </c>
      <c r="S613" t="s">
        <v>59</v>
      </c>
      <c r="T613" t="s">
        <v>59</v>
      </c>
      <c r="V613" t="s">
        <v>59</v>
      </c>
      <c r="W613" t="s">
        <v>80</v>
      </c>
    </row>
    <row r="614" spans="2:23" x14ac:dyDescent="0.2">
      <c r="B614">
        <f t="shared" ca="1" si="9"/>
        <v>0</v>
      </c>
      <c r="E614">
        <v>1</v>
      </c>
      <c r="F614" t="s">
        <v>32</v>
      </c>
      <c r="I614" t="s">
        <v>39</v>
      </c>
      <c r="J614" t="s">
        <v>44</v>
      </c>
      <c r="M614" t="s">
        <v>54</v>
      </c>
      <c r="N6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4" t="s">
        <v>57</v>
      </c>
      <c r="Q614" t="s">
        <v>59</v>
      </c>
      <c r="R614" t="s">
        <v>59</v>
      </c>
      <c r="S614" t="s">
        <v>59</v>
      </c>
      <c r="T614" t="s">
        <v>59</v>
      </c>
      <c r="V614" t="s">
        <v>59</v>
      </c>
      <c r="W614" t="s">
        <v>80</v>
      </c>
    </row>
    <row r="615" spans="2:23" x14ac:dyDescent="0.2">
      <c r="B615">
        <f t="shared" ca="1" si="9"/>
        <v>0</v>
      </c>
      <c r="E615">
        <v>1</v>
      </c>
      <c r="F615" t="s">
        <v>32</v>
      </c>
      <c r="I615" t="s">
        <v>39</v>
      </c>
      <c r="J615" t="s">
        <v>44</v>
      </c>
      <c r="M615" t="s">
        <v>54</v>
      </c>
      <c r="N6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5" t="s">
        <v>57</v>
      </c>
      <c r="Q615" t="s">
        <v>59</v>
      </c>
      <c r="R615" t="s">
        <v>59</v>
      </c>
      <c r="S615" t="s">
        <v>59</v>
      </c>
      <c r="T615" t="s">
        <v>59</v>
      </c>
      <c r="V615" t="s">
        <v>59</v>
      </c>
      <c r="W615" t="s">
        <v>80</v>
      </c>
    </row>
    <row r="616" spans="2:23" x14ac:dyDescent="0.2">
      <c r="B616">
        <f t="shared" ca="1" si="9"/>
        <v>0</v>
      </c>
      <c r="E616">
        <v>1</v>
      </c>
      <c r="F616" t="s">
        <v>32</v>
      </c>
      <c r="I616" t="s">
        <v>39</v>
      </c>
      <c r="J616" t="s">
        <v>44</v>
      </c>
      <c r="M616" t="s">
        <v>54</v>
      </c>
      <c r="N6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6" t="s">
        <v>57</v>
      </c>
      <c r="Q616" t="s">
        <v>59</v>
      </c>
      <c r="R616" t="s">
        <v>59</v>
      </c>
      <c r="S616" t="s">
        <v>59</v>
      </c>
      <c r="T616" t="s">
        <v>59</v>
      </c>
      <c r="V616" t="s">
        <v>59</v>
      </c>
      <c r="W616" t="s">
        <v>80</v>
      </c>
    </row>
    <row r="617" spans="2:23" x14ac:dyDescent="0.2">
      <c r="B617">
        <f t="shared" ca="1" si="9"/>
        <v>0</v>
      </c>
      <c r="E617">
        <v>1</v>
      </c>
      <c r="F617" t="s">
        <v>32</v>
      </c>
      <c r="I617" t="s">
        <v>39</v>
      </c>
      <c r="J617" t="s">
        <v>44</v>
      </c>
      <c r="M617" t="s">
        <v>54</v>
      </c>
      <c r="N6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7" t="s">
        <v>57</v>
      </c>
      <c r="Q617" t="s">
        <v>59</v>
      </c>
      <c r="R617" t="s">
        <v>59</v>
      </c>
      <c r="S617" t="s">
        <v>59</v>
      </c>
      <c r="T617" t="s">
        <v>59</v>
      </c>
      <c r="V617" t="s">
        <v>59</v>
      </c>
      <c r="W617" t="s">
        <v>80</v>
      </c>
    </row>
    <row r="618" spans="2:23" x14ac:dyDescent="0.2">
      <c r="B618">
        <f t="shared" ca="1" si="9"/>
        <v>0</v>
      </c>
      <c r="E618">
        <v>1</v>
      </c>
      <c r="F618" t="s">
        <v>32</v>
      </c>
      <c r="I618" t="s">
        <v>39</v>
      </c>
      <c r="J618" t="s">
        <v>44</v>
      </c>
      <c r="M618" t="s">
        <v>54</v>
      </c>
      <c r="N6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8" t="s">
        <v>57</v>
      </c>
      <c r="Q618" t="s">
        <v>59</v>
      </c>
      <c r="R618" t="s">
        <v>59</v>
      </c>
      <c r="S618" t="s">
        <v>59</v>
      </c>
      <c r="T618" t="s">
        <v>59</v>
      </c>
      <c r="V618" t="s">
        <v>59</v>
      </c>
      <c r="W618" t="s">
        <v>80</v>
      </c>
    </row>
    <row r="619" spans="2:23" x14ac:dyDescent="0.2">
      <c r="B619">
        <f t="shared" ca="1" si="9"/>
        <v>0</v>
      </c>
      <c r="E619">
        <v>1</v>
      </c>
      <c r="F619" t="s">
        <v>32</v>
      </c>
      <c r="I619" t="s">
        <v>39</v>
      </c>
      <c r="J619" t="s">
        <v>44</v>
      </c>
      <c r="M619" t="s">
        <v>54</v>
      </c>
      <c r="N6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19" t="s">
        <v>57</v>
      </c>
      <c r="Q619" t="s">
        <v>59</v>
      </c>
      <c r="R619" t="s">
        <v>59</v>
      </c>
      <c r="S619" t="s">
        <v>59</v>
      </c>
      <c r="T619" t="s">
        <v>59</v>
      </c>
      <c r="V619" t="s">
        <v>59</v>
      </c>
      <c r="W619" t="s">
        <v>80</v>
      </c>
    </row>
    <row r="620" spans="2:23" x14ac:dyDescent="0.2">
      <c r="B620">
        <f t="shared" ca="1" si="9"/>
        <v>0</v>
      </c>
      <c r="E620">
        <v>1</v>
      </c>
      <c r="F620" t="s">
        <v>32</v>
      </c>
      <c r="I620" t="s">
        <v>39</v>
      </c>
      <c r="J620" t="s">
        <v>44</v>
      </c>
      <c r="M620" t="s">
        <v>54</v>
      </c>
      <c r="N6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0" t="s">
        <v>57</v>
      </c>
      <c r="Q620" t="s">
        <v>59</v>
      </c>
      <c r="R620" t="s">
        <v>59</v>
      </c>
      <c r="S620" t="s">
        <v>59</v>
      </c>
      <c r="T620" t="s">
        <v>59</v>
      </c>
      <c r="V620" t="s">
        <v>59</v>
      </c>
      <c r="W620" t="s">
        <v>80</v>
      </c>
    </row>
    <row r="621" spans="2:23" x14ac:dyDescent="0.2">
      <c r="B621">
        <f t="shared" ca="1" si="9"/>
        <v>0</v>
      </c>
      <c r="E621">
        <v>1</v>
      </c>
      <c r="F621" t="s">
        <v>32</v>
      </c>
      <c r="I621" t="s">
        <v>39</v>
      </c>
      <c r="J621" t="s">
        <v>44</v>
      </c>
      <c r="M621" t="s">
        <v>54</v>
      </c>
      <c r="N6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1" t="s">
        <v>57</v>
      </c>
      <c r="Q621" t="s">
        <v>59</v>
      </c>
      <c r="R621" t="s">
        <v>59</v>
      </c>
      <c r="S621" t="s">
        <v>59</v>
      </c>
      <c r="T621" t="s">
        <v>59</v>
      </c>
      <c r="V621" t="s">
        <v>59</v>
      </c>
      <c r="W621" t="s">
        <v>80</v>
      </c>
    </row>
    <row r="622" spans="2:23" x14ac:dyDescent="0.2">
      <c r="B622">
        <f t="shared" ca="1" si="9"/>
        <v>0</v>
      </c>
      <c r="E622">
        <v>1</v>
      </c>
      <c r="F622" t="s">
        <v>32</v>
      </c>
      <c r="I622" t="s">
        <v>39</v>
      </c>
      <c r="J622" t="s">
        <v>44</v>
      </c>
      <c r="M622" t="s">
        <v>54</v>
      </c>
      <c r="N6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2" t="s">
        <v>57</v>
      </c>
      <c r="Q622" t="s">
        <v>59</v>
      </c>
      <c r="R622" t="s">
        <v>59</v>
      </c>
      <c r="S622" t="s">
        <v>59</v>
      </c>
      <c r="T622" t="s">
        <v>59</v>
      </c>
      <c r="V622" t="s">
        <v>59</v>
      </c>
      <c r="W622" t="s">
        <v>80</v>
      </c>
    </row>
    <row r="623" spans="2:23" x14ac:dyDescent="0.2">
      <c r="B623">
        <f t="shared" ca="1" si="9"/>
        <v>0</v>
      </c>
      <c r="E623">
        <v>1</v>
      </c>
      <c r="F623" t="s">
        <v>32</v>
      </c>
      <c r="I623" t="s">
        <v>39</v>
      </c>
      <c r="J623" t="s">
        <v>44</v>
      </c>
      <c r="M623" t="s">
        <v>54</v>
      </c>
      <c r="N6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3" t="s">
        <v>57</v>
      </c>
      <c r="Q623" t="s">
        <v>59</v>
      </c>
      <c r="R623" t="s">
        <v>59</v>
      </c>
      <c r="S623" t="s">
        <v>59</v>
      </c>
      <c r="T623" t="s">
        <v>59</v>
      </c>
      <c r="V623" t="s">
        <v>59</v>
      </c>
      <c r="W623" t="s">
        <v>80</v>
      </c>
    </row>
    <row r="624" spans="2:23" x14ac:dyDescent="0.2">
      <c r="B624">
        <f t="shared" ca="1" si="9"/>
        <v>0</v>
      </c>
      <c r="E624">
        <v>1</v>
      </c>
      <c r="F624" t="s">
        <v>32</v>
      </c>
      <c r="I624" t="s">
        <v>39</v>
      </c>
      <c r="J624" t="s">
        <v>44</v>
      </c>
      <c r="M624" t="s">
        <v>54</v>
      </c>
      <c r="N6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4" t="s">
        <v>57</v>
      </c>
      <c r="Q624" t="s">
        <v>59</v>
      </c>
      <c r="R624" t="s">
        <v>59</v>
      </c>
      <c r="S624" t="s">
        <v>59</v>
      </c>
      <c r="T624" t="s">
        <v>59</v>
      </c>
      <c r="V624" t="s">
        <v>59</v>
      </c>
      <c r="W624" t="s">
        <v>80</v>
      </c>
    </row>
    <row r="625" spans="2:23" x14ac:dyDescent="0.2">
      <c r="B625">
        <f t="shared" ca="1" si="9"/>
        <v>0</v>
      </c>
      <c r="E625">
        <v>1</v>
      </c>
      <c r="F625" t="s">
        <v>32</v>
      </c>
      <c r="I625" t="s">
        <v>39</v>
      </c>
      <c r="J625" t="s">
        <v>44</v>
      </c>
      <c r="M625" t="s">
        <v>54</v>
      </c>
      <c r="N6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5" t="s">
        <v>57</v>
      </c>
      <c r="Q625" t="s">
        <v>59</v>
      </c>
      <c r="R625" t="s">
        <v>59</v>
      </c>
      <c r="S625" t="s">
        <v>59</v>
      </c>
      <c r="T625" t="s">
        <v>59</v>
      </c>
      <c r="V625" t="s">
        <v>59</v>
      </c>
      <c r="W625" t="s">
        <v>80</v>
      </c>
    </row>
    <row r="626" spans="2:23" x14ac:dyDescent="0.2">
      <c r="B626">
        <f t="shared" ca="1" si="9"/>
        <v>0</v>
      </c>
      <c r="E626">
        <v>1</v>
      </c>
      <c r="F626" t="s">
        <v>32</v>
      </c>
      <c r="I626" t="s">
        <v>39</v>
      </c>
      <c r="J626" t="s">
        <v>44</v>
      </c>
      <c r="M626" t="s">
        <v>54</v>
      </c>
      <c r="N6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6" t="s">
        <v>57</v>
      </c>
      <c r="Q626" t="s">
        <v>59</v>
      </c>
      <c r="R626" t="s">
        <v>59</v>
      </c>
      <c r="S626" t="s">
        <v>59</v>
      </c>
      <c r="T626" t="s">
        <v>59</v>
      </c>
      <c r="V626" t="s">
        <v>59</v>
      </c>
      <c r="W626" t="s">
        <v>80</v>
      </c>
    </row>
    <row r="627" spans="2:23" x14ac:dyDescent="0.2">
      <c r="B627">
        <f t="shared" ca="1" si="9"/>
        <v>0</v>
      </c>
      <c r="E627">
        <v>1</v>
      </c>
      <c r="F627" t="s">
        <v>32</v>
      </c>
      <c r="I627" t="s">
        <v>39</v>
      </c>
      <c r="J627" t="s">
        <v>44</v>
      </c>
      <c r="M627" t="s">
        <v>54</v>
      </c>
      <c r="N6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7" t="s">
        <v>57</v>
      </c>
      <c r="Q627" t="s">
        <v>59</v>
      </c>
      <c r="R627" t="s">
        <v>59</v>
      </c>
      <c r="S627" t="s">
        <v>59</v>
      </c>
      <c r="T627" t="s">
        <v>59</v>
      </c>
      <c r="V627" t="s">
        <v>59</v>
      </c>
      <c r="W627" t="s">
        <v>80</v>
      </c>
    </row>
    <row r="628" spans="2:23" x14ac:dyDescent="0.2">
      <c r="B628">
        <f t="shared" ca="1" si="9"/>
        <v>0</v>
      </c>
      <c r="E628">
        <v>1</v>
      </c>
      <c r="F628" t="s">
        <v>32</v>
      </c>
      <c r="I628" t="s">
        <v>39</v>
      </c>
      <c r="J628" t="s">
        <v>44</v>
      </c>
      <c r="M628" t="s">
        <v>54</v>
      </c>
      <c r="N6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8" t="s">
        <v>57</v>
      </c>
      <c r="Q628" t="s">
        <v>59</v>
      </c>
      <c r="R628" t="s">
        <v>59</v>
      </c>
      <c r="S628" t="s">
        <v>59</v>
      </c>
      <c r="T628" t="s">
        <v>59</v>
      </c>
      <c r="V628" t="s">
        <v>59</v>
      </c>
      <c r="W628" t="s">
        <v>80</v>
      </c>
    </row>
    <row r="629" spans="2:23" x14ac:dyDescent="0.2">
      <c r="B629">
        <f t="shared" ca="1" si="9"/>
        <v>0</v>
      </c>
      <c r="E629">
        <v>1</v>
      </c>
      <c r="F629" t="s">
        <v>32</v>
      </c>
      <c r="I629" t="s">
        <v>39</v>
      </c>
      <c r="J629" t="s">
        <v>44</v>
      </c>
      <c r="M629" t="s">
        <v>54</v>
      </c>
      <c r="N6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29" t="s">
        <v>57</v>
      </c>
      <c r="Q629" t="s">
        <v>59</v>
      </c>
      <c r="R629" t="s">
        <v>59</v>
      </c>
      <c r="S629" t="s">
        <v>59</v>
      </c>
      <c r="T629" t="s">
        <v>59</v>
      </c>
      <c r="V629" t="s">
        <v>59</v>
      </c>
      <c r="W629" t="s">
        <v>80</v>
      </c>
    </row>
    <row r="630" spans="2:23" x14ac:dyDescent="0.2">
      <c r="B630">
        <f t="shared" ca="1" si="9"/>
        <v>0</v>
      </c>
      <c r="E630">
        <v>1</v>
      </c>
      <c r="F630" t="s">
        <v>32</v>
      </c>
      <c r="I630" t="s">
        <v>39</v>
      </c>
      <c r="J630" t="s">
        <v>44</v>
      </c>
      <c r="M630" t="s">
        <v>54</v>
      </c>
      <c r="N6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0" t="s">
        <v>57</v>
      </c>
      <c r="Q630" t="s">
        <v>59</v>
      </c>
      <c r="R630" t="s">
        <v>59</v>
      </c>
      <c r="S630" t="s">
        <v>59</v>
      </c>
      <c r="T630" t="s">
        <v>59</v>
      </c>
      <c r="V630" t="s">
        <v>59</v>
      </c>
      <c r="W630" t="s">
        <v>80</v>
      </c>
    </row>
    <row r="631" spans="2:23" x14ac:dyDescent="0.2">
      <c r="B631">
        <f t="shared" ca="1" si="9"/>
        <v>0</v>
      </c>
      <c r="E631">
        <v>1</v>
      </c>
      <c r="F631" t="s">
        <v>32</v>
      </c>
      <c r="I631" t="s">
        <v>39</v>
      </c>
      <c r="J631" t="s">
        <v>44</v>
      </c>
      <c r="M631" t="s">
        <v>54</v>
      </c>
      <c r="N6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1" t="s">
        <v>57</v>
      </c>
      <c r="Q631" t="s">
        <v>59</v>
      </c>
      <c r="R631" t="s">
        <v>59</v>
      </c>
      <c r="S631" t="s">
        <v>59</v>
      </c>
      <c r="T631" t="s">
        <v>59</v>
      </c>
      <c r="V631" t="s">
        <v>59</v>
      </c>
      <c r="W631" t="s">
        <v>80</v>
      </c>
    </row>
    <row r="632" spans="2:23" x14ac:dyDescent="0.2">
      <c r="B632">
        <f t="shared" ca="1" si="9"/>
        <v>0</v>
      </c>
      <c r="E632">
        <v>1</v>
      </c>
      <c r="F632" t="s">
        <v>32</v>
      </c>
      <c r="I632" t="s">
        <v>39</v>
      </c>
      <c r="J632" t="s">
        <v>44</v>
      </c>
      <c r="M632" t="s">
        <v>54</v>
      </c>
      <c r="N6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2" t="s">
        <v>57</v>
      </c>
      <c r="Q632" t="s">
        <v>59</v>
      </c>
      <c r="R632" t="s">
        <v>59</v>
      </c>
      <c r="S632" t="s">
        <v>59</v>
      </c>
      <c r="T632" t="s">
        <v>59</v>
      </c>
      <c r="V632" t="s">
        <v>59</v>
      </c>
      <c r="W632" t="s">
        <v>80</v>
      </c>
    </row>
    <row r="633" spans="2:23" x14ac:dyDescent="0.2">
      <c r="B633">
        <f t="shared" ca="1" si="9"/>
        <v>0</v>
      </c>
      <c r="E633">
        <v>1</v>
      </c>
      <c r="F633" t="s">
        <v>32</v>
      </c>
      <c r="I633" t="s">
        <v>39</v>
      </c>
      <c r="J633" t="s">
        <v>44</v>
      </c>
      <c r="M633" t="s">
        <v>54</v>
      </c>
      <c r="N6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3" t="s">
        <v>57</v>
      </c>
      <c r="Q633" t="s">
        <v>59</v>
      </c>
      <c r="R633" t="s">
        <v>59</v>
      </c>
      <c r="S633" t="s">
        <v>59</v>
      </c>
      <c r="T633" t="s">
        <v>59</v>
      </c>
      <c r="V633" t="s">
        <v>59</v>
      </c>
      <c r="W633" t="s">
        <v>80</v>
      </c>
    </row>
    <row r="634" spans="2:23" x14ac:dyDescent="0.2">
      <c r="B634">
        <f t="shared" ca="1" si="9"/>
        <v>0</v>
      </c>
      <c r="E634">
        <v>1</v>
      </c>
      <c r="F634" t="s">
        <v>32</v>
      </c>
      <c r="I634" t="s">
        <v>39</v>
      </c>
      <c r="J634" t="s">
        <v>44</v>
      </c>
      <c r="M634" t="s">
        <v>54</v>
      </c>
      <c r="N6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4" t="s">
        <v>57</v>
      </c>
      <c r="Q634" t="s">
        <v>59</v>
      </c>
      <c r="R634" t="s">
        <v>59</v>
      </c>
      <c r="S634" t="s">
        <v>59</v>
      </c>
      <c r="T634" t="s">
        <v>59</v>
      </c>
      <c r="V634" t="s">
        <v>59</v>
      </c>
      <c r="W634" t="s">
        <v>80</v>
      </c>
    </row>
    <row r="635" spans="2:23" x14ac:dyDescent="0.2">
      <c r="B635">
        <f t="shared" ca="1" si="9"/>
        <v>0</v>
      </c>
      <c r="E635">
        <v>1</v>
      </c>
      <c r="F635" t="s">
        <v>32</v>
      </c>
      <c r="I635" t="s">
        <v>39</v>
      </c>
      <c r="J635" t="s">
        <v>44</v>
      </c>
      <c r="M635" t="s">
        <v>54</v>
      </c>
      <c r="N6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5" t="s">
        <v>57</v>
      </c>
      <c r="Q635" t="s">
        <v>59</v>
      </c>
      <c r="R635" t="s">
        <v>59</v>
      </c>
      <c r="S635" t="s">
        <v>59</v>
      </c>
      <c r="T635" t="s">
        <v>59</v>
      </c>
      <c r="V635" t="s">
        <v>59</v>
      </c>
      <c r="W635" t="s">
        <v>80</v>
      </c>
    </row>
    <row r="636" spans="2:23" x14ac:dyDescent="0.2">
      <c r="B636">
        <f t="shared" ca="1" si="9"/>
        <v>0</v>
      </c>
      <c r="E636">
        <v>1</v>
      </c>
      <c r="F636" t="s">
        <v>32</v>
      </c>
      <c r="I636" t="s">
        <v>39</v>
      </c>
      <c r="J636" t="s">
        <v>44</v>
      </c>
      <c r="M636" t="s">
        <v>54</v>
      </c>
      <c r="N6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6" t="s">
        <v>57</v>
      </c>
      <c r="Q636" t="s">
        <v>59</v>
      </c>
      <c r="R636" t="s">
        <v>59</v>
      </c>
      <c r="S636" t="s">
        <v>59</v>
      </c>
      <c r="T636" t="s">
        <v>59</v>
      </c>
      <c r="V636" t="s">
        <v>59</v>
      </c>
      <c r="W636" t="s">
        <v>80</v>
      </c>
    </row>
    <row r="637" spans="2:23" x14ac:dyDescent="0.2">
      <c r="B637">
        <f t="shared" ca="1" si="9"/>
        <v>0</v>
      </c>
      <c r="E637">
        <v>1</v>
      </c>
      <c r="F637" t="s">
        <v>32</v>
      </c>
      <c r="I637" t="s">
        <v>39</v>
      </c>
      <c r="J637" t="s">
        <v>44</v>
      </c>
      <c r="M637" t="s">
        <v>54</v>
      </c>
      <c r="N6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7" t="s">
        <v>57</v>
      </c>
      <c r="Q637" t="s">
        <v>59</v>
      </c>
      <c r="R637" t="s">
        <v>59</v>
      </c>
      <c r="S637" t="s">
        <v>59</v>
      </c>
      <c r="T637" t="s">
        <v>59</v>
      </c>
      <c r="V637" t="s">
        <v>59</v>
      </c>
      <c r="W637" t="s">
        <v>80</v>
      </c>
    </row>
    <row r="638" spans="2:23" x14ac:dyDescent="0.2">
      <c r="B638">
        <f t="shared" ca="1" si="9"/>
        <v>0</v>
      </c>
      <c r="E638">
        <v>1</v>
      </c>
      <c r="F638" t="s">
        <v>32</v>
      </c>
      <c r="I638" t="s">
        <v>39</v>
      </c>
      <c r="J638" t="s">
        <v>44</v>
      </c>
      <c r="M638" t="s">
        <v>54</v>
      </c>
      <c r="N6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8" t="s">
        <v>57</v>
      </c>
      <c r="Q638" t="s">
        <v>59</v>
      </c>
      <c r="R638" t="s">
        <v>59</v>
      </c>
      <c r="S638" t="s">
        <v>59</v>
      </c>
      <c r="T638" t="s">
        <v>59</v>
      </c>
      <c r="V638" t="s">
        <v>59</v>
      </c>
      <c r="W638" t="s">
        <v>80</v>
      </c>
    </row>
    <row r="639" spans="2:23" x14ac:dyDescent="0.2">
      <c r="B639">
        <f t="shared" ca="1" si="9"/>
        <v>0</v>
      </c>
      <c r="E639">
        <v>1</v>
      </c>
      <c r="F639" t="s">
        <v>32</v>
      </c>
      <c r="I639" t="s">
        <v>39</v>
      </c>
      <c r="J639" t="s">
        <v>44</v>
      </c>
      <c r="M639" t="s">
        <v>54</v>
      </c>
      <c r="N6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39" t="s">
        <v>57</v>
      </c>
      <c r="Q639" t="s">
        <v>59</v>
      </c>
      <c r="R639" t="s">
        <v>59</v>
      </c>
      <c r="S639" t="s">
        <v>59</v>
      </c>
      <c r="T639" t="s">
        <v>59</v>
      </c>
      <c r="V639" t="s">
        <v>59</v>
      </c>
      <c r="W639" t="s">
        <v>80</v>
      </c>
    </row>
    <row r="640" spans="2:23" x14ac:dyDescent="0.2">
      <c r="B640">
        <f t="shared" ca="1" si="9"/>
        <v>0</v>
      </c>
      <c r="E640">
        <v>1</v>
      </c>
      <c r="F640" t="s">
        <v>32</v>
      </c>
      <c r="I640" t="s">
        <v>39</v>
      </c>
      <c r="J640" t="s">
        <v>44</v>
      </c>
      <c r="M640" t="s">
        <v>54</v>
      </c>
      <c r="N6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0" t="s">
        <v>57</v>
      </c>
      <c r="Q640" t="s">
        <v>59</v>
      </c>
      <c r="R640" t="s">
        <v>59</v>
      </c>
      <c r="S640" t="s">
        <v>59</v>
      </c>
      <c r="T640" t="s">
        <v>59</v>
      </c>
      <c r="V640" t="s">
        <v>59</v>
      </c>
      <c r="W640" t="s">
        <v>80</v>
      </c>
    </row>
    <row r="641" spans="2:23" x14ac:dyDescent="0.2">
      <c r="B641">
        <f t="shared" ca="1" si="9"/>
        <v>0</v>
      </c>
      <c r="E641">
        <v>1</v>
      </c>
      <c r="F641" t="s">
        <v>32</v>
      </c>
      <c r="I641" t="s">
        <v>39</v>
      </c>
      <c r="J641" t="s">
        <v>44</v>
      </c>
      <c r="M641" t="s">
        <v>54</v>
      </c>
      <c r="N6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1" t="s">
        <v>57</v>
      </c>
      <c r="Q641" t="s">
        <v>59</v>
      </c>
      <c r="R641" t="s">
        <v>59</v>
      </c>
      <c r="S641" t="s">
        <v>59</v>
      </c>
      <c r="T641" t="s">
        <v>59</v>
      </c>
      <c r="V641" t="s">
        <v>59</v>
      </c>
      <c r="W641" t="s">
        <v>80</v>
      </c>
    </row>
    <row r="642" spans="2:23" x14ac:dyDescent="0.2">
      <c r="B642">
        <f t="shared" ca="1" si="9"/>
        <v>0</v>
      </c>
      <c r="E642">
        <v>1</v>
      </c>
      <c r="F642" t="s">
        <v>32</v>
      </c>
      <c r="I642" t="s">
        <v>39</v>
      </c>
      <c r="J642" t="s">
        <v>44</v>
      </c>
      <c r="M642" t="s">
        <v>54</v>
      </c>
      <c r="N6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2" t="s">
        <v>57</v>
      </c>
      <c r="Q642" t="s">
        <v>59</v>
      </c>
      <c r="R642" t="s">
        <v>59</v>
      </c>
      <c r="S642" t="s">
        <v>59</v>
      </c>
      <c r="T642" t="s">
        <v>59</v>
      </c>
      <c r="V642" t="s">
        <v>59</v>
      </c>
      <c r="W642" t="s">
        <v>80</v>
      </c>
    </row>
    <row r="643" spans="2:23" x14ac:dyDescent="0.2">
      <c r="B643">
        <f t="shared" ca="1" si="9"/>
        <v>0</v>
      </c>
      <c r="E643">
        <v>1</v>
      </c>
      <c r="F643" t="s">
        <v>32</v>
      </c>
      <c r="I643" t="s">
        <v>39</v>
      </c>
      <c r="J643" t="s">
        <v>44</v>
      </c>
      <c r="M643" t="s">
        <v>54</v>
      </c>
      <c r="N6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3" t="s">
        <v>57</v>
      </c>
      <c r="Q643" t="s">
        <v>59</v>
      </c>
      <c r="R643" t="s">
        <v>59</v>
      </c>
      <c r="S643" t="s">
        <v>59</v>
      </c>
      <c r="T643" t="s">
        <v>59</v>
      </c>
      <c r="V643" t="s">
        <v>59</v>
      </c>
      <c r="W643" t="s">
        <v>80</v>
      </c>
    </row>
    <row r="644" spans="2:23" x14ac:dyDescent="0.2">
      <c r="B644">
        <f t="shared" ca="1" si="9"/>
        <v>0</v>
      </c>
      <c r="E644">
        <v>1</v>
      </c>
      <c r="F644" t="s">
        <v>32</v>
      </c>
      <c r="I644" t="s">
        <v>39</v>
      </c>
      <c r="J644" t="s">
        <v>44</v>
      </c>
      <c r="M644" t="s">
        <v>54</v>
      </c>
      <c r="N6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4" t="s">
        <v>57</v>
      </c>
      <c r="Q644" t="s">
        <v>59</v>
      </c>
      <c r="R644" t="s">
        <v>59</v>
      </c>
      <c r="S644" t="s">
        <v>59</v>
      </c>
      <c r="T644" t="s">
        <v>59</v>
      </c>
      <c r="V644" t="s">
        <v>59</v>
      </c>
      <c r="W644" t="s">
        <v>80</v>
      </c>
    </row>
    <row r="645" spans="2:23" x14ac:dyDescent="0.2">
      <c r="B645">
        <f t="shared" ca="1" si="9"/>
        <v>0</v>
      </c>
      <c r="E645">
        <v>1</v>
      </c>
      <c r="F645" t="s">
        <v>32</v>
      </c>
      <c r="I645" t="s">
        <v>39</v>
      </c>
      <c r="J645" t="s">
        <v>44</v>
      </c>
      <c r="M645" t="s">
        <v>54</v>
      </c>
      <c r="N6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5" t="s">
        <v>57</v>
      </c>
      <c r="Q645" t="s">
        <v>59</v>
      </c>
      <c r="R645" t="s">
        <v>59</v>
      </c>
      <c r="S645" t="s">
        <v>59</v>
      </c>
      <c r="T645" t="s">
        <v>59</v>
      </c>
      <c r="V645" t="s">
        <v>59</v>
      </c>
      <c r="W645" t="s">
        <v>80</v>
      </c>
    </row>
    <row r="646" spans="2:23" x14ac:dyDescent="0.2">
      <c r="B646">
        <f t="shared" ca="1" si="9"/>
        <v>0</v>
      </c>
      <c r="E646">
        <v>1</v>
      </c>
      <c r="F646" t="s">
        <v>32</v>
      </c>
      <c r="I646" t="s">
        <v>39</v>
      </c>
      <c r="J646" t="s">
        <v>44</v>
      </c>
      <c r="M646" t="s">
        <v>54</v>
      </c>
      <c r="N6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6" t="s">
        <v>57</v>
      </c>
      <c r="Q646" t="s">
        <v>59</v>
      </c>
      <c r="R646" t="s">
        <v>59</v>
      </c>
      <c r="S646" t="s">
        <v>59</v>
      </c>
      <c r="T646" t="s">
        <v>59</v>
      </c>
      <c r="V646" t="s">
        <v>59</v>
      </c>
      <c r="W646" t="s">
        <v>80</v>
      </c>
    </row>
    <row r="647" spans="2:23" x14ac:dyDescent="0.2">
      <c r="B647">
        <f t="shared" ref="B647:B710" ca="1" si="10">LEN(INDIRECT(ADDRESS(ROW() + (0),COLUMN() + (-1))))</f>
        <v>0</v>
      </c>
      <c r="E647">
        <v>1</v>
      </c>
      <c r="F647" t="s">
        <v>32</v>
      </c>
      <c r="I647" t="s">
        <v>39</v>
      </c>
      <c r="J647" t="s">
        <v>44</v>
      </c>
      <c r="M647" t="s">
        <v>54</v>
      </c>
      <c r="N6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7" t="s">
        <v>57</v>
      </c>
      <c r="Q647" t="s">
        <v>59</v>
      </c>
      <c r="R647" t="s">
        <v>59</v>
      </c>
      <c r="S647" t="s">
        <v>59</v>
      </c>
      <c r="T647" t="s">
        <v>59</v>
      </c>
      <c r="V647" t="s">
        <v>59</v>
      </c>
      <c r="W647" t="s">
        <v>80</v>
      </c>
    </row>
    <row r="648" spans="2:23" x14ac:dyDescent="0.2">
      <c r="B648">
        <f t="shared" ca="1" si="10"/>
        <v>0</v>
      </c>
      <c r="E648">
        <v>1</v>
      </c>
      <c r="F648" t="s">
        <v>32</v>
      </c>
      <c r="I648" t="s">
        <v>39</v>
      </c>
      <c r="J648" t="s">
        <v>44</v>
      </c>
      <c r="M648" t="s">
        <v>54</v>
      </c>
      <c r="N6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8" t="s">
        <v>57</v>
      </c>
      <c r="Q648" t="s">
        <v>59</v>
      </c>
      <c r="R648" t="s">
        <v>59</v>
      </c>
      <c r="S648" t="s">
        <v>59</v>
      </c>
      <c r="T648" t="s">
        <v>59</v>
      </c>
      <c r="V648" t="s">
        <v>59</v>
      </c>
      <c r="W648" t="s">
        <v>80</v>
      </c>
    </row>
    <row r="649" spans="2:23" x14ac:dyDescent="0.2">
      <c r="B649">
        <f t="shared" ca="1" si="10"/>
        <v>0</v>
      </c>
      <c r="E649">
        <v>1</v>
      </c>
      <c r="F649" t="s">
        <v>32</v>
      </c>
      <c r="I649" t="s">
        <v>39</v>
      </c>
      <c r="J649" t="s">
        <v>44</v>
      </c>
      <c r="M649" t="s">
        <v>54</v>
      </c>
      <c r="N6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49" t="s">
        <v>57</v>
      </c>
      <c r="Q649" t="s">
        <v>59</v>
      </c>
      <c r="R649" t="s">
        <v>59</v>
      </c>
      <c r="S649" t="s">
        <v>59</v>
      </c>
      <c r="T649" t="s">
        <v>59</v>
      </c>
      <c r="V649" t="s">
        <v>59</v>
      </c>
      <c r="W649" t="s">
        <v>80</v>
      </c>
    </row>
    <row r="650" spans="2:23" x14ac:dyDescent="0.2">
      <c r="B650">
        <f t="shared" ca="1" si="10"/>
        <v>0</v>
      </c>
      <c r="E650">
        <v>1</v>
      </c>
      <c r="F650" t="s">
        <v>32</v>
      </c>
      <c r="I650" t="s">
        <v>39</v>
      </c>
      <c r="J650" t="s">
        <v>44</v>
      </c>
      <c r="M650" t="s">
        <v>54</v>
      </c>
      <c r="N6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0" t="s">
        <v>57</v>
      </c>
      <c r="Q650" t="s">
        <v>59</v>
      </c>
      <c r="R650" t="s">
        <v>59</v>
      </c>
      <c r="S650" t="s">
        <v>59</v>
      </c>
      <c r="T650" t="s">
        <v>59</v>
      </c>
      <c r="V650" t="s">
        <v>59</v>
      </c>
      <c r="W650" t="s">
        <v>80</v>
      </c>
    </row>
    <row r="651" spans="2:23" x14ac:dyDescent="0.2">
      <c r="B651">
        <f t="shared" ca="1" si="10"/>
        <v>0</v>
      </c>
      <c r="E651">
        <v>1</v>
      </c>
      <c r="F651" t="s">
        <v>32</v>
      </c>
      <c r="I651" t="s">
        <v>39</v>
      </c>
      <c r="J651" t="s">
        <v>44</v>
      </c>
      <c r="M651" t="s">
        <v>54</v>
      </c>
      <c r="N6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1" t="s">
        <v>57</v>
      </c>
      <c r="Q651" t="s">
        <v>59</v>
      </c>
      <c r="R651" t="s">
        <v>59</v>
      </c>
      <c r="S651" t="s">
        <v>59</v>
      </c>
      <c r="T651" t="s">
        <v>59</v>
      </c>
      <c r="V651" t="s">
        <v>59</v>
      </c>
      <c r="W651" t="s">
        <v>80</v>
      </c>
    </row>
    <row r="652" spans="2:23" x14ac:dyDescent="0.2">
      <c r="B652">
        <f t="shared" ca="1" si="10"/>
        <v>0</v>
      </c>
      <c r="E652">
        <v>1</v>
      </c>
      <c r="F652" t="s">
        <v>32</v>
      </c>
      <c r="I652" t="s">
        <v>39</v>
      </c>
      <c r="J652" t="s">
        <v>44</v>
      </c>
      <c r="M652" t="s">
        <v>54</v>
      </c>
      <c r="N6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2" t="s">
        <v>57</v>
      </c>
      <c r="Q652" t="s">
        <v>59</v>
      </c>
      <c r="R652" t="s">
        <v>59</v>
      </c>
      <c r="S652" t="s">
        <v>59</v>
      </c>
      <c r="T652" t="s">
        <v>59</v>
      </c>
      <c r="V652" t="s">
        <v>59</v>
      </c>
      <c r="W652" t="s">
        <v>80</v>
      </c>
    </row>
    <row r="653" spans="2:23" x14ac:dyDescent="0.2">
      <c r="B653">
        <f t="shared" ca="1" si="10"/>
        <v>0</v>
      </c>
      <c r="E653">
        <v>1</v>
      </c>
      <c r="F653" t="s">
        <v>32</v>
      </c>
      <c r="I653" t="s">
        <v>39</v>
      </c>
      <c r="J653" t="s">
        <v>44</v>
      </c>
      <c r="M653" t="s">
        <v>54</v>
      </c>
      <c r="N6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3" t="s">
        <v>57</v>
      </c>
      <c r="Q653" t="s">
        <v>59</v>
      </c>
      <c r="R653" t="s">
        <v>59</v>
      </c>
      <c r="S653" t="s">
        <v>59</v>
      </c>
      <c r="T653" t="s">
        <v>59</v>
      </c>
      <c r="V653" t="s">
        <v>59</v>
      </c>
      <c r="W653" t="s">
        <v>80</v>
      </c>
    </row>
    <row r="654" spans="2:23" x14ac:dyDescent="0.2">
      <c r="B654">
        <f t="shared" ca="1" si="10"/>
        <v>0</v>
      </c>
      <c r="E654">
        <v>1</v>
      </c>
      <c r="F654" t="s">
        <v>32</v>
      </c>
      <c r="I654" t="s">
        <v>39</v>
      </c>
      <c r="J654" t="s">
        <v>44</v>
      </c>
      <c r="M654" t="s">
        <v>54</v>
      </c>
      <c r="N6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4" t="s">
        <v>57</v>
      </c>
      <c r="Q654" t="s">
        <v>59</v>
      </c>
      <c r="R654" t="s">
        <v>59</v>
      </c>
      <c r="S654" t="s">
        <v>59</v>
      </c>
      <c r="T654" t="s">
        <v>59</v>
      </c>
      <c r="V654" t="s">
        <v>59</v>
      </c>
      <c r="W654" t="s">
        <v>80</v>
      </c>
    </row>
    <row r="655" spans="2:23" x14ac:dyDescent="0.2">
      <c r="B655">
        <f t="shared" ca="1" si="10"/>
        <v>0</v>
      </c>
      <c r="E655">
        <v>1</v>
      </c>
      <c r="F655" t="s">
        <v>32</v>
      </c>
      <c r="I655" t="s">
        <v>39</v>
      </c>
      <c r="J655" t="s">
        <v>44</v>
      </c>
      <c r="M655" t="s">
        <v>54</v>
      </c>
      <c r="N6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5" t="s">
        <v>57</v>
      </c>
      <c r="Q655" t="s">
        <v>59</v>
      </c>
      <c r="R655" t="s">
        <v>59</v>
      </c>
      <c r="S655" t="s">
        <v>59</v>
      </c>
      <c r="T655" t="s">
        <v>59</v>
      </c>
      <c r="V655" t="s">
        <v>59</v>
      </c>
      <c r="W655" t="s">
        <v>80</v>
      </c>
    </row>
    <row r="656" spans="2:23" x14ac:dyDescent="0.2">
      <c r="B656">
        <f t="shared" ca="1" si="10"/>
        <v>0</v>
      </c>
      <c r="E656">
        <v>1</v>
      </c>
      <c r="F656" t="s">
        <v>32</v>
      </c>
      <c r="I656" t="s">
        <v>39</v>
      </c>
      <c r="J656" t="s">
        <v>44</v>
      </c>
      <c r="M656" t="s">
        <v>54</v>
      </c>
      <c r="N6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6" t="s">
        <v>57</v>
      </c>
      <c r="Q656" t="s">
        <v>59</v>
      </c>
      <c r="R656" t="s">
        <v>59</v>
      </c>
      <c r="S656" t="s">
        <v>59</v>
      </c>
      <c r="T656" t="s">
        <v>59</v>
      </c>
      <c r="V656" t="s">
        <v>59</v>
      </c>
      <c r="W656" t="s">
        <v>80</v>
      </c>
    </row>
    <row r="657" spans="2:23" x14ac:dyDescent="0.2">
      <c r="B657">
        <f t="shared" ca="1" si="10"/>
        <v>0</v>
      </c>
      <c r="E657">
        <v>1</v>
      </c>
      <c r="F657" t="s">
        <v>32</v>
      </c>
      <c r="I657" t="s">
        <v>39</v>
      </c>
      <c r="J657" t="s">
        <v>44</v>
      </c>
      <c r="M657" t="s">
        <v>54</v>
      </c>
      <c r="N6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7" t="s">
        <v>57</v>
      </c>
      <c r="Q657" t="s">
        <v>59</v>
      </c>
      <c r="R657" t="s">
        <v>59</v>
      </c>
      <c r="S657" t="s">
        <v>59</v>
      </c>
      <c r="T657" t="s">
        <v>59</v>
      </c>
      <c r="V657" t="s">
        <v>59</v>
      </c>
      <c r="W657" t="s">
        <v>80</v>
      </c>
    </row>
    <row r="658" spans="2:23" x14ac:dyDescent="0.2">
      <c r="B658">
        <f t="shared" ca="1" si="10"/>
        <v>0</v>
      </c>
      <c r="E658">
        <v>1</v>
      </c>
      <c r="F658" t="s">
        <v>32</v>
      </c>
      <c r="I658" t="s">
        <v>39</v>
      </c>
      <c r="J658" t="s">
        <v>44</v>
      </c>
      <c r="M658" t="s">
        <v>54</v>
      </c>
      <c r="N6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8" t="s">
        <v>57</v>
      </c>
      <c r="Q658" t="s">
        <v>59</v>
      </c>
      <c r="R658" t="s">
        <v>59</v>
      </c>
      <c r="S658" t="s">
        <v>59</v>
      </c>
      <c r="T658" t="s">
        <v>59</v>
      </c>
      <c r="V658" t="s">
        <v>59</v>
      </c>
      <c r="W658" t="s">
        <v>80</v>
      </c>
    </row>
    <row r="659" spans="2:23" x14ac:dyDescent="0.2">
      <c r="B659">
        <f t="shared" ca="1" si="10"/>
        <v>0</v>
      </c>
      <c r="E659">
        <v>1</v>
      </c>
      <c r="F659" t="s">
        <v>32</v>
      </c>
      <c r="I659" t="s">
        <v>39</v>
      </c>
      <c r="J659" t="s">
        <v>44</v>
      </c>
      <c r="M659" t="s">
        <v>54</v>
      </c>
      <c r="N6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59" t="s">
        <v>57</v>
      </c>
      <c r="Q659" t="s">
        <v>59</v>
      </c>
      <c r="R659" t="s">
        <v>59</v>
      </c>
      <c r="S659" t="s">
        <v>59</v>
      </c>
      <c r="T659" t="s">
        <v>59</v>
      </c>
      <c r="V659" t="s">
        <v>59</v>
      </c>
      <c r="W659" t="s">
        <v>80</v>
      </c>
    </row>
    <row r="660" spans="2:23" x14ac:dyDescent="0.2">
      <c r="B660">
        <f t="shared" ca="1" si="10"/>
        <v>0</v>
      </c>
      <c r="E660">
        <v>1</v>
      </c>
      <c r="F660" t="s">
        <v>32</v>
      </c>
      <c r="I660" t="s">
        <v>39</v>
      </c>
      <c r="J660" t="s">
        <v>44</v>
      </c>
      <c r="M660" t="s">
        <v>54</v>
      </c>
      <c r="N6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0" t="s">
        <v>57</v>
      </c>
      <c r="Q660" t="s">
        <v>59</v>
      </c>
      <c r="R660" t="s">
        <v>59</v>
      </c>
      <c r="S660" t="s">
        <v>59</v>
      </c>
      <c r="T660" t="s">
        <v>59</v>
      </c>
      <c r="V660" t="s">
        <v>59</v>
      </c>
      <c r="W660" t="s">
        <v>80</v>
      </c>
    </row>
    <row r="661" spans="2:23" x14ac:dyDescent="0.2">
      <c r="B661">
        <f t="shared" ca="1" si="10"/>
        <v>0</v>
      </c>
      <c r="E661">
        <v>1</v>
      </c>
      <c r="F661" t="s">
        <v>32</v>
      </c>
      <c r="I661" t="s">
        <v>39</v>
      </c>
      <c r="J661" t="s">
        <v>44</v>
      </c>
      <c r="M661" t="s">
        <v>54</v>
      </c>
      <c r="N6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1" t="s">
        <v>57</v>
      </c>
      <c r="Q661" t="s">
        <v>59</v>
      </c>
      <c r="R661" t="s">
        <v>59</v>
      </c>
      <c r="S661" t="s">
        <v>59</v>
      </c>
      <c r="T661" t="s">
        <v>59</v>
      </c>
      <c r="V661" t="s">
        <v>59</v>
      </c>
      <c r="W661" t="s">
        <v>80</v>
      </c>
    </row>
    <row r="662" spans="2:23" x14ac:dyDescent="0.2">
      <c r="B662">
        <f t="shared" ca="1" si="10"/>
        <v>0</v>
      </c>
      <c r="E662">
        <v>1</v>
      </c>
      <c r="F662" t="s">
        <v>32</v>
      </c>
      <c r="I662" t="s">
        <v>39</v>
      </c>
      <c r="J662" t="s">
        <v>44</v>
      </c>
      <c r="M662" t="s">
        <v>54</v>
      </c>
      <c r="N6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2" t="s">
        <v>57</v>
      </c>
      <c r="Q662" t="s">
        <v>59</v>
      </c>
      <c r="R662" t="s">
        <v>59</v>
      </c>
      <c r="S662" t="s">
        <v>59</v>
      </c>
      <c r="T662" t="s">
        <v>59</v>
      </c>
      <c r="V662" t="s">
        <v>59</v>
      </c>
      <c r="W662" t="s">
        <v>80</v>
      </c>
    </row>
    <row r="663" spans="2:23" x14ac:dyDescent="0.2">
      <c r="B663">
        <f t="shared" ca="1" si="10"/>
        <v>0</v>
      </c>
      <c r="E663">
        <v>1</v>
      </c>
      <c r="F663" t="s">
        <v>32</v>
      </c>
      <c r="I663" t="s">
        <v>39</v>
      </c>
      <c r="J663" t="s">
        <v>44</v>
      </c>
      <c r="M663" t="s">
        <v>54</v>
      </c>
      <c r="N6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3" t="s">
        <v>57</v>
      </c>
      <c r="Q663" t="s">
        <v>59</v>
      </c>
      <c r="R663" t="s">
        <v>59</v>
      </c>
      <c r="S663" t="s">
        <v>59</v>
      </c>
      <c r="T663" t="s">
        <v>59</v>
      </c>
      <c r="V663" t="s">
        <v>59</v>
      </c>
      <c r="W663" t="s">
        <v>80</v>
      </c>
    </row>
    <row r="664" spans="2:23" x14ac:dyDescent="0.2">
      <c r="B664">
        <f t="shared" ca="1" si="10"/>
        <v>0</v>
      </c>
      <c r="E664">
        <v>1</v>
      </c>
      <c r="F664" t="s">
        <v>32</v>
      </c>
      <c r="I664" t="s">
        <v>39</v>
      </c>
      <c r="J664" t="s">
        <v>44</v>
      </c>
      <c r="M664" t="s">
        <v>54</v>
      </c>
      <c r="N6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4" t="s">
        <v>57</v>
      </c>
      <c r="Q664" t="s">
        <v>59</v>
      </c>
      <c r="R664" t="s">
        <v>59</v>
      </c>
      <c r="S664" t="s">
        <v>59</v>
      </c>
      <c r="T664" t="s">
        <v>59</v>
      </c>
      <c r="V664" t="s">
        <v>59</v>
      </c>
      <c r="W664" t="s">
        <v>80</v>
      </c>
    </row>
    <row r="665" spans="2:23" x14ac:dyDescent="0.2">
      <c r="B665">
        <f t="shared" ca="1" si="10"/>
        <v>0</v>
      </c>
      <c r="E665">
        <v>1</v>
      </c>
      <c r="F665" t="s">
        <v>32</v>
      </c>
      <c r="I665" t="s">
        <v>39</v>
      </c>
      <c r="J665" t="s">
        <v>44</v>
      </c>
      <c r="M665" t="s">
        <v>54</v>
      </c>
      <c r="N6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5" t="s">
        <v>57</v>
      </c>
      <c r="Q665" t="s">
        <v>59</v>
      </c>
      <c r="R665" t="s">
        <v>59</v>
      </c>
      <c r="S665" t="s">
        <v>59</v>
      </c>
      <c r="T665" t="s">
        <v>59</v>
      </c>
      <c r="V665" t="s">
        <v>59</v>
      </c>
      <c r="W665" t="s">
        <v>80</v>
      </c>
    </row>
    <row r="666" spans="2:23" x14ac:dyDescent="0.2">
      <c r="B666">
        <f t="shared" ca="1" si="10"/>
        <v>0</v>
      </c>
      <c r="E666">
        <v>1</v>
      </c>
      <c r="F666" t="s">
        <v>32</v>
      </c>
      <c r="I666" t="s">
        <v>39</v>
      </c>
      <c r="J666" t="s">
        <v>44</v>
      </c>
      <c r="M666" t="s">
        <v>54</v>
      </c>
      <c r="N6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6" t="s">
        <v>57</v>
      </c>
      <c r="Q666" t="s">
        <v>59</v>
      </c>
      <c r="R666" t="s">
        <v>59</v>
      </c>
      <c r="S666" t="s">
        <v>59</v>
      </c>
      <c r="T666" t="s">
        <v>59</v>
      </c>
      <c r="V666" t="s">
        <v>59</v>
      </c>
      <c r="W666" t="s">
        <v>80</v>
      </c>
    </row>
    <row r="667" spans="2:23" x14ac:dyDescent="0.2">
      <c r="B667">
        <f t="shared" ca="1" si="10"/>
        <v>0</v>
      </c>
      <c r="E667">
        <v>1</v>
      </c>
      <c r="F667" t="s">
        <v>32</v>
      </c>
      <c r="I667" t="s">
        <v>39</v>
      </c>
      <c r="J667" t="s">
        <v>44</v>
      </c>
      <c r="M667" t="s">
        <v>54</v>
      </c>
      <c r="N6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7" t="s">
        <v>57</v>
      </c>
      <c r="Q667" t="s">
        <v>59</v>
      </c>
      <c r="R667" t="s">
        <v>59</v>
      </c>
      <c r="S667" t="s">
        <v>59</v>
      </c>
      <c r="T667" t="s">
        <v>59</v>
      </c>
      <c r="V667" t="s">
        <v>59</v>
      </c>
      <c r="W667" t="s">
        <v>80</v>
      </c>
    </row>
    <row r="668" spans="2:23" x14ac:dyDescent="0.2">
      <c r="B668">
        <f t="shared" ca="1" si="10"/>
        <v>0</v>
      </c>
      <c r="E668">
        <v>1</v>
      </c>
      <c r="F668" t="s">
        <v>32</v>
      </c>
      <c r="I668" t="s">
        <v>39</v>
      </c>
      <c r="J668" t="s">
        <v>44</v>
      </c>
      <c r="M668" t="s">
        <v>54</v>
      </c>
      <c r="N6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8" t="s">
        <v>57</v>
      </c>
      <c r="Q668" t="s">
        <v>59</v>
      </c>
      <c r="R668" t="s">
        <v>59</v>
      </c>
      <c r="S668" t="s">
        <v>59</v>
      </c>
      <c r="T668" t="s">
        <v>59</v>
      </c>
      <c r="V668" t="s">
        <v>59</v>
      </c>
      <c r="W668" t="s">
        <v>80</v>
      </c>
    </row>
    <row r="669" spans="2:23" x14ac:dyDescent="0.2">
      <c r="B669">
        <f t="shared" ca="1" si="10"/>
        <v>0</v>
      </c>
      <c r="E669">
        <v>1</v>
      </c>
      <c r="F669" t="s">
        <v>32</v>
      </c>
      <c r="I669" t="s">
        <v>39</v>
      </c>
      <c r="J669" t="s">
        <v>44</v>
      </c>
      <c r="M669" t="s">
        <v>54</v>
      </c>
      <c r="N6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69" t="s">
        <v>57</v>
      </c>
      <c r="Q669" t="s">
        <v>59</v>
      </c>
      <c r="R669" t="s">
        <v>59</v>
      </c>
      <c r="S669" t="s">
        <v>59</v>
      </c>
      <c r="T669" t="s">
        <v>59</v>
      </c>
      <c r="V669" t="s">
        <v>59</v>
      </c>
      <c r="W669" t="s">
        <v>80</v>
      </c>
    </row>
    <row r="670" spans="2:23" x14ac:dyDescent="0.2">
      <c r="B670">
        <f t="shared" ca="1" si="10"/>
        <v>0</v>
      </c>
      <c r="E670">
        <v>1</v>
      </c>
      <c r="F670" t="s">
        <v>32</v>
      </c>
      <c r="I670" t="s">
        <v>39</v>
      </c>
      <c r="J670" t="s">
        <v>44</v>
      </c>
      <c r="M670" t="s">
        <v>54</v>
      </c>
      <c r="N6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0" t="s">
        <v>57</v>
      </c>
      <c r="Q670" t="s">
        <v>59</v>
      </c>
      <c r="R670" t="s">
        <v>59</v>
      </c>
      <c r="S670" t="s">
        <v>59</v>
      </c>
      <c r="T670" t="s">
        <v>59</v>
      </c>
      <c r="V670" t="s">
        <v>59</v>
      </c>
      <c r="W670" t="s">
        <v>80</v>
      </c>
    </row>
    <row r="671" spans="2:23" x14ac:dyDescent="0.2">
      <c r="B671">
        <f t="shared" ca="1" si="10"/>
        <v>0</v>
      </c>
      <c r="E671">
        <v>1</v>
      </c>
      <c r="F671" t="s">
        <v>32</v>
      </c>
      <c r="I671" t="s">
        <v>39</v>
      </c>
      <c r="J671" t="s">
        <v>44</v>
      </c>
      <c r="M671" t="s">
        <v>54</v>
      </c>
      <c r="N6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1" t="s">
        <v>57</v>
      </c>
      <c r="Q671" t="s">
        <v>59</v>
      </c>
      <c r="R671" t="s">
        <v>59</v>
      </c>
      <c r="S671" t="s">
        <v>59</v>
      </c>
      <c r="T671" t="s">
        <v>59</v>
      </c>
      <c r="V671" t="s">
        <v>59</v>
      </c>
      <c r="W671" t="s">
        <v>80</v>
      </c>
    </row>
    <row r="672" spans="2:23" x14ac:dyDescent="0.2">
      <c r="B672">
        <f t="shared" ca="1" si="10"/>
        <v>0</v>
      </c>
      <c r="E672">
        <v>1</v>
      </c>
      <c r="F672" t="s">
        <v>32</v>
      </c>
      <c r="I672" t="s">
        <v>39</v>
      </c>
      <c r="J672" t="s">
        <v>44</v>
      </c>
      <c r="M672" t="s">
        <v>54</v>
      </c>
      <c r="N6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2" t="s">
        <v>57</v>
      </c>
      <c r="Q672" t="s">
        <v>59</v>
      </c>
      <c r="R672" t="s">
        <v>59</v>
      </c>
      <c r="S672" t="s">
        <v>59</v>
      </c>
      <c r="T672" t="s">
        <v>59</v>
      </c>
      <c r="V672" t="s">
        <v>59</v>
      </c>
      <c r="W672" t="s">
        <v>80</v>
      </c>
    </row>
    <row r="673" spans="2:23" x14ac:dyDescent="0.2">
      <c r="B673">
        <f t="shared" ca="1" si="10"/>
        <v>0</v>
      </c>
      <c r="E673">
        <v>1</v>
      </c>
      <c r="F673" t="s">
        <v>32</v>
      </c>
      <c r="I673" t="s">
        <v>39</v>
      </c>
      <c r="J673" t="s">
        <v>44</v>
      </c>
      <c r="M673" t="s">
        <v>54</v>
      </c>
      <c r="N6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3" t="s">
        <v>57</v>
      </c>
      <c r="Q673" t="s">
        <v>59</v>
      </c>
      <c r="R673" t="s">
        <v>59</v>
      </c>
      <c r="S673" t="s">
        <v>59</v>
      </c>
      <c r="T673" t="s">
        <v>59</v>
      </c>
      <c r="V673" t="s">
        <v>59</v>
      </c>
      <c r="W673" t="s">
        <v>80</v>
      </c>
    </row>
    <row r="674" spans="2:23" x14ac:dyDescent="0.2">
      <c r="B674">
        <f t="shared" ca="1" si="10"/>
        <v>0</v>
      </c>
      <c r="E674">
        <v>1</v>
      </c>
      <c r="F674" t="s">
        <v>32</v>
      </c>
      <c r="I674" t="s">
        <v>39</v>
      </c>
      <c r="J674" t="s">
        <v>44</v>
      </c>
      <c r="M674" t="s">
        <v>54</v>
      </c>
      <c r="N6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4" t="s">
        <v>57</v>
      </c>
      <c r="Q674" t="s">
        <v>59</v>
      </c>
      <c r="R674" t="s">
        <v>59</v>
      </c>
      <c r="S674" t="s">
        <v>59</v>
      </c>
      <c r="T674" t="s">
        <v>59</v>
      </c>
      <c r="V674" t="s">
        <v>59</v>
      </c>
      <c r="W674" t="s">
        <v>80</v>
      </c>
    </row>
    <row r="675" spans="2:23" x14ac:dyDescent="0.2">
      <c r="B675">
        <f t="shared" ca="1" si="10"/>
        <v>0</v>
      </c>
      <c r="E675">
        <v>1</v>
      </c>
      <c r="F675" t="s">
        <v>32</v>
      </c>
      <c r="I675" t="s">
        <v>39</v>
      </c>
      <c r="J675" t="s">
        <v>44</v>
      </c>
      <c r="M675" t="s">
        <v>54</v>
      </c>
      <c r="N6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5" t="s">
        <v>57</v>
      </c>
      <c r="Q675" t="s">
        <v>59</v>
      </c>
      <c r="R675" t="s">
        <v>59</v>
      </c>
      <c r="S675" t="s">
        <v>59</v>
      </c>
      <c r="T675" t="s">
        <v>59</v>
      </c>
      <c r="V675" t="s">
        <v>59</v>
      </c>
      <c r="W675" t="s">
        <v>80</v>
      </c>
    </row>
    <row r="676" spans="2:23" x14ac:dyDescent="0.2">
      <c r="B676">
        <f t="shared" ca="1" si="10"/>
        <v>0</v>
      </c>
      <c r="E676">
        <v>1</v>
      </c>
      <c r="F676" t="s">
        <v>32</v>
      </c>
      <c r="I676" t="s">
        <v>39</v>
      </c>
      <c r="J676" t="s">
        <v>44</v>
      </c>
      <c r="M676" t="s">
        <v>54</v>
      </c>
      <c r="N6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6" t="s">
        <v>57</v>
      </c>
      <c r="Q676" t="s">
        <v>59</v>
      </c>
      <c r="R676" t="s">
        <v>59</v>
      </c>
      <c r="S676" t="s">
        <v>59</v>
      </c>
      <c r="T676" t="s">
        <v>59</v>
      </c>
      <c r="V676" t="s">
        <v>59</v>
      </c>
      <c r="W676" t="s">
        <v>80</v>
      </c>
    </row>
    <row r="677" spans="2:23" x14ac:dyDescent="0.2">
      <c r="B677">
        <f t="shared" ca="1" si="10"/>
        <v>0</v>
      </c>
      <c r="E677">
        <v>1</v>
      </c>
      <c r="F677" t="s">
        <v>32</v>
      </c>
      <c r="I677" t="s">
        <v>39</v>
      </c>
      <c r="J677" t="s">
        <v>44</v>
      </c>
      <c r="M677" t="s">
        <v>54</v>
      </c>
      <c r="N6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7" t="s">
        <v>57</v>
      </c>
      <c r="Q677" t="s">
        <v>59</v>
      </c>
      <c r="R677" t="s">
        <v>59</v>
      </c>
      <c r="S677" t="s">
        <v>59</v>
      </c>
      <c r="T677" t="s">
        <v>59</v>
      </c>
      <c r="V677" t="s">
        <v>59</v>
      </c>
      <c r="W677" t="s">
        <v>80</v>
      </c>
    </row>
    <row r="678" spans="2:23" x14ac:dyDescent="0.2">
      <c r="B678">
        <f t="shared" ca="1" si="10"/>
        <v>0</v>
      </c>
      <c r="E678">
        <v>1</v>
      </c>
      <c r="F678" t="s">
        <v>32</v>
      </c>
      <c r="I678" t="s">
        <v>39</v>
      </c>
      <c r="J678" t="s">
        <v>44</v>
      </c>
      <c r="M678" t="s">
        <v>54</v>
      </c>
      <c r="N6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8" t="s">
        <v>57</v>
      </c>
      <c r="Q678" t="s">
        <v>59</v>
      </c>
      <c r="R678" t="s">
        <v>59</v>
      </c>
      <c r="S678" t="s">
        <v>59</v>
      </c>
      <c r="T678" t="s">
        <v>59</v>
      </c>
      <c r="V678" t="s">
        <v>59</v>
      </c>
      <c r="W678" t="s">
        <v>80</v>
      </c>
    </row>
    <row r="679" spans="2:23" x14ac:dyDescent="0.2">
      <c r="B679">
        <f t="shared" ca="1" si="10"/>
        <v>0</v>
      </c>
      <c r="E679">
        <v>1</v>
      </c>
      <c r="F679" t="s">
        <v>32</v>
      </c>
      <c r="I679" t="s">
        <v>39</v>
      </c>
      <c r="J679" t="s">
        <v>44</v>
      </c>
      <c r="M679" t="s">
        <v>54</v>
      </c>
      <c r="N6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79" t="s">
        <v>57</v>
      </c>
      <c r="Q679" t="s">
        <v>59</v>
      </c>
      <c r="R679" t="s">
        <v>59</v>
      </c>
      <c r="S679" t="s">
        <v>59</v>
      </c>
      <c r="T679" t="s">
        <v>59</v>
      </c>
      <c r="V679" t="s">
        <v>59</v>
      </c>
      <c r="W679" t="s">
        <v>80</v>
      </c>
    </row>
    <row r="680" spans="2:23" x14ac:dyDescent="0.2">
      <c r="B680">
        <f t="shared" ca="1" si="10"/>
        <v>0</v>
      </c>
      <c r="E680">
        <v>1</v>
      </c>
      <c r="F680" t="s">
        <v>32</v>
      </c>
      <c r="I680" t="s">
        <v>39</v>
      </c>
      <c r="J680" t="s">
        <v>44</v>
      </c>
      <c r="M680" t="s">
        <v>54</v>
      </c>
      <c r="N6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0" t="s">
        <v>57</v>
      </c>
      <c r="Q680" t="s">
        <v>59</v>
      </c>
      <c r="R680" t="s">
        <v>59</v>
      </c>
      <c r="S680" t="s">
        <v>59</v>
      </c>
      <c r="T680" t="s">
        <v>59</v>
      </c>
      <c r="V680" t="s">
        <v>59</v>
      </c>
      <c r="W680" t="s">
        <v>80</v>
      </c>
    </row>
    <row r="681" spans="2:23" x14ac:dyDescent="0.2">
      <c r="B681">
        <f t="shared" ca="1" si="10"/>
        <v>0</v>
      </c>
      <c r="E681">
        <v>1</v>
      </c>
      <c r="F681" t="s">
        <v>32</v>
      </c>
      <c r="I681" t="s">
        <v>39</v>
      </c>
      <c r="J681" t="s">
        <v>44</v>
      </c>
      <c r="M681" t="s">
        <v>54</v>
      </c>
      <c r="N6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1" t="s">
        <v>57</v>
      </c>
      <c r="Q681" t="s">
        <v>59</v>
      </c>
      <c r="R681" t="s">
        <v>59</v>
      </c>
      <c r="S681" t="s">
        <v>59</v>
      </c>
      <c r="T681" t="s">
        <v>59</v>
      </c>
      <c r="V681" t="s">
        <v>59</v>
      </c>
      <c r="W681" t="s">
        <v>80</v>
      </c>
    </row>
    <row r="682" spans="2:23" x14ac:dyDescent="0.2">
      <c r="B682">
        <f t="shared" ca="1" si="10"/>
        <v>0</v>
      </c>
      <c r="E682">
        <v>1</v>
      </c>
      <c r="F682" t="s">
        <v>32</v>
      </c>
      <c r="I682" t="s">
        <v>39</v>
      </c>
      <c r="J682" t="s">
        <v>44</v>
      </c>
      <c r="M682" t="s">
        <v>54</v>
      </c>
      <c r="N6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2" t="s">
        <v>57</v>
      </c>
      <c r="Q682" t="s">
        <v>59</v>
      </c>
      <c r="R682" t="s">
        <v>59</v>
      </c>
      <c r="S682" t="s">
        <v>59</v>
      </c>
      <c r="T682" t="s">
        <v>59</v>
      </c>
      <c r="V682" t="s">
        <v>59</v>
      </c>
      <c r="W682" t="s">
        <v>80</v>
      </c>
    </row>
    <row r="683" spans="2:23" x14ac:dyDescent="0.2">
      <c r="B683">
        <f t="shared" ca="1" si="10"/>
        <v>0</v>
      </c>
      <c r="E683">
        <v>1</v>
      </c>
      <c r="F683" t="s">
        <v>32</v>
      </c>
      <c r="I683" t="s">
        <v>39</v>
      </c>
      <c r="J683" t="s">
        <v>44</v>
      </c>
      <c r="M683" t="s">
        <v>54</v>
      </c>
      <c r="N6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3" t="s">
        <v>57</v>
      </c>
      <c r="Q683" t="s">
        <v>59</v>
      </c>
      <c r="R683" t="s">
        <v>59</v>
      </c>
      <c r="S683" t="s">
        <v>59</v>
      </c>
      <c r="T683" t="s">
        <v>59</v>
      </c>
      <c r="V683" t="s">
        <v>59</v>
      </c>
      <c r="W683" t="s">
        <v>80</v>
      </c>
    </row>
    <row r="684" spans="2:23" x14ac:dyDescent="0.2">
      <c r="B684">
        <f t="shared" ca="1" si="10"/>
        <v>0</v>
      </c>
      <c r="E684">
        <v>1</v>
      </c>
      <c r="F684" t="s">
        <v>32</v>
      </c>
      <c r="I684" t="s">
        <v>39</v>
      </c>
      <c r="J684" t="s">
        <v>44</v>
      </c>
      <c r="M684" t="s">
        <v>54</v>
      </c>
      <c r="N6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4" t="s">
        <v>57</v>
      </c>
      <c r="Q684" t="s">
        <v>59</v>
      </c>
      <c r="R684" t="s">
        <v>59</v>
      </c>
      <c r="S684" t="s">
        <v>59</v>
      </c>
      <c r="T684" t="s">
        <v>59</v>
      </c>
      <c r="V684" t="s">
        <v>59</v>
      </c>
      <c r="W684" t="s">
        <v>80</v>
      </c>
    </row>
    <row r="685" spans="2:23" x14ac:dyDescent="0.2">
      <c r="B685">
        <f t="shared" ca="1" si="10"/>
        <v>0</v>
      </c>
      <c r="E685">
        <v>1</v>
      </c>
      <c r="F685" t="s">
        <v>32</v>
      </c>
      <c r="I685" t="s">
        <v>39</v>
      </c>
      <c r="J685" t="s">
        <v>44</v>
      </c>
      <c r="M685" t="s">
        <v>54</v>
      </c>
      <c r="N6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5" t="s">
        <v>57</v>
      </c>
      <c r="Q685" t="s">
        <v>59</v>
      </c>
      <c r="R685" t="s">
        <v>59</v>
      </c>
      <c r="S685" t="s">
        <v>59</v>
      </c>
      <c r="T685" t="s">
        <v>59</v>
      </c>
      <c r="V685" t="s">
        <v>59</v>
      </c>
      <c r="W685" t="s">
        <v>80</v>
      </c>
    </row>
    <row r="686" spans="2:23" x14ac:dyDescent="0.2">
      <c r="B686">
        <f t="shared" ca="1" si="10"/>
        <v>0</v>
      </c>
      <c r="E686">
        <v>1</v>
      </c>
      <c r="F686" t="s">
        <v>32</v>
      </c>
      <c r="I686" t="s">
        <v>39</v>
      </c>
      <c r="J686" t="s">
        <v>44</v>
      </c>
      <c r="M686" t="s">
        <v>54</v>
      </c>
      <c r="N6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6" t="s">
        <v>57</v>
      </c>
      <c r="Q686" t="s">
        <v>59</v>
      </c>
      <c r="R686" t="s">
        <v>59</v>
      </c>
      <c r="S686" t="s">
        <v>59</v>
      </c>
      <c r="T686" t="s">
        <v>59</v>
      </c>
      <c r="V686" t="s">
        <v>59</v>
      </c>
      <c r="W686" t="s">
        <v>80</v>
      </c>
    </row>
    <row r="687" spans="2:23" x14ac:dyDescent="0.2">
      <c r="B687">
        <f t="shared" ca="1" si="10"/>
        <v>0</v>
      </c>
      <c r="E687">
        <v>1</v>
      </c>
      <c r="F687" t="s">
        <v>32</v>
      </c>
      <c r="I687" t="s">
        <v>39</v>
      </c>
      <c r="J687" t="s">
        <v>44</v>
      </c>
      <c r="M687" t="s">
        <v>54</v>
      </c>
      <c r="N6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7" t="s">
        <v>57</v>
      </c>
      <c r="Q687" t="s">
        <v>59</v>
      </c>
      <c r="R687" t="s">
        <v>59</v>
      </c>
      <c r="S687" t="s">
        <v>59</v>
      </c>
      <c r="T687" t="s">
        <v>59</v>
      </c>
      <c r="V687" t="s">
        <v>59</v>
      </c>
      <c r="W687" t="s">
        <v>80</v>
      </c>
    </row>
    <row r="688" spans="2:23" x14ac:dyDescent="0.2">
      <c r="B688">
        <f t="shared" ca="1" si="10"/>
        <v>0</v>
      </c>
      <c r="E688">
        <v>1</v>
      </c>
      <c r="F688" t="s">
        <v>32</v>
      </c>
      <c r="I688" t="s">
        <v>39</v>
      </c>
      <c r="J688" t="s">
        <v>44</v>
      </c>
      <c r="M688" t="s">
        <v>54</v>
      </c>
      <c r="N6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8" t="s">
        <v>57</v>
      </c>
      <c r="Q688" t="s">
        <v>59</v>
      </c>
      <c r="R688" t="s">
        <v>59</v>
      </c>
      <c r="S688" t="s">
        <v>59</v>
      </c>
      <c r="T688" t="s">
        <v>59</v>
      </c>
      <c r="V688" t="s">
        <v>59</v>
      </c>
      <c r="W688" t="s">
        <v>80</v>
      </c>
    </row>
    <row r="689" spans="2:23" x14ac:dyDescent="0.2">
      <c r="B689">
        <f t="shared" ca="1" si="10"/>
        <v>0</v>
      </c>
      <c r="E689">
        <v>1</v>
      </c>
      <c r="F689" t="s">
        <v>32</v>
      </c>
      <c r="I689" t="s">
        <v>39</v>
      </c>
      <c r="J689" t="s">
        <v>44</v>
      </c>
      <c r="M689" t="s">
        <v>54</v>
      </c>
      <c r="N6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89" t="s">
        <v>57</v>
      </c>
      <c r="Q689" t="s">
        <v>59</v>
      </c>
      <c r="R689" t="s">
        <v>59</v>
      </c>
      <c r="S689" t="s">
        <v>59</v>
      </c>
      <c r="T689" t="s">
        <v>59</v>
      </c>
      <c r="V689" t="s">
        <v>59</v>
      </c>
      <c r="W689" t="s">
        <v>80</v>
      </c>
    </row>
    <row r="690" spans="2:23" x14ac:dyDescent="0.2">
      <c r="B690">
        <f t="shared" ca="1" si="10"/>
        <v>0</v>
      </c>
      <c r="E690">
        <v>1</v>
      </c>
      <c r="F690" t="s">
        <v>32</v>
      </c>
      <c r="I690" t="s">
        <v>39</v>
      </c>
      <c r="J690" t="s">
        <v>44</v>
      </c>
      <c r="M690" t="s">
        <v>54</v>
      </c>
      <c r="N6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0" t="s">
        <v>57</v>
      </c>
      <c r="Q690" t="s">
        <v>59</v>
      </c>
      <c r="R690" t="s">
        <v>59</v>
      </c>
      <c r="S690" t="s">
        <v>59</v>
      </c>
      <c r="T690" t="s">
        <v>59</v>
      </c>
      <c r="V690" t="s">
        <v>59</v>
      </c>
      <c r="W690" t="s">
        <v>80</v>
      </c>
    </row>
    <row r="691" spans="2:23" x14ac:dyDescent="0.2">
      <c r="B691">
        <f t="shared" ca="1" si="10"/>
        <v>0</v>
      </c>
      <c r="E691">
        <v>1</v>
      </c>
      <c r="F691" t="s">
        <v>32</v>
      </c>
      <c r="I691" t="s">
        <v>39</v>
      </c>
      <c r="J691" t="s">
        <v>44</v>
      </c>
      <c r="M691" t="s">
        <v>54</v>
      </c>
      <c r="N6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1" t="s">
        <v>57</v>
      </c>
      <c r="Q691" t="s">
        <v>59</v>
      </c>
      <c r="R691" t="s">
        <v>59</v>
      </c>
      <c r="S691" t="s">
        <v>59</v>
      </c>
      <c r="T691" t="s">
        <v>59</v>
      </c>
      <c r="V691" t="s">
        <v>59</v>
      </c>
      <c r="W691" t="s">
        <v>80</v>
      </c>
    </row>
    <row r="692" spans="2:23" x14ac:dyDescent="0.2">
      <c r="B692">
        <f t="shared" ca="1" si="10"/>
        <v>0</v>
      </c>
      <c r="E692">
        <v>1</v>
      </c>
      <c r="F692" t="s">
        <v>32</v>
      </c>
      <c r="I692" t="s">
        <v>39</v>
      </c>
      <c r="J692" t="s">
        <v>44</v>
      </c>
      <c r="M692" t="s">
        <v>54</v>
      </c>
      <c r="N6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2" t="s">
        <v>57</v>
      </c>
      <c r="Q692" t="s">
        <v>59</v>
      </c>
      <c r="R692" t="s">
        <v>59</v>
      </c>
      <c r="S692" t="s">
        <v>59</v>
      </c>
      <c r="T692" t="s">
        <v>59</v>
      </c>
      <c r="V692" t="s">
        <v>59</v>
      </c>
      <c r="W692" t="s">
        <v>80</v>
      </c>
    </row>
    <row r="693" spans="2:23" x14ac:dyDescent="0.2">
      <c r="B693">
        <f t="shared" ca="1" si="10"/>
        <v>0</v>
      </c>
      <c r="E693">
        <v>1</v>
      </c>
      <c r="F693" t="s">
        <v>32</v>
      </c>
      <c r="I693" t="s">
        <v>39</v>
      </c>
      <c r="J693" t="s">
        <v>44</v>
      </c>
      <c r="M693" t="s">
        <v>54</v>
      </c>
      <c r="N6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3" t="s">
        <v>57</v>
      </c>
      <c r="Q693" t="s">
        <v>59</v>
      </c>
      <c r="R693" t="s">
        <v>59</v>
      </c>
      <c r="S693" t="s">
        <v>59</v>
      </c>
      <c r="T693" t="s">
        <v>59</v>
      </c>
      <c r="V693" t="s">
        <v>59</v>
      </c>
      <c r="W693" t="s">
        <v>80</v>
      </c>
    </row>
    <row r="694" spans="2:23" x14ac:dyDescent="0.2">
      <c r="B694">
        <f t="shared" ca="1" si="10"/>
        <v>0</v>
      </c>
      <c r="E694">
        <v>1</v>
      </c>
      <c r="F694" t="s">
        <v>32</v>
      </c>
      <c r="I694" t="s">
        <v>39</v>
      </c>
      <c r="J694" t="s">
        <v>44</v>
      </c>
      <c r="M694" t="s">
        <v>54</v>
      </c>
      <c r="N6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4" t="s">
        <v>57</v>
      </c>
      <c r="Q694" t="s">
        <v>59</v>
      </c>
      <c r="R694" t="s">
        <v>59</v>
      </c>
      <c r="S694" t="s">
        <v>59</v>
      </c>
      <c r="T694" t="s">
        <v>59</v>
      </c>
      <c r="V694" t="s">
        <v>59</v>
      </c>
      <c r="W694" t="s">
        <v>80</v>
      </c>
    </row>
    <row r="695" spans="2:23" x14ac:dyDescent="0.2">
      <c r="B695">
        <f t="shared" ca="1" si="10"/>
        <v>0</v>
      </c>
      <c r="E695">
        <v>1</v>
      </c>
      <c r="F695" t="s">
        <v>32</v>
      </c>
      <c r="I695" t="s">
        <v>39</v>
      </c>
      <c r="J695" t="s">
        <v>44</v>
      </c>
      <c r="M695" t="s">
        <v>54</v>
      </c>
      <c r="N6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5" t="s">
        <v>57</v>
      </c>
      <c r="Q695" t="s">
        <v>59</v>
      </c>
      <c r="R695" t="s">
        <v>59</v>
      </c>
      <c r="S695" t="s">
        <v>59</v>
      </c>
      <c r="T695" t="s">
        <v>59</v>
      </c>
      <c r="V695" t="s">
        <v>59</v>
      </c>
      <c r="W695" t="s">
        <v>80</v>
      </c>
    </row>
    <row r="696" spans="2:23" x14ac:dyDescent="0.2">
      <c r="B696">
        <f t="shared" ca="1" si="10"/>
        <v>0</v>
      </c>
      <c r="E696">
        <v>1</v>
      </c>
      <c r="F696" t="s">
        <v>32</v>
      </c>
      <c r="I696" t="s">
        <v>39</v>
      </c>
      <c r="J696" t="s">
        <v>44</v>
      </c>
      <c r="M696" t="s">
        <v>54</v>
      </c>
      <c r="N6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6" t="s">
        <v>57</v>
      </c>
      <c r="Q696" t="s">
        <v>59</v>
      </c>
      <c r="R696" t="s">
        <v>59</v>
      </c>
      <c r="S696" t="s">
        <v>59</v>
      </c>
      <c r="T696" t="s">
        <v>59</v>
      </c>
      <c r="V696" t="s">
        <v>59</v>
      </c>
      <c r="W696" t="s">
        <v>80</v>
      </c>
    </row>
    <row r="697" spans="2:23" x14ac:dyDescent="0.2">
      <c r="B697">
        <f t="shared" ca="1" si="10"/>
        <v>0</v>
      </c>
      <c r="E697">
        <v>1</v>
      </c>
      <c r="F697" t="s">
        <v>32</v>
      </c>
      <c r="I697" t="s">
        <v>39</v>
      </c>
      <c r="J697" t="s">
        <v>44</v>
      </c>
      <c r="M697" t="s">
        <v>54</v>
      </c>
      <c r="N6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7" t="s">
        <v>57</v>
      </c>
      <c r="Q697" t="s">
        <v>59</v>
      </c>
      <c r="R697" t="s">
        <v>59</v>
      </c>
      <c r="S697" t="s">
        <v>59</v>
      </c>
      <c r="T697" t="s">
        <v>59</v>
      </c>
      <c r="V697" t="s">
        <v>59</v>
      </c>
      <c r="W697" t="s">
        <v>80</v>
      </c>
    </row>
    <row r="698" spans="2:23" x14ac:dyDescent="0.2">
      <c r="B698">
        <f t="shared" ca="1" si="10"/>
        <v>0</v>
      </c>
      <c r="E698">
        <v>1</v>
      </c>
      <c r="F698" t="s">
        <v>32</v>
      </c>
      <c r="I698" t="s">
        <v>39</v>
      </c>
      <c r="J698" t="s">
        <v>44</v>
      </c>
      <c r="M698" t="s">
        <v>54</v>
      </c>
      <c r="N6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8" t="s">
        <v>57</v>
      </c>
      <c r="Q698" t="s">
        <v>59</v>
      </c>
      <c r="R698" t="s">
        <v>59</v>
      </c>
      <c r="S698" t="s">
        <v>59</v>
      </c>
      <c r="T698" t="s">
        <v>59</v>
      </c>
      <c r="V698" t="s">
        <v>59</v>
      </c>
      <c r="W698" t="s">
        <v>80</v>
      </c>
    </row>
    <row r="699" spans="2:23" x14ac:dyDescent="0.2">
      <c r="B699">
        <f t="shared" ca="1" si="10"/>
        <v>0</v>
      </c>
      <c r="E699">
        <v>1</v>
      </c>
      <c r="F699" t="s">
        <v>32</v>
      </c>
      <c r="I699" t="s">
        <v>39</v>
      </c>
      <c r="J699" t="s">
        <v>44</v>
      </c>
      <c r="M699" t="s">
        <v>54</v>
      </c>
      <c r="N6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6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699" t="s">
        <v>57</v>
      </c>
      <c r="Q699" t="s">
        <v>59</v>
      </c>
      <c r="R699" t="s">
        <v>59</v>
      </c>
      <c r="S699" t="s">
        <v>59</v>
      </c>
      <c r="T699" t="s">
        <v>59</v>
      </c>
      <c r="V699" t="s">
        <v>59</v>
      </c>
      <c r="W699" t="s">
        <v>80</v>
      </c>
    </row>
    <row r="700" spans="2:23" x14ac:dyDescent="0.2">
      <c r="B700">
        <f t="shared" ca="1" si="10"/>
        <v>0</v>
      </c>
      <c r="E700">
        <v>1</v>
      </c>
      <c r="F700" t="s">
        <v>32</v>
      </c>
      <c r="I700" t="s">
        <v>39</v>
      </c>
      <c r="J700" t="s">
        <v>44</v>
      </c>
      <c r="M700" t="s">
        <v>54</v>
      </c>
      <c r="N7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0" t="s">
        <v>57</v>
      </c>
      <c r="Q700" t="s">
        <v>59</v>
      </c>
      <c r="R700" t="s">
        <v>59</v>
      </c>
      <c r="S700" t="s">
        <v>59</v>
      </c>
      <c r="T700" t="s">
        <v>59</v>
      </c>
      <c r="V700" t="s">
        <v>59</v>
      </c>
      <c r="W700" t="s">
        <v>80</v>
      </c>
    </row>
    <row r="701" spans="2:23" x14ac:dyDescent="0.2">
      <c r="B701">
        <f t="shared" ca="1" si="10"/>
        <v>0</v>
      </c>
      <c r="E701">
        <v>1</v>
      </c>
      <c r="F701" t="s">
        <v>32</v>
      </c>
      <c r="I701" t="s">
        <v>39</v>
      </c>
      <c r="J701" t="s">
        <v>44</v>
      </c>
      <c r="M701" t="s">
        <v>54</v>
      </c>
      <c r="N7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1" t="s">
        <v>57</v>
      </c>
      <c r="Q701" t="s">
        <v>59</v>
      </c>
      <c r="R701" t="s">
        <v>59</v>
      </c>
      <c r="S701" t="s">
        <v>59</v>
      </c>
      <c r="T701" t="s">
        <v>59</v>
      </c>
      <c r="V701" t="s">
        <v>59</v>
      </c>
      <c r="W701" t="s">
        <v>80</v>
      </c>
    </row>
    <row r="702" spans="2:23" x14ac:dyDescent="0.2">
      <c r="B702">
        <f t="shared" ca="1" si="10"/>
        <v>0</v>
      </c>
      <c r="E702">
        <v>1</v>
      </c>
      <c r="F702" t="s">
        <v>32</v>
      </c>
      <c r="I702" t="s">
        <v>39</v>
      </c>
      <c r="J702" t="s">
        <v>44</v>
      </c>
      <c r="M702" t="s">
        <v>54</v>
      </c>
      <c r="N7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2" t="s">
        <v>57</v>
      </c>
      <c r="Q702" t="s">
        <v>59</v>
      </c>
      <c r="R702" t="s">
        <v>59</v>
      </c>
      <c r="S702" t="s">
        <v>59</v>
      </c>
      <c r="T702" t="s">
        <v>59</v>
      </c>
      <c r="V702" t="s">
        <v>59</v>
      </c>
      <c r="W702" t="s">
        <v>80</v>
      </c>
    </row>
    <row r="703" spans="2:23" x14ac:dyDescent="0.2">
      <c r="B703">
        <f t="shared" ca="1" si="10"/>
        <v>0</v>
      </c>
      <c r="E703">
        <v>1</v>
      </c>
      <c r="F703" t="s">
        <v>32</v>
      </c>
      <c r="I703" t="s">
        <v>39</v>
      </c>
      <c r="J703" t="s">
        <v>44</v>
      </c>
      <c r="M703" t="s">
        <v>54</v>
      </c>
      <c r="N7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3" t="s">
        <v>57</v>
      </c>
      <c r="Q703" t="s">
        <v>59</v>
      </c>
      <c r="R703" t="s">
        <v>59</v>
      </c>
      <c r="S703" t="s">
        <v>59</v>
      </c>
      <c r="T703" t="s">
        <v>59</v>
      </c>
      <c r="V703" t="s">
        <v>59</v>
      </c>
      <c r="W703" t="s">
        <v>80</v>
      </c>
    </row>
    <row r="704" spans="2:23" x14ac:dyDescent="0.2">
      <c r="B704">
        <f t="shared" ca="1" si="10"/>
        <v>0</v>
      </c>
      <c r="E704">
        <v>1</v>
      </c>
      <c r="F704" t="s">
        <v>32</v>
      </c>
      <c r="I704" t="s">
        <v>39</v>
      </c>
      <c r="J704" t="s">
        <v>44</v>
      </c>
      <c r="M704" t="s">
        <v>54</v>
      </c>
      <c r="N7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4" t="s">
        <v>57</v>
      </c>
      <c r="Q704" t="s">
        <v>59</v>
      </c>
      <c r="R704" t="s">
        <v>59</v>
      </c>
      <c r="S704" t="s">
        <v>59</v>
      </c>
      <c r="T704" t="s">
        <v>59</v>
      </c>
      <c r="V704" t="s">
        <v>59</v>
      </c>
      <c r="W704" t="s">
        <v>80</v>
      </c>
    </row>
    <row r="705" spans="2:23" x14ac:dyDescent="0.2">
      <c r="B705">
        <f t="shared" ca="1" si="10"/>
        <v>0</v>
      </c>
      <c r="E705">
        <v>1</v>
      </c>
      <c r="F705" t="s">
        <v>32</v>
      </c>
      <c r="I705" t="s">
        <v>39</v>
      </c>
      <c r="J705" t="s">
        <v>44</v>
      </c>
      <c r="M705" t="s">
        <v>54</v>
      </c>
      <c r="N7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5" t="s">
        <v>57</v>
      </c>
      <c r="Q705" t="s">
        <v>59</v>
      </c>
      <c r="R705" t="s">
        <v>59</v>
      </c>
      <c r="S705" t="s">
        <v>59</v>
      </c>
      <c r="T705" t="s">
        <v>59</v>
      </c>
      <c r="V705" t="s">
        <v>59</v>
      </c>
      <c r="W705" t="s">
        <v>80</v>
      </c>
    </row>
    <row r="706" spans="2:23" x14ac:dyDescent="0.2">
      <c r="B706">
        <f t="shared" ca="1" si="10"/>
        <v>0</v>
      </c>
      <c r="E706">
        <v>1</v>
      </c>
      <c r="F706" t="s">
        <v>32</v>
      </c>
      <c r="I706" t="s">
        <v>39</v>
      </c>
      <c r="J706" t="s">
        <v>44</v>
      </c>
      <c r="M706" t="s">
        <v>54</v>
      </c>
      <c r="N7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6" t="s">
        <v>57</v>
      </c>
      <c r="Q706" t="s">
        <v>59</v>
      </c>
      <c r="R706" t="s">
        <v>59</v>
      </c>
      <c r="S706" t="s">
        <v>59</v>
      </c>
      <c r="T706" t="s">
        <v>59</v>
      </c>
      <c r="V706" t="s">
        <v>59</v>
      </c>
      <c r="W706" t="s">
        <v>80</v>
      </c>
    </row>
    <row r="707" spans="2:23" x14ac:dyDescent="0.2">
      <c r="B707">
        <f t="shared" ca="1" si="10"/>
        <v>0</v>
      </c>
      <c r="E707">
        <v>1</v>
      </c>
      <c r="F707" t="s">
        <v>32</v>
      </c>
      <c r="I707" t="s">
        <v>39</v>
      </c>
      <c r="J707" t="s">
        <v>44</v>
      </c>
      <c r="M707" t="s">
        <v>54</v>
      </c>
      <c r="N7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7" t="s">
        <v>57</v>
      </c>
      <c r="Q707" t="s">
        <v>59</v>
      </c>
      <c r="R707" t="s">
        <v>59</v>
      </c>
      <c r="S707" t="s">
        <v>59</v>
      </c>
      <c r="T707" t="s">
        <v>59</v>
      </c>
      <c r="V707" t="s">
        <v>59</v>
      </c>
      <c r="W707" t="s">
        <v>80</v>
      </c>
    </row>
    <row r="708" spans="2:23" x14ac:dyDescent="0.2">
      <c r="B708">
        <f t="shared" ca="1" si="10"/>
        <v>0</v>
      </c>
      <c r="E708">
        <v>1</v>
      </c>
      <c r="F708" t="s">
        <v>32</v>
      </c>
      <c r="I708" t="s">
        <v>39</v>
      </c>
      <c r="J708" t="s">
        <v>44</v>
      </c>
      <c r="M708" t="s">
        <v>54</v>
      </c>
      <c r="N7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8" t="s">
        <v>57</v>
      </c>
      <c r="Q708" t="s">
        <v>59</v>
      </c>
      <c r="R708" t="s">
        <v>59</v>
      </c>
      <c r="S708" t="s">
        <v>59</v>
      </c>
      <c r="T708" t="s">
        <v>59</v>
      </c>
      <c r="V708" t="s">
        <v>59</v>
      </c>
      <c r="W708" t="s">
        <v>80</v>
      </c>
    </row>
    <row r="709" spans="2:23" x14ac:dyDescent="0.2">
      <c r="B709">
        <f t="shared" ca="1" si="10"/>
        <v>0</v>
      </c>
      <c r="E709">
        <v>1</v>
      </c>
      <c r="F709" t="s">
        <v>32</v>
      </c>
      <c r="I709" t="s">
        <v>39</v>
      </c>
      <c r="J709" t="s">
        <v>44</v>
      </c>
      <c r="M709" t="s">
        <v>54</v>
      </c>
      <c r="N7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09" t="s">
        <v>57</v>
      </c>
      <c r="Q709" t="s">
        <v>59</v>
      </c>
      <c r="R709" t="s">
        <v>59</v>
      </c>
      <c r="S709" t="s">
        <v>59</v>
      </c>
      <c r="T709" t="s">
        <v>59</v>
      </c>
      <c r="V709" t="s">
        <v>59</v>
      </c>
      <c r="W709" t="s">
        <v>80</v>
      </c>
    </row>
    <row r="710" spans="2:23" x14ac:dyDescent="0.2">
      <c r="B710">
        <f t="shared" ca="1" si="10"/>
        <v>0</v>
      </c>
      <c r="E710">
        <v>1</v>
      </c>
      <c r="F710" t="s">
        <v>32</v>
      </c>
      <c r="I710" t="s">
        <v>39</v>
      </c>
      <c r="J710" t="s">
        <v>44</v>
      </c>
      <c r="M710" t="s">
        <v>54</v>
      </c>
      <c r="N7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0" t="s">
        <v>57</v>
      </c>
      <c r="Q710" t="s">
        <v>59</v>
      </c>
      <c r="R710" t="s">
        <v>59</v>
      </c>
      <c r="S710" t="s">
        <v>59</v>
      </c>
      <c r="T710" t="s">
        <v>59</v>
      </c>
      <c r="V710" t="s">
        <v>59</v>
      </c>
      <c r="W710" t="s">
        <v>80</v>
      </c>
    </row>
    <row r="711" spans="2:23" x14ac:dyDescent="0.2">
      <c r="B711">
        <f t="shared" ref="B711:B774" ca="1" si="11">LEN(INDIRECT(ADDRESS(ROW() + (0),COLUMN() + (-1))))</f>
        <v>0</v>
      </c>
      <c r="E711">
        <v>1</v>
      </c>
      <c r="F711" t="s">
        <v>32</v>
      </c>
      <c r="I711" t="s">
        <v>39</v>
      </c>
      <c r="J711" t="s">
        <v>44</v>
      </c>
      <c r="M711" t="s">
        <v>54</v>
      </c>
      <c r="N7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1" t="s">
        <v>57</v>
      </c>
      <c r="Q711" t="s">
        <v>59</v>
      </c>
      <c r="R711" t="s">
        <v>59</v>
      </c>
      <c r="S711" t="s">
        <v>59</v>
      </c>
      <c r="T711" t="s">
        <v>59</v>
      </c>
      <c r="V711" t="s">
        <v>59</v>
      </c>
      <c r="W711" t="s">
        <v>80</v>
      </c>
    </row>
    <row r="712" spans="2:23" x14ac:dyDescent="0.2">
      <c r="B712">
        <f t="shared" ca="1" si="11"/>
        <v>0</v>
      </c>
      <c r="E712">
        <v>1</v>
      </c>
      <c r="F712" t="s">
        <v>32</v>
      </c>
      <c r="I712" t="s">
        <v>39</v>
      </c>
      <c r="J712" t="s">
        <v>44</v>
      </c>
      <c r="M712" t="s">
        <v>54</v>
      </c>
      <c r="N7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2" t="s">
        <v>57</v>
      </c>
      <c r="Q712" t="s">
        <v>59</v>
      </c>
      <c r="R712" t="s">
        <v>59</v>
      </c>
      <c r="S712" t="s">
        <v>59</v>
      </c>
      <c r="T712" t="s">
        <v>59</v>
      </c>
      <c r="V712" t="s">
        <v>59</v>
      </c>
      <c r="W712" t="s">
        <v>80</v>
      </c>
    </row>
    <row r="713" spans="2:23" x14ac:dyDescent="0.2">
      <c r="B713">
        <f t="shared" ca="1" si="11"/>
        <v>0</v>
      </c>
      <c r="E713">
        <v>1</v>
      </c>
      <c r="F713" t="s">
        <v>32</v>
      </c>
      <c r="I713" t="s">
        <v>39</v>
      </c>
      <c r="J713" t="s">
        <v>44</v>
      </c>
      <c r="M713" t="s">
        <v>54</v>
      </c>
      <c r="N7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3" t="s">
        <v>57</v>
      </c>
      <c r="Q713" t="s">
        <v>59</v>
      </c>
      <c r="R713" t="s">
        <v>59</v>
      </c>
      <c r="S713" t="s">
        <v>59</v>
      </c>
      <c r="T713" t="s">
        <v>59</v>
      </c>
      <c r="V713" t="s">
        <v>59</v>
      </c>
      <c r="W713" t="s">
        <v>80</v>
      </c>
    </row>
    <row r="714" spans="2:23" x14ac:dyDescent="0.2">
      <c r="B714">
        <f t="shared" ca="1" si="11"/>
        <v>0</v>
      </c>
      <c r="E714">
        <v>1</v>
      </c>
      <c r="F714" t="s">
        <v>32</v>
      </c>
      <c r="I714" t="s">
        <v>39</v>
      </c>
      <c r="J714" t="s">
        <v>44</v>
      </c>
      <c r="M714" t="s">
        <v>54</v>
      </c>
      <c r="N7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4" t="s">
        <v>57</v>
      </c>
      <c r="Q714" t="s">
        <v>59</v>
      </c>
      <c r="R714" t="s">
        <v>59</v>
      </c>
      <c r="S714" t="s">
        <v>59</v>
      </c>
      <c r="T714" t="s">
        <v>59</v>
      </c>
      <c r="V714" t="s">
        <v>59</v>
      </c>
      <c r="W714" t="s">
        <v>80</v>
      </c>
    </row>
    <row r="715" spans="2:23" x14ac:dyDescent="0.2">
      <c r="B715">
        <f t="shared" ca="1" si="11"/>
        <v>0</v>
      </c>
      <c r="E715">
        <v>1</v>
      </c>
      <c r="F715" t="s">
        <v>32</v>
      </c>
      <c r="I715" t="s">
        <v>39</v>
      </c>
      <c r="J715" t="s">
        <v>44</v>
      </c>
      <c r="M715" t="s">
        <v>54</v>
      </c>
      <c r="N7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5" t="s">
        <v>57</v>
      </c>
      <c r="Q715" t="s">
        <v>59</v>
      </c>
      <c r="R715" t="s">
        <v>59</v>
      </c>
      <c r="S715" t="s">
        <v>59</v>
      </c>
      <c r="T715" t="s">
        <v>59</v>
      </c>
      <c r="V715" t="s">
        <v>59</v>
      </c>
      <c r="W715" t="s">
        <v>80</v>
      </c>
    </row>
    <row r="716" spans="2:23" x14ac:dyDescent="0.2">
      <c r="B716">
        <f t="shared" ca="1" si="11"/>
        <v>0</v>
      </c>
      <c r="E716">
        <v>1</v>
      </c>
      <c r="F716" t="s">
        <v>32</v>
      </c>
      <c r="I716" t="s">
        <v>39</v>
      </c>
      <c r="J716" t="s">
        <v>44</v>
      </c>
      <c r="M716" t="s">
        <v>54</v>
      </c>
      <c r="N7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6" t="s">
        <v>57</v>
      </c>
      <c r="Q716" t="s">
        <v>59</v>
      </c>
      <c r="R716" t="s">
        <v>59</v>
      </c>
      <c r="S716" t="s">
        <v>59</v>
      </c>
      <c r="T716" t="s">
        <v>59</v>
      </c>
      <c r="V716" t="s">
        <v>59</v>
      </c>
      <c r="W716" t="s">
        <v>80</v>
      </c>
    </row>
    <row r="717" spans="2:23" x14ac:dyDescent="0.2">
      <c r="B717">
        <f t="shared" ca="1" si="11"/>
        <v>0</v>
      </c>
      <c r="E717">
        <v>1</v>
      </c>
      <c r="F717" t="s">
        <v>32</v>
      </c>
      <c r="I717" t="s">
        <v>39</v>
      </c>
      <c r="J717" t="s">
        <v>44</v>
      </c>
      <c r="M717" t="s">
        <v>54</v>
      </c>
      <c r="N7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7" t="s">
        <v>57</v>
      </c>
      <c r="Q717" t="s">
        <v>59</v>
      </c>
      <c r="R717" t="s">
        <v>59</v>
      </c>
      <c r="S717" t="s">
        <v>59</v>
      </c>
      <c r="T717" t="s">
        <v>59</v>
      </c>
      <c r="V717" t="s">
        <v>59</v>
      </c>
      <c r="W717" t="s">
        <v>80</v>
      </c>
    </row>
    <row r="718" spans="2:23" x14ac:dyDescent="0.2">
      <c r="B718">
        <f t="shared" ca="1" si="11"/>
        <v>0</v>
      </c>
      <c r="E718">
        <v>1</v>
      </c>
      <c r="F718" t="s">
        <v>32</v>
      </c>
      <c r="I718" t="s">
        <v>39</v>
      </c>
      <c r="J718" t="s">
        <v>44</v>
      </c>
      <c r="M718" t="s">
        <v>54</v>
      </c>
      <c r="N7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8" t="s">
        <v>57</v>
      </c>
      <c r="Q718" t="s">
        <v>59</v>
      </c>
      <c r="R718" t="s">
        <v>59</v>
      </c>
      <c r="S718" t="s">
        <v>59</v>
      </c>
      <c r="T718" t="s">
        <v>59</v>
      </c>
      <c r="V718" t="s">
        <v>59</v>
      </c>
      <c r="W718" t="s">
        <v>80</v>
      </c>
    </row>
    <row r="719" spans="2:23" x14ac:dyDescent="0.2">
      <c r="B719">
        <f t="shared" ca="1" si="11"/>
        <v>0</v>
      </c>
      <c r="E719">
        <v>1</v>
      </c>
      <c r="F719" t="s">
        <v>32</v>
      </c>
      <c r="I719" t="s">
        <v>39</v>
      </c>
      <c r="J719" t="s">
        <v>44</v>
      </c>
      <c r="M719" t="s">
        <v>54</v>
      </c>
      <c r="N7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19" t="s">
        <v>57</v>
      </c>
      <c r="Q719" t="s">
        <v>59</v>
      </c>
      <c r="R719" t="s">
        <v>59</v>
      </c>
      <c r="S719" t="s">
        <v>59</v>
      </c>
      <c r="T719" t="s">
        <v>59</v>
      </c>
      <c r="V719" t="s">
        <v>59</v>
      </c>
      <c r="W719" t="s">
        <v>80</v>
      </c>
    </row>
    <row r="720" spans="2:23" x14ac:dyDescent="0.2">
      <c r="B720">
        <f t="shared" ca="1" si="11"/>
        <v>0</v>
      </c>
      <c r="E720">
        <v>1</v>
      </c>
      <c r="F720" t="s">
        <v>32</v>
      </c>
      <c r="I720" t="s">
        <v>39</v>
      </c>
      <c r="J720" t="s">
        <v>44</v>
      </c>
      <c r="M720" t="s">
        <v>54</v>
      </c>
      <c r="N7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0" t="s">
        <v>57</v>
      </c>
      <c r="Q720" t="s">
        <v>59</v>
      </c>
      <c r="R720" t="s">
        <v>59</v>
      </c>
      <c r="S720" t="s">
        <v>59</v>
      </c>
      <c r="T720" t="s">
        <v>59</v>
      </c>
      <c r="V720" t="s">
        <v>59</v>
      </c>
      <c r="W720" t="s">
        <v>80</v>
      </c>
    </row>
    <row r="721" spans="2:23" x14ac:dyDescent="0.2">
      <c r="B721">
        <f t="shared" ca="1" si="11"/>
        <v>0</v>
      </c>
      <c r="E721">
        <v>1</v>
      </c>
      <c r="F721" t="s">
        <v>32</v>
      </c>
      <c r="I721" t="s">
        <v>39</v>
      </c>
      <c r="J721" t="s">
        <v>44</v>
      </c>
      <c r="M721" t="s">
        <v>54</v>
      </c>
      <c r="N7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1" t="s">
        <v>57</v>
      </c>
      <c r="Q721" t="s">
        <v>59</v>
      </c>
      <c r="R721" t="s">
        <v>59</v>
      </c>
      <c r="S721" t="s">
        <v>59</v>
      </c>
      <c r="T721" t="s">
        <v>59</v>
      </c>
      <c r="V721" t="s">
        <v>59</v>
      </c>
      <c r="W721" t="s">
        <v>80</v>
      </c>
    </row>
    <row r="722" spans="2:23" x14ac:dyDescent="0.2">
      <c r="B722">
        <f t="shared" ca="1" si="11"/>
        <v>0</v>
      </c>
      <c r="E722">
        <v>1</v>
      </c>
      <c r="F722" t="s">
        <v>32</v>
      </c>
      <c r="I722" t="s">
        <v>39</v>
      </c>
      <c r="J722" t="s">
        <v>44</v>
      </c>
      <c r="M722" t="s">
        <v>54</v>
      </c>
      <c r="N7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2" t="s">
        <v>57</v>
      </c>
      <c r="Q722" t="s">
        <v>59</v>
      </c>
      <c r="R722" t="s">
        <v>59</v>
      </c>
      <c r="S722" t="s">
        <v>59</v>
      </c>
      <c r="T722" t="s">
        <v>59</v>
      </c>
      <c r="V722" t="s">
        <v>59</v>
      </c>
      <c r="W722" t="s">
        <v>80</v>
      </c>
    </row>
    <row r="723" spans="2:23" x14ac:dyDescent="0.2">
      <c r="B723">
        <f t="shared" ca="1" si="11"/>
        <v>0</v>
      </c>
      <c r="E723">
        <v>1</v>
      </c>
      <c r="F723" t="s">
        <v>32</v>
      </c>
      <c r="I723" t="s">
        <v>39</v>
      </c>
      <c r="J723" t="s">
        <v>44</v>
      </c>
      <c r="M723" t="s">
        <v>54</v>
      </c>
      <c r="N7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3" t="s">
        <v>57</v>
      </c>
      <c r="Q723" t="s">
        <v>59</v>
      </c>
      <c r="R723" t="s">
        <v>59</v>
      </c>
      <c r="S723" t="s">
        <v>59</v>
      </c>
      <c r="T723" t="s">
        <v>59</v>
      </c>
      <c r="V723" t="s">
        <v>59</v>
      </c>
      <c r="W723" t="s">
        <v>80</v>
      </c>
    </row>
    <row r="724" spans="2:23" x14ac:dyDescent="0.2">
      <c r="B724">
        <f t="shared" ca="1" si="11"/>
        <v>0</v>
      </c>
      <c r="E724">
        <v>1</v>
      </c>
      <c r="F724" t="s">
        <v>32</v>
      </c>
      <c r="I724" t="s">
        <v>39</v>
      </c>
      <c r="J724" t="s">
        <v>44</v>
      </c>
      <c r="M724" t="s">
        <v>54</v>
      </c>
      <c r="N7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4" t="s">
        <v>57</v>
      </c>
      <c r="Q724" t="s">
        <v>59</v>
      </c>
      <c r="R724" t="s">
        <v>59</v>
      </c>
      <c r="S724" t="s">
        <v>59</v>
      </c>
      <c r="T724" t="s">
        <v>59</v>
      </c>
      <c r="V724" t="s">
        <v>59</v>
      </c>
      <c r="W724" t="s">
        <v>80</v>
      </c>
    </row>
    <row r="725" spans="2:23" x14ac:dyDescent="0.2">
      <c r="B725">
        <f t="shared" ca="1" si="11"/>
        <v>0</v>
      </c>
      <c r="E725">
        <v>1</v>
      </c>
      <c r="F725" t="s">
        <v>32</v>
      </c>
      <c r="I725" t="s">
        <v>39</v>
      </c>
      <c r="J725" t="s">
        <v>44</v>
      </c>
      <c r="M725" t="s">
        <v>54</v>
      </c>
      <c r="N7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5" t="s">
        <v>57</v>
      </c>
      <c r="Q725" t="s">
        <v>59</v>
      </c>
      <c r="R725" t="s">
        <v>59</v>
      </c>
      <c r="S725" t="s">
        <v>59</v>
      </c>
      <c r="T725" t="s">
        <v>59</v>
      </c>
      <c r="V725" t="s">
        <v>59</v>
      </c>
      <c r="W725" t="s">
        <v>80</v>
      </c>
    </row>
    <row r="726" spans="2:23" x14ac:dyDescent="0.2">
      <c r="B726">
        <f t="shared" ca="1" si="11"/>
        <v>0</v>
      </c>
      <c r="E726">
        <v>1</v>
      </c>
      <c r="F726" t="s">
        <v>32</v>
      </c>
      <c r="I726" t="s">
        <v>39</v>
      </c>
      <c r="J726" t="s">
        <v>44</v>
      </c>
      <c r="M726" t="s">
        <v>54</v>
      </c>
      <c r="N7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6" t="s">
        <v>57</v>
      </c>
      <c r="Q726" t="s">
        <v>59</v>
      </c>
      <c r="R726" t="s">
        <v>59</v>
      </c>
      <c r="S726" t="s">
        <v>59</v>
      </c>
      <c r="T726" t="s">
        <v>59</v>
      </c>
      <c r="V726" t="s">
        <v>59</v>
      </c>
      <c r="W726" t="s">
        <v>80</v>
      </c>
    </row>
    <row r="727" spans="2:23" x14ac:dyDescent="0.2">
      <c r="B727">
        <f t="shared" ca="1" si="11"/>
        <v>0</v>
      </c>
      <c r="E727">
        <v>1</v>
      </c>
      <c r="F727" t="s">
        <v>32</v>
      </c>
      <c r="I727" t="s">
        <v>39</v>
      </c>
      <c r="J727" t="s">
        <v>44</v>
      </c>
      <c r="M727" t="s">
        <v>54</v>
      </c>
      <c r="N7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7" t="s">
        <v>57</v>
      </c>
      <c r="Q727" t="s">
        <v>59</v>
      </c>
      <c r="R727" t="s">
        <v>59</v>
      </c>
      <c r="S727" t="s">
        <v>59</v>
      </c>
      <c r="T727" t="s">
        <v>59</v>
      </c>
      <c r="V727" t="s">
        <v>59</v>
      </c>
      <c r="W727" t="s">
        <v>80</v>
      </c>
    </row>
    <row r="728" spans="2:23" x14ac:dyDescent="0.2">
      <c r="B728">
        <f t="shared" ca="1" si="11"/>
        <v>0</v>
      </c>
      <c r="E728">
        <v>1</v>
      </c>
      <c r="F728" t="s">
        <v>32</v>
      </c>
      <c r="I728" t="s">
        <v>39</v>
      </c>
      <c r="J728" t="s">
        <v>44</v>
      </c>
      <c r="M728" t="s">
        <v>54</v>
      </c>
      <c r="N7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8" t="s">
        <v>57</v>
      </c>
      <c r="Q728" t="s">
        <v>59</v>
      </c>
      <c r="R728" t="s">
        <v>59</v>
      </c>
      <c r="S728" t="s">
        <v>59</v>
      </c>
      <c r="T728" t="s">
        <v>59</v>
      </c>
      <c r="V728" t="s">
        <v>59</v>
      </c>
      <c r="W728" t="s">
        <v>80</v>
      </c>
    </row>
    <row r="729" spans="2:23" x14ac:dyDescent="0.2">
      <c r="B729">
        <f t="shared" ca="1" si="11"/>
        <v>0</v>
      </c>
      <c r="E729">
        <v>1</v>
      </c>
      <c r="F729" t="s">
        <v>32</v>
      </c>
      <c r="I729" t="s">
        <v>39</v>
      </c>
      <c r="J729" t="s">
        <v>44</v>
      </c>
      <c r="M729" t="s">
        <v>54</v>
      </c>
      <c r="N7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29" t="s">
        <v>57</v>
      </c>
      <c r="Q729" t="s">
        <v>59</v>
      </c>
      <c r="R729" t="s">
        <v>59</v>
      </c>
      <c r="S729" t="s">
        <v>59</v>
      </c>
      <c r="T729" t="s">
        <v>59</v>
      </c>
      <c r="V729" t="s">
        <v>59</v>
      </c>
      <c r="W729" t="s">
        <v>80</v>
      </c>
    </row>
    <row r="730" spans="2:23" x14ac:dyDescent="0.2">
      <c r="B730">
        <f t="shared" ca="1" si="11"/>
        <v>0</v>
      </c>
      <c r="E730">
        <v>1</v>
      </c>
      <c r="F730" t="s">
        <v>32</v>
      </c>
      <c r="I730" t="s">
        <v>39</v>
      </c>
      <c r="J730" t="s">
        <v>44</v>
      </c>
      <c r="M730" t="s">
        <v>54</v>
      </c>
      <c r="N7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0" t="s">
        <v>57</v>
      </c>
      <c r="Q730" t="s">
        <v>59</v>
      </c>
      <c r="R730" t="s">
        <v>59</v>
      </c>
      <c r="S730" t="s">
        <v>59</v>
      </c>
      <c r="T730" t="s">
        <v>59</v>
      </c>
      <c r="V730" t="s">
        <v>59</v>
      </c>
      <c r="W730" t="s">
        <v>80</v>
      </c>
    </row>
    <row r="731" spans="2:23" x14ac:dyDescent="0.2">
      <c r="B731">
        <f t="shared" ca="1" si="11"/>
        <v>0</v>
      </c>
      <c r="E731">
        <v>1</v>
      </c>
      <c r="F731" t="s">
        <v>32</v>
      </c>
      <c r="I731" t="s">
        <v>39</v>
      </c>
      <c r="J731" t="s">
        <v>44</v>
      </c>
      <c r="M731" t="s">
        <v>54</v>
      </c>
      <c r="N7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1" t="s">
        <v>57</v>
      </c>
      <c r="Q731" t="s">
        <v>59</v>
      </c>
      <c r="R731" t="s">
        <v>59</v>
      </c>
      <c r="S731" t="s">
        <v>59</v>
      </c>
      <c r="T731" t="s">
        <v>59</v>
      </c>
      <c r="V731" t="s">
        <v>59</v>
      </c>
      <c r="W731" t="s">
        <v>80</v>
      </c>
    </row>
    <row r="732" spans="2:23" x14ac:dyDescent="0.2">
      <c r="B732">
        <f t="shared" ca="1" si="11"/>
        <v>0</v>
      </c>
      <c r="E732">
        <v>1</v>
      </c>
      <c r="F732" t="s">
        <v>32</v>
      </c>
      <c r="I732" t="s">
        <v>39</v>
      </c>
      <c r="J732" t="s">
        <v>44</v>
      </c>
      <c r="M732" t="s">
        <v>54</v>
      </c>
      <c r="N7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2" t="s">
        <v>57</v>
      </c>
      <c r="Q732" t="s">
        <v>59</v>
      </c>
      <c r="R732" t="s">
        <v>59</v>
      </c>
      <c r="S732" t="s">
        <v>59</v>
      </c>
      <c r="T732" t="s">
        <v>59</v>
      </c>
      <c r="V732" t="s">
        <v>59</v>
      </c>
      <c r="W732" t="s">
        <v>80</v>
      </c>
    </row>
    <row r="733" spans="2:23" x14ac:dyDescent="0.2">
      <c r="B733">
        <f t="shared" ca="1" si="11"/>
        <v>0</v>
      </c>
      <c r="E733">
        <v>1</v>
      </c>
      <c r="F733" t="s">
        <v>32</v>
      </c>
      <c r="I733" t="s">
        <v>39</v>
      </c>
      <c r="J733" t="s">
        <v>44</v>
      </c>
      <c r="M733" t="s">
        <v>54</v>
      </c>
      <c r="N7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3" t="s">
        <v>57</v>
      </c>
      <c r="Q733" t="s">
        <v>59</v>
      </c>
      <c r="R733" t="s">
        <v>59</v>
      </c>
      <c r="S733" t="s">
        <v>59</v>
      </c>
      <c r="T733" t="s">
        <v>59</v>
      </c>
      <c r="V733" t="s">
        <v>59</v>
      </c>
      <c r="W733" t="s">
        <v>80</v>
      </c>
    </row>
    <row r="734" spans="2:23" x14ac:dyDescent="0.2">
      <c r="B734">
        <f t="shared" ca="1" si="11"/>
        <v>0</v>
      </c>
      <c r="E734">
        <v>1</v>
      </c>
      <c r="F734" t="s">
        <v>32</v>
      </c>
      <c r="I734" t="s">
        <v>39</v>
      </c>
      <c r="J734" t="s">
        <v>44</v>
      </c>
      <c r="M734" t="s">
        <v>54</v>
      </c>
      <c r="N7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4" t="s">
        <v>57</v>
      </c>
      <c r="Q734" t="s">
        <v>59</v>
      </c>
      <c r="R734" t="s">
        <v>59</v>
      </c>
      <c r="S734" t="s">
        <v>59</v>
      </c>
      <c r="T734" t="s">
        <v>59</v>
      </c>
      <c r="V734" t="s">
        <v>59</v>
      </c>
      <c r="W734" t="s">
        <v>80</v>
      </c>
    </row>
    <row r="735" spans="2:23" x14ac:dyDescent="0.2">
      <c r="B735">
        <f t="shared" ca="1" si="11"/>
        <v>0</v>
      </c>
      <c r="E735">
        <v>1</v>
      </c>
      <c r="F735" t="s">
        <v>32</v>
      </c>
      <c r="I735" t="s">
        <v>39</v>
      </c>
      <c r="J735" t="s">
        <v>44</v>
      </c>
      <c r="M735" t="s">
        <v>54</v>
      </c>
      <c r="N7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5" t="s">
        <v>57</v>
      </c>
      <c r="Q735" t="s">
        <v>59</v>
      </c>
      <c r="R735" t="s">
        <v>59</v>
      </c>
      <c r="S735" t="s">
        <v>59</v>
      </c>
      <c r="T735" t="s">
        <v>59</v>
      </c>
      <c r="V735" t="s">
        <v>59</v>
      </c>
      <c r="W735" t="s">
        <v>80</v>
      </c>
    </row>
    <row r="736" spans="2:23" x14ac:dyDescent="0.2">
      <c r="B736">
        <f t="shared" ca="1" si="11"/>
        <v>0</v>
      </c>
      <c r="E736">
        <v>1</v>
      </c>
      <c r="F736" t="s">
        <v>32</v>
      </c>
      <c r="I736" t="s">
        <v>39</v>
      </c>
      <c r="J736" t="s">
        <v>44</v>
      </c>
      <c r="M736" t="s">
        <v>54</v>
      </c>
      <c r="N7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6" t="s">
        <v>57</v>
      </c>
      <c r="Q736" t="s">
        <v>59</v>
      </c>
      <c r="R736" t="s">
        <v>59</v>
      </c>
      <c r="S736" t="s">
        <v>59</v>
      </c>
      <c r="T736" t="s">
        <v>59</v>
      </c>
      <c r="V736" t="s">
        <v>59</v>
      </c>
      <c r="W736" t="s">
        <v>80</v>
      </c>
    </row>
    <row r="737" spans="2:23" x14ac:dyDescent="0.2">
      <c r="B737">
        <f t="shared" ca="1" si="11"/>
        <v>0</v>
      </c>
      <c r="E737">
        <v>1</v>
      </c>
      <c r="F737" t="s">
        <v>32</v>
      </c>
      <c r="I737" t="s">
        <v>39</v>
      </c>
      <c r="J737" t="s">
        <v>44</v>
      </c>
      <c r="M737" t="s">
        <v>54</v>
      </c>
      <c r="N7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7" t="s">
        <v>57</v>
      </c>
      <c r="Q737" t="s">
        <v>59</v>
      </c>
      <c r="R737" t="s">
        <v>59</v>
      </c>
      <c r="S737" t="s">
        <v>59</v>
      </c>
      <c r="T737" t="s">
        <v>59</v>
      </c>
      <c r="V737" t="s">
        <v>59</v>
      </c>
      <c r="W737" t="s">
        <v>80</v>
      </c>
    </row>
    <row r="738" spans="2:23" x14ac:dyDescent="0.2">
      <c r="B738">
        <f t="shared" ca="1" si="11"/>
        <v>0</v>
      </c>
      <c r="E738">
        <v>1</v>
      </c>
      <c r="F738" t="s">
        <v>32</v>
      </c>
      <c r="I738" t="s">
        <v>39</v>
      </c>
      <c r="J738" t="s">
        <v>44</v>
      </c>
      <c r="M738" t="s">
        <v>54</v>
      </c>
      <c r="N7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8" t="s">
        <v>57</v>
      </c>
      <c r="Q738" t="s">
        <v>59</v>
      </c>
      <c r="R738" t="s">
        <v>59</v>
      </c>
      <c r="S738" t="s">
        <v>59</v>
      </c>
      <c r="T738" t="s">
        <v>59</v>
      </c>
      <c r="V738" t="s">
        <v>59</v>
      </c>
      <c r="W738" t="s">
        <v>80</v>
      </c>
    </row>
    <row r="739" spans="2:23" x14ac:dyDescent="0.2">
      <c r="B739">
        <f t="shared" ca="1" si="11"/>
        <v>0</v>
      </c>
      <c r="E739">
        <v>1</v>
      </c>
      <c r="F739" t="s">
        <v>32</v>
      </c>
      <c r="I739" t="s">
        <v>39</v>
      </c>
      <c r="J739" t="s">
        <v>44</v>
      </c>
      <c r="M739" t="s">
        <v>54</v>
      </c>
      <c r="N7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39" t="s">
        <v>57</v>
      </c>
      <c r="Q739" t="s">
        <v>59</v>
      </c>
      <c r="R739" t="s">
        <v>59</v>
      </c>
      <c r="S739" t="s">
        <v>59</v>
      </c>
      <c r="T739" t="s">
        <v>59</v>
      </c>
      <c r="V739" t="s">
        <v>59</v>
      </c>
      <c r="W739" t="s">
        <v>80</v>
      </c>
    </row>
    <row r="740" spans="2:23" x14ac:dyDescent="0.2">
      <c r="B740">
        <f t="shared" ca="1" si="11"/>
        <v>0</v>
      </c>
      <c r="E740">
        <v>1</v>
      </c>
      <c r="F740" t="s">
        <v>32</v>
      </c>
      <c r="I740" t="s">
        <v>39</v>
      </c>
      <c r="J740" t="s">
        <v>44</v>
      </c>
      <c r="M740" t="s">
        <v>54</v>
      </c>
      <c r="N7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0" t="s">
        <v>57</v>
      </c>
      <c r="Q740" t="s">
        <v>59</v>
      </c>
      <c r="R740" t="s">
        <v>59</v>
      </c>
      <c r="S740" t="s">
        <v>59</v>
      </c>
      <c r="T740" t="s">
        <v>59</v>
      </c>
      <c r="V740" t="s">
        <v>59</v>
      </c>
      <c r="W740" t="s">
        <v>80</v>
      </c>
    </row>
    <row r="741" spans="2:23" x14ac:dyDescent="0.2">
      <c r="B741">
        <f t="shared" ca="1" si="11"/>
        <v>0</v>
      </c>
      <c r="E741">
        <v>1</v>
      </c>
      <c r="F741" t="s">
        <v>32</v>
      </c>
      <c r="I741" t="s">
        <v>39</v>
      </c>
      <c r="J741" t="s">
        <v>44</v>
      </c>
      <c r="M741" t="s">
        <v>54</v>
      </c>
      <c r="N7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1" t="s">
        <v>57</v>
      </c>
      <c r="Q741" t="s">
        <v>59</v>
      </c>
      <c r="R741" t="s">
        <v>59</v>
      </c>
      <c r="S741" t="s">
        <v>59</v>
      </c>
      <c r="T741" t="s">
        <v>59</v>
      </c>
      <c r="V741" t="s">
        <v>59</v>
      </c>
      <c r="W741" t="s">
        <v>80</v>
      </c>
    </row>
    <row r="742" spans="2:23" x14ac:dyDescent="0.2">
      <c r="B742">
        <f t="shared" ca="1" si="11"/>
        <v>0</v>
      </c>
      <c r="E742">
        <v>1</v>
      </c>
      <c r="F742" t="s">
        <v>32</v>
      </c>
      <c r="I742" t="s">
        <v>39</v>
      </c>
      <c r="J742" t="s">
        <v>44</v>
      </c>
      <c r="M742" t="s">
        <v>54</v>
      </c>
      <c r="N7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2" t="s">
        <v>57</v>
      </c>
      <c r="Q742" t="s">
        <v>59</v>
      </c>
      <c r="R742" t="s">
        <v>59</v>
      </c>
      <c r="S742" t="s">
        <v>59</v>
      </c>
      <c r="T742" t="s">
        <v>59</v>
      </c>
      <c r="V742" t="s">
        <v>59</v>
      </c>
      <c r="W742" t="s">
        <v>80</v>
      </c>
    </row>
    <row r="743" spans="2:23" x14ac:dyDescent="0.2">
      <c r="B743">
        <f t="shared" ca="1" si="11"/>
        <v>0</v>
      </c>
      <c r="E743">
        <v>1</v>
      </c>
      <c r="F743" t="s">
        <v>32</v>
      </c>
      <c r="I743" t="s">
        <v>39</v>
      </c>
      <c r="J743" t="s">
        <v>44</v>
      </c>
      <c r="M743" t="s">
        <v>54</v>
      </c>
      <c r="N7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3" t="s">
        <v>57</v>
      </c>
      <c r="Q743" t="s">
        <v>59</v>
      </c>
      <c r="R743" t="s">
        <v>59</v>
      </c>
      <c r="S743" t="s">
        <v>59</v>
      </c>
      <c r="T743" t="s">
        <v>59</v>
      </c>
      <c r="V743" t="s">
        <v>59</v>
      </c>
      <c r="W743" t="s">
        <v>80</v>
      </c>
    </row>
    <row r="744" spans="2:23" x14ac:dyDescent="0.2">
      <c r="B744">
        <f t="shared" ca="1" si="11"/>
        <v>0</v>
      </c>
      <c r="E744">
        <v>1</v>
      </c>
      <c r="F744" t="s">
        <v>32</v>
      </c>
      <c r="I744" t="s">
        <v>39</v>
      </c>
      <c r="J744" t="s">
        <v>44</v>
      </c>
      <c r="M744" t="s">
        <v>54</v>
      </c>
      <c r="N7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4" t="s">
        <v>57</v>
      </c>
      <c r="Q744" t="s">
        <v>59</v>
      </c>
      <c r="R744" t="s">
        <v>59</v>
      </c>
      <c r="S744" t="s">
        <v>59</v>
      </c>
      <c r="T744" t="s">
        <v>59</v>
      </c>
      <c r="V744" t="s">
        <v>59</v>
      </c>
      <c r="W744" t="s">
        <v>80</v>
      </c>
    </row>
    <row r="745" spans="2:23" x14ac:dyDescent="0.2">
      <c r="B745">
        <f t="shared" ca="1" si="11"/>
        <v>0</v>
      </c>
      <c r="E745">
        <v>1</v>
      </c>
      <c r="F745" t="s">
        <v>32</v>
      </c>
      <c r="I745" t="s">
        <v>39</v>
      </c>
      <c r="J745" t="s">
        <v>44</v>
      </c>
      <c r="M745" t="s">
        <v>54</v>
      </c>
      <c r="N7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5" t="s">
        <v>57</v>
      </c>
      <c r="Q745" t="s">
        <v>59</v>
      </c>
      <c r="R745" t="s">
        <v>59</v>
      </c>
      <c r="S745" t="s">
        <v>59</v>
      </c>
      <c r="T745" t="s">
        <v>59</v>
      </c>
      <c r="V745" t="s">
        <v>59</v>
      </c>
      <c r="W745" t="s">
        <v>80</v>
      </c>
    </row>
    <row r="746" spans="2:23" x14ac:dyDescent="0.2">
      <c r="B746">
        <f t="shared" ca="1" si="11"/>
        <v>0</v>
      </c>
      <c r="E746">
        <v>1</v>
      </c>
      <c r="F746" t="s">
        <v>32</v>
      </c>
      <c r="I746" t="s">
        <v>39</v>
      </c>
      <c r="J746" t="s">
        <v>44</v>
      </c>
      <c r="M746" t="s">
        <v>54</v>
      </c>
      <c r="N7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6" t="s">
        <v>57</v>
      </c>
      <c r="Q746" t="s">
        <v>59</v>
      </c>
      <c r="R746" t="s">
        <v>59</v>
      </c>
      <c r="S746" t="s">
        <v>59</v>
      </c>
      <c r="T746" t="s">
        <v>59</v>
      </c>
      <c r="V746" t="s">
        <v>59</v>
      </c>
      <c r="W746" t="s">
        <v>80</v>
      </c>
    </row>
    <row r="747" spans="2:23" x14ac:dyDescent="0.2">
      <c r="B747">
        <f t="shared" ca="1" si="11"/>
        <v>0</v>
      </c>
      <c r="E747">
        <v>1</v>
      </c>
      <c r="F747" t="s">
        <v>32</v>
      </c>
      <c r="I747" t="s">
        <v>39</v>
      </c>
      <c r="J747" t="s">
        <v>44</v>
      </c>
      <c r="M747" t="s">
        <v>54</v>
      </c>
      <c r="N7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7" t="s">
        <v>57</v>
      </c>
      <c r="Q747" t="s">
        <v>59</v>
      </c>
      <c r="R747" t="s">
        <v>59</v>
      </c>
      <c r="S747" t="s">
        <v>59</v>
      </c>
      <c r="T747" t="s">
        <v>59</v>
      </c>
      <c r="V747" t="s">
        <v>59</v>
      </c>
      <c r="W747" t="s">
        <v>80</v>
      </c>
    </row>
    <row r="748" spans="2:23" x14ac:dyDescent="0.2">
      <c r="B748">
        <f t="shared" ca="1" si="11"/>
        <v>0</v>
      </c>
      <c r="E748">
        <v>1</v>
      </c>
      <c r="F748" t="s">
        <v>32</v>
      </c>
      <c r="I748" t="s">
        <v>39</v>
      </c>
      <c r="J748" t="s">
        <v>44</v>
      </c>
      <c r="M748" t="s">
        <v>54</v>
      </c>
      <c r="N7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8" t="s">
        <v>57</v>
      </c>
      <c r="Q748" t="s">
        <v>59</v>
      </c>
      <c r="R748" t="s">
        <v>59</v>
      </c>
      <c r="S748" t="s">
        <v>59</v>
      </c>
      <c r="T748" t="s">
        <v>59</v>
      </c>
      <c r="V748" t="s">
        <v>59</v>
      </c>
      <c r="W748" t="s">
        <v>80</v>
      </c>
    </row>
    <row r="749" spans="2:23" x14ac:dyDescent="0.2">
      <c r="B749">
        <f t="shared" ca="1" si="11"/>
        <v>0</v>
      </c>
      <c r="E749">
        <v>1</v>
      </c>
      <c r="F749" t="s">
        <v>32</v>
      </c>
      <c r="I749" t="s">
        <v>39</v>
      </c>
      <c r="J749" t="s">
        <v>44</v>
      </c>
      <c r="M749" t="s">
        <v>54</v>
      </c>
      <c r="N7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49" t="s">
        <v>57</v>
      </c>
      <c r="Q749" t="s">
        <v>59</v>
      </c>
      <c r="R749" t="s">
        <v>59</v>
      </c>
      <c r="S749" t="s">
        <v>59</v>
      </c>
      <c r="T749" t="s">
        <v>59</v>
      </c>
      <c r="V749" t="s">
        <v>59</v>
      </c>
      <c r="W749" t="s">
        <v>80</v>
      </c>
    </row>
    <row r="750" spans="2:23" x14ac:dyDescent="0.2">
      <c r="B750">
        <f t="shared" ca="1" si="11"/>
        <v>0</v>
      </c>
      <c r="E750">
        <v>1</v>
      </c>
      <c r="F750" t="s">
        <v>32</v>
      </c>
      <c r="I750" t="s">
        <v>39</v>
      </c>
      <c r="J750" t="s">
        <v>44</v>
      </c>
      <c r="M750" t="s">
        <v>54</v>
      </c>
      <c r="N7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0" t="s">
        <v>57</v>
      </c>
      <c r="Q750" t="s">
        <v>59</v>
      </c>
      <c r="R750" t="s">
        <v>59</v>
      </c>
      <c r="S750" t="s">
        <v>59</v>
      </c>
      <c r="T750" t="s">
        <v>59</v>
      </c>
      <c r="V750" t="s">
        <v>59</v>
      </c>
      <c r="W750" t="s">
        <v>80</v>
      </c>
    </row>
    <row r="751" spans="2:23" x14ac:dyDescent="0.2">
      <c r="B751">
        <f t="shared" ca="1" si="11"/>
        <v>0</v>
      </c>
      <c r="E751">
        <v>1</v>
      </c>
      <c r="F751" t="s">
        <v>32</v>
      </c>
      <c r="I751" t="s">
        <v>39</v>
      </c>
      <c r="J751" t="s">
        <v>44</v>
      </c>
      <c r="M751" t="s">
        <v>54</v>
      </c>
      <c r="N7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1" t="s">
        <v>57</v>
      </c>
      <c r="Q751" t="s">
        <v>59</v>
      </c>
      <c r="R751" t="s">
        <v>59</v>
      </c>
      <c r="S751" t="s">
        <v>59</v>
      </c>
      <c r="T751" t="s">
        <v>59</v>
      </c>
      <c r="V751" t="s">
        <v>59</v>
      </c>
      <c r="W751" t="s">
        <v>80</v>
      </c>
    </row>
    <row r="752" spans="2:23" x14ac:dyDescent="0.2">
      <c r="B752">
        <f t="shared" ca="1" si="11"/>
        <v>0</v>
      </c>
      <c r="E752">
        <v>1</v>
      </c>
      <c r="F752" t="s">
        <v>32</v>
      </c>
      <c r="I752" t="s">
        <v>39</v>
      </c>
      <c r="J752" t="s">
        <v>44</v>
      </c>
      <c r="M752" t="s">
        <v>54</v>
      </c>
      <c r="N7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2" t="s">
        <v>57</v>
      </c>
      <c r="Q752" t="s">
        <v>59</v>
      </c>
      <c r="R752" t="s">
        <v>59</v>
      </c>
      <c r="S752" t="s">
        <v>59</v>
      </c>
      <c r="T752" t="s">
        <v>59</v>
      </c>
      <c r="V752" t="s">
        <v>59</v>
      </c>
      <c r="W752" t="s">
        <v>80</v>
      </c>
    </row>
    <row r="753" spans="2:23" x14ac:dyDescent="0.2">
      <c r="B753">
        <f t="shared" ca="1" si="11"/>
        <v>0</v>
      </c>
      <c r="E753">
        <v>1</v>
      </c>
      <c r="F753" t="s">
        <v>32</v>
      </c>
      <c r="I753" t="s">
        <v>39</v>
      </c>
      <c r="J753" t="s">
        <v>44</v>
      </c>
      <c r="M753" t="s">
        <v>54</v>
      </c>
      <c r="N7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3" t="s">
        <v>57</v>
      </c>
      <c r="Q753" t="s">
        <v>59</v>
      </c>
      <c r="R753" t="s">
        <v>59</v>
      </c>
      <c r="S753" t="s">
        <v>59</v>
      </c>
      <c r="T753" t="s">
        <v>59</v>
      </c>
      <c r="V753" t="s">
        <v>59</v>
      </c>
      <c r="W753" t="s">
        <v>80</v>
      </c>
    </row>
    <row r="754" spans="2:23" x14ac:dyDescent="0.2">
      <c r="B754">
        <f t="shared" ca="1" si="11"/>
        <v>0</v>
      </c>
      <c r="E754">
        <v>1</v>
      </c>
      <c r="F754" t="s">
        <v>32</v>
      </c>
      <c r="I754" t="s">
        <v>39</v>
      </c>
      <c r="J754" t="s">
        <v>44</v>
      </c>
      <c r="M754" t="s">
        <v>54</v>
      </c>
      <c r="N7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4" t="s">
        <v>57</v>
      </c>
      <c r="Q754" t="s">
        <v>59</v>
      </c>
      <c r="R754" t="s">
        <v>59</v>
      </c>
      <c r="S754" t="s">
        <v>59</v>
      </c>
      <c r="T754" t="s">
        <v>59</v>
      </c>
      <c r="V754" t="s">
        <v>59</v>
      </c>
      <c r="W754" t="s">
        <v>80</v>
      </c>
    </row>
    <row r="755" spans="2:23" x14ac:dyDescent="0.2">
      <c r="B755">
        <f t="shared" ca="1" si="11"/>
        <v>0</v>
      </c>
      <c r="E755">
        <v>1</v>
      </c>
      <c r="F755" t="s">
        <v>32</v>
      </c>
      <c r="I755" t="s">
        <v>39</v>
      </c>
      <c r="J755" t="s">
        <v>44</v>
      </c>
      <c r="M755" t="s">
        <v>54</v>
      </c>
      <c r="N7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5" t="s">
        <v>57</v>
      </c>
      <c r="Q755" t="s">
        <v>59</v>
      </c>
      <c r="R755" t="s">
        <v>59</v>
      </c>
      <c r="S755" t="s">
        <v>59</v>
      </c>
      <c r="T755" t="s">
        <v>59</v>
      </c>
      <c r="V755" t="s">
        <v>59</v>
      </c>
      <c r="W755" t="s">
        <v>80</v>
      </c>
    </row>
    <row r="756" spans="2:23" x14ac:dyDescent="0.2">
      <c r="B756">
        <f t="shared" ca="1" si="11"/>
        <v>0</v>
      </c>
      <c r="E756">
        <v>1</v>
      </c>
      <c r="F756" t="s">
        <v>32</v>
      </c>
      <c r="I756" t="s">
        <v>39</v>
      </c>
      <c r="J756" t="s">
        <v>44</v>
      </c>
      <c r="M756" t="s">
        <v>54</v>
      </c>
      <c r="N7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6" t="s">
        <v>57</v>
      </c>
      <c r="Q756" t="s">
        <v>59</v>
      </c>
      <c r="R756" t="s">
        <v>59</v>
      </c>
      <c r="S756" t="s">
        <v>59</v>
      </c>
      <c r="T756" t="s">
        <v>59</v>
      </c>
      <c r="V756" t="s">
        <v>59</v>
      </c>
      <c r="W756" t="s">
        <v>80</v>
      </c>
    </row>
    <row r="757" spans="2:23" x14ac:dyDescent="0.2">
      <c r="B757">
        <f t="shared" ca="1" si="11"/>
        <v>0</v>
      </c>
      <c r="E757">
        <v>1</v>
      </c>
      <c r="F757" t="s">
        <v>32</v>
      </c>
      <c r="I757" t="s">
        <v>39</v>
      </c>
      <c r="J757" t="s">
        <v>44</v>
      </c>
      <c r="M757" t="s">
        <v>54</v>
      </c>
      <c r="N7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7" t="s">
        <v>57</v>
      </c>
      <c r="Q757" t="s">
        <v>59</v>
      </c>
      <c r="R757" t="s">
        <v>59</v>
      </c>
      <c r="S757" t="s">
        <v>59</v>
      </c>
      <c r="T757" t="s">
        <v>59</v>
      </c>
      <c r="V757" t="s">
        <v>59</v>
      </c>
      <c r="W757" t="s">
        <v>80</v>
      </c>
    </row>
    <row r="758" spans="2:23" x14ac:dyDescent="0.2">
      <c r="B758">
        <f t="shared" ca="1" si="11"/>
        <v>0</v>
      </c>
      <c r="E758">
        <v>1</v>
      </c>
      <c r="F758" t="s">
        <v>32</v>
      </c>
      <c r="I758" t="s">
        <v>39</v>
      </c>
      <c r="J758" t="s">
        <v>44</v>
      </c>
      <c r="M758" t="s">
        <v>54</v>
      </c>
      <c r="N7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8" t="s">
        <v>57</v>
      </c>
      <c r="Q758" t="s">
        <v>59</v>
      </c>
      <c r="R758" t="s">
        <v>59</v>
      </c>
      <c r="S758" t="s">
        <v>59</v>
      </c>
      <c r="T758" t="s">
        <v>59</v>
      </c>
      <c r="V758" t="s">
        <v>59</v>
      </c>
      <c r="W758" t="s">
        <v>80</v>
      </c>
    </row>
    <row r="759" spans="2:23" x14ac:dyDescent="0.2">
      <c r="B759">
        <f t="shared" ca="1" si="11"/>
        <v>0</v>
      </c>
      <c r="E759">
        <v>1</v>
      </c>
      <c r="F759" t="s">
        <v>32</v>
      </c>
      <c r="I759" t="s">
        <v>39</v>
      </c>
      <c r="J759" t="s">
        <v>44</v>
      </c>
      <c r="M759" t="s">
        <v>54</v>
      </c>
      <c r="N7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59" t="s">
        <v>57</v>
      </c>
      <c r="Q759" t="s">
        <v>59</v>
      </c>
      <c r="R759" t="s">
        <v>59</v>
      </c>
      <c r="S759" t="s">
        <v>59</v>
      </c>
      <c r="T759" t="s">
        <v>59</v>
      </c>
      <c r="V759" t="s">
        <v>59</v>
      </c>
      <c r="W759" t="s">
        <v>80</v>
      </c>
    </row>
    <row r="760" spans="2:23" x14ac:dyDescent="0.2">
      <c r="B760">
        <f t="shared" ca="1" si="11"/>
        <v>0</v>
      </c>
      <c r="E760">
        <v>1</v>
      </c>
      <c r="F760" t="s">
        <v>32</v>
      </c>
      <c r="I760" t="s">
        <v>39</v>
      </c>
      <c r="J760" t="s">
        <v>44</v>
      </c>
      <c r="M760" t="s">
        <v>54</v>
      </c>
      <c r="N7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0" t="s">
        <v>57</v>
      </c>
      <c r="Q760" t="s">
        <v>59</v>
      </c>
      <c r="R760" t="s">
        <v>59</v>
      </c>
      <c r="S760" t="s">
        <v>59</v>
      </c>
      <c r="T760" t="s">
        <v>59</v>
      </c>
      <c r="V760" t="s">
        <v>59</v>
      </c>
      <c r="W760" t="s">
        <v>80</v>
      </c>
    </row>
    <row r="761" spans="2:23" x14ac:dyDescent="0.2">
      <c r="B761">
        <f t="shared" ca="1" si="11"/>
        <v>0</v>
      </c>
      <c r="E761">
        <v>1</v>
      </c>
      <c r="F761" t="s">
        <v>32</v>
      </c>
      <c r="I761" t="s">
        <v>39</v>
      </c>
      <c r="J761" t="s">
        <v>44</v>
      </c>
      <c r="M761" t="s">
        <v>54</v>
      </c>
      <c r="N7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1" t="s">
        <v>57</v>
      </c>
      <c r="Q761" t="s">
        <v>59</v>
      </c>
      <c r="R761" t="s">
        <v>59</v>
      </c>
      <c r="S761" t="s">
        <v>59</v>
      </c>
      <c r="T761" t="s">
        <v>59</v>
      </c>
      <c r="V761" t="s">
        <v>59</v>
      </c>
      <c r="W761" t="s">
        <v>80</v>
      </c>
    </row>
    <row r="762" spans="2:23" x14ac:dyDescent="0.2">
      <c r="B762">
        <f t="shared" ca="1" si="11"/>
        <v>0</v>
      </c>
      <c r="E762">
        <v>1</v>
      </c>
      <c r="F762" t="s">
        <v>32</v>
      </c>
      <c r="I762" t="s">
        <v>39</v>
      </c>
      <c r="J762" t="s">
        <v>44</v>
      </c>
      <c r="M762" t="s">
        <v>54</v>
      </c>
      <c r="N7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2" t="s">
        <v>57</v>
      </c>
      <c r="Q762" t="s">
        <v>59</v>
      </c>
      <c r="R762" t="s">
        <v>59</v>
      </c>
      <c r="S762" t="s">
        <v>59</v>
      </c>
      <c r="T762" t="s">
        <v>59</v>
      </c>
      <c r="V762" t="s">
        <v>59</v>
      </c>
      <c r="W762" t="s">
        <v>80</v>
      </c>
    </row>
    <row r="763" spans="2:23" x14ac:dyDescent="0.2">
      <c r="B763">
        <f t="shared" ca="1" si="11"/>
        <v>0</v>
      </c>
      <c r="E763">
        <v>1</v>
      </c>
      <c r="F763" t="s">
        <v>32</v>
      </c>
      <c r="I763" t="s">
        <v>39</v>
      </c>
      <c r="J763" t="s">
        <v>44</v>
      </c>
      <c r="M763" t="s">
        <v>54</v>
      </c>
      <c r="N7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3" t="s">
        <v>57</v>
      </c>
      <c r="Q763" t="s">
        <v>59</v>
      </c>
      <c r="R763" t="s">
        <v>59</v>
      </c>
      <c r="S763" t="s">
        <v>59</v>
      </c>
      <c r="T763" t="s">
        <v>59</v>
      </c>
      <c r="V763" t="s">
        <v>59</v>
      </c>
      <c r="W763" t="s">
        <v>80</v>
      </c>
    </row>
    <row r="764" spans="2:23" x14ac:dyDescent="0.2">
      <c r="B764">
        <f t="shared" ca="1" si="11"/>
        <v>0</v>
      </c>
      <c r="E764">
        <v>1</v>
      </c>
      <c r="F764" t="s">
        <v>32</v>
      </c>
      <c r="I764" t="s">
        <v>39</v>
      </c>
      <c r="J764" t="s">
        <v>44</v>
      </c>
      <c r="M764" t="s">
        <v>54</v>
      </c>
      <c r="N7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4" t="s">
        <v>57</v>
      </c>
      <c r="Q764" t="s">
        <v>59</v>
      </c>
      <c r="R764" t="s">
        <v>59</v>
      </c>
      <c r="S764" t="s">
        <v>59</v>
      </c>
      <c r="T764" t="s">
        <v>59</v>
      </c>
      <c r="V764" t="s">
        <v>59</v>
      </c>
      <c r="W764" t="s">
        <v>80</v>
      </c>
    </row>
    <row r="765" spans="2:23" x14ac:dyDescent="0.2">
      <c r="B765">
        <f t="shared" ca="1" si="11"/>
        <v>0</v>
      </c>
      <c r="E765">
        <v>1</v>
      </c>
      <c r="F765" t="s">
        <v>32</v>
      </c>
      <c r="I765" t="s">
        <v>39</v>
      </c>
      <c r="J765" t="s">
        <v>44</v>
      </c>
      <c r="M765" t="s">
        <v>54</v>
      </c>
      <c r="N7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5" t="s">
        <v>57</v>
      </c>
      <c r="Q765" t="s">
        <v>59</v>
      </c>
      <c r="R765" t="s">
        <v>59</v>
      </c>
      <c r="S765" t="s">
        <v>59</v>
      </c>
      <c r="T765" t="s">
        <v>59</v>
      </c>
      <c r="V765" t="s">
        <v>59</v>
      </c>
      <c r="W765" t="s">
        <v>80</v>
      </c>
    </row>
    <row r="766" spans="2:23" x14ac:dyDescent="0.2">
      <c r="B766">
        <f t="shared" ca="1" si="11"/>
        <v>0</v>
      </c>
      <c r="E766">
        <v>1</v>
      </c>
      <c r="F766" t="s">
        <v>32</v>
      </c>
      <c r="I766" t="s">
        <v>39</v>
      </c>
      <c r="J766" t="s">
        <v>44</v>
      </c>
      <c r="M766" t="s">
        <v>54</v>
      </c>
      <c r="N7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6" t="s">
        <v>57</v>
      </c>
      <c r="Q766" t="s">
        <v>59</v>
      </c>
      <c r="R766" t="s">
        <v>59</v>
      </c>
      <c r="S766" t="s">
        <v>59</v>
      </c>
      <c r="T766" t="s">
        <v>59</v>
      </c>
      <c r="V766" t="s">
        <v>59</v>
      </c>
      <c r="W766" t="s">
        <v>80</v>
      </c>
    </row>
    <row r="767" spans="2:23" x14ac:dyDescent="0.2">
      <c r="B767">
        <f t="shared" ca="1" si="11"/>
        <v>0</v>
      </c>
      <c r="E767">
        <v>1</v>
      </c>
      <c r="F767" t="s">
        <v>32</v>
      </c>
      <c r="I767" t="s">
        <v>39</v>
      </c>
      <c r="J767" t="s">
        <v>44</v>
      </c>
      <c r="M767" t="s">
        <v>54</v>
      </c>
      <c r="N7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7" t="s">
        <v>57</v>
      </c>
      <c r="Q767" t="s">
        <v>59</v>
      </c>
      <c r="R767" t="s">
        <v>59</v>
      </c>
      <c r="S767" t="s">
        <v>59</v>
      </c>
      <c r="T767" t="s">
        <v>59</v>
      </c>
      <c r="V767" t="s">
        <v>59</v>
      </c>
      <c r="W767" t="s">
        <v>80</v>
      </c>
    </row>
    <row r="768" spans="2:23" x14ac:dyDescent="0.2">
      <c r="B768">
        <f t="shared" ca="1" si="11"/>
        <v>0</v>
      </c>
      <c r="E768">
        <v>1</v>
      </c>
      <c r="F768" t="s">
        <v>32</v>
      </c>
      <c r="I768" t="s">
        <v>39</v>
      </c>
      <c r="J768" t="s">
        <v>44</v>
      </c>
      <c r="M768" t="s">
        <v>54</v>
      </c>
      <c r="N7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8" t="s">
        <v>57</v>
      </c>
      <c r="Q768" t="s">
        <v>59</v>
      </c>
      <c r="R768" t="s">
        <v>59</v>
      </c>
      <c r="S768" t="s">
        <v>59</v>
      </c>
      <c r="T768" t="s">
        <v>59</v>
      </c>
      <c r="V768" t="s">
        <v>59</v>
      </c>
      <c r="W768" t="s">
        <v>80</v>
      </c>
    </row>
    <row r="769" spans="2:23" x14ac:dyDescent="0.2">
      <c r="B769">
        <f t="shared" ca="1" si="11"/>
        <v>0</v>
      </c>
      <c r="E769">
        <v>1</v>
      </c>
      <c r="F769" t="s">
        <v>32</v>
      </c>
      <c r="I769" t="s">
        <v>39</v>
      </c>
      <c r="J769" t="s">
        <v>44</v>
      </c>
      <c r="M769" t="s">
        <v>54</v>
      </c>
      <c r="N7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69" t="s">
        <v>57</v>
      </c>
      <c r="Q769" t="s">
        <v>59</v>
      </c>
      <c r="R769" t="s">
        <v>59</v>
      </c>
      <c r="S769" t="s">
        <v>59</v>
      </c>
      <c r="T769" t="s">
        <v>59</v>
      </c>
      <c r="V769" t="s">
        <v>59</v>
      </c>
      <c r="W769" t="s">
        <v>80</v>
      </c>
    </row>
    <row r="770" spans="2:23" x14ac:dyDescent="0.2">
      <c r="B770">
        <f t="shared" ca="1" si="11"/>
        <v>0</v>
      </c>
      <c r="E770">
        <v>1</v>
      </c>
      <c r="F770" t="s">
        <v>32</v>
      </c>
      <c r="I770" t="s">
        <v>39</v>
      </c>
      <c r="J770" t="s">
        <v>44</v>
      </c>
      <c r="M770" t="s">
        <v>54</v>
      </c>
      <c r="N7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0" t="s">
        <v>57</v>
      </c>
      <c r="Q770" t="s">
        <v>59</v>
      </c>
      <c r="R770" t="s">
        <v>59</v>
      </c>
      <c r="S770" t="s">
        <v>59</v>
      </c>
      <c r="T770" t="s">
        <v>59</v>
      </c>
      <c r="V770" t="s">
        <v>59</v>
      </c>
      <c r="W770" t="s">
        <v>80</v>
      </c>
    </row>
    <row r="771" spans="2:23" x14ac:dyDescent="0.2">
      <c r="B771">
        <f t="shared" ca="1" si="11"/>
        <v>0</v>
      </c>
      <c r="E771">
        <v>1</v>
      </c>
      <c r="F771" t="s">
        <v>32</v>
      </c>
      <c r="I771" t="s">
        <v>39</v>
      </c>
      <c r="J771" t="s">
        <v>44</v>
      </c>
      <c r="M771" t="s">
        <v>54</v>
      </c>
      <c r="N7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1" t="s">
        <v>57</v>
      </c>
      <c r="Q771" t="s">
        <v>59</v>
      </c>
      <c r="R771" t="s">
        <v>59</v>
      </c>
      <c r="S771" t="s">
        <v>59</v>
      </c>
      <c r="T771" t="s">
        <v>59</v>
      </c>
      <c r="V771" t="s">
        <v>59</v>
      </c>
      <c r="W771" t="s">
        <v>80</v>
      </c>
    </row>
    <row r="772" spans="2:23" x14ac:dyDescent="0.2">
      <c r="B772">
        <f t="shared" ca="1" si="11"/>
        <v>0</v>
      </c>
      <c r="E772">
        <v>1</v>
      </c>
      <c r="F772" t="s">
        <v>32</v>
      </c>
      <c r="I772" t="s">
        <v>39</v>
      </c>
      <c r="J772" t="s">
        <v>44</v>
      </c>
      <c r="M772" t="s">
        <v>54</v>
      </c>
      <c r="N7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2" t="s">
        <v>57</v>
      </c>
      <c r="Q772" t="s">
        <v>59</v>
      </c>
      <c r="R772" t="s">
        <v>59</v>
      </c>
      <c r="S772" t="s">
        <v>59</v>
      </c>
      <c r="T772" t="s">
        <v>59</v>
      </c>
      <c r="V772" t="s">
        <v>59</v>
      </c>
      <c r="W772" t="s">
        <v>80</v>
      </c>
    </row>
    <row r="773" spans="2:23" x14ac:dyDescent="0.2">
      <c r="B773">
        <f t="shared" ca="1" si="11"/>
        <v>0</v>
      </c>
      <c r="E773">
        <v>1</v>
      </c>
      <c r="F773" t="s">
        <v>32</v>
      </c>
      <c r="I773" t="s">
        <v>39</v>
      </c>
      <c r="J773" t="s">
        <v>44</v>
      </c>
      <c r="M773" t="s">
        <v>54</v>
      </c>
      <c r="N7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3" t="s">
        <v>57</v>
      </c>
      <c r="Q773" t="s">
        <v>59</v>
      </c>
      <c r="R773" t="s">
        <v>59</v>
      </c>
      <c r="S773" t="s">
        <v>59</v>
      </c>
      <c r="T773" t="s">
        <v>59</v>
      </c>
      <c r="V773" t="s">
        <v>59</v>
      </c>
      <c r="W773" t="s">
        <v>80</v>
      </c>
    </row>
    <row r="774" spans="2:23" x14ac:dyDescent="0.2">
      <c r="B774">
        <f t="shared" ca="1" si="11"/>
        <v>0</v>
      </c>
      <c r="E774">
        <v>1</v>
      </c>
      <c r="F774" t="s">
        <v>32</v>
      </c>
      <c r="I774" t="s">
        <v>39</v>
      </c>
      <c r="J774" t="s">
        <v>44</v>
      </c>
      <c r="M774" t="s">
        <v>54</v>
      </c>
      <c r="N7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4" t="s">
        <v>57</v>
      </c>
      <c r="Q774" t="s">
        <v>59</v>
      </c>
      <c r="R774" t="s">
        <v>59</v>
      </c>
      <c r="S774" t="s">
        <v>59</v>
      </c>
      <c r="T774" t="s">
        <v>59</v>
      </c>
      <c r="V774" t="s">
        <v>59</v>
      </c>
      <c r="W774" t="s">
        <v>80</v>
      </c>
    </row>
    <row r="775" spans="2:23" x14ac:dyDescent="0.2">
      <c r="B775">
        <f t="shared" ref="B775:B838" ca="1" si="12">LEN(INDIRECT(ADDRESS(ROW() + (0),COLUMN() + (-1))))</f>
        <v>0</v>
      </c>
      <c r="E775">
        <v>1</v>
      </c>
      <c r="F775" t="s">
        <v>32</v>
      </c>
      <c r="I775" t="s">
        <v>39</v>
      </c>
      <c r="J775" t="s">
        <v>44</v>
      </c>
      <c r="M775" t="s">
        <v>54</v>
      </c>
      <c r="N7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5" t="s">
        <v>57</v>
      </c>
      <c r="Q775" t="s">
        <v>59</v>
      </c>
      <c r="R775" t="s">
        <v>59</v>
      </c>
      <c r="S775" t="s">
        <v>59</v>
      </c>
      <c r="T775" t="s">
        <v>59</v>
      </c>
      <c r="V775" t="s">
        <v>59</v>
      </c>
      <c r="W775" t="s">
        <v>80</v>
      </c>
    </row>
    <row r="776" spans="2:23" x14ac:dyDescent="0.2">
      <c r="B776">
        <f t="shared" ca="1" si="12"/>
        <v>0</v>
      </c>
      <c r="E776">
        <v>1</v>
      </c>
      <c r="F776" t="s">
        <v>32</v>
      </c>
      <c r="I776" t="s">
        <v>39</v>
      </c>
      <c r="J776" t="s">
        <v>44</v>
      </c>
      <c r="M776" t="s">
        <v>54</v>
      </c>
      <c r="N7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6" t="s">
        <v>57</v>
      </c>
      <c r="Q776" t="s">
        <v>59</v>
      </c>
      <c r="R776" t="s">
        <v>59</v>
      </c>
      <c r="S776" t="s">
        <v>59</v>
      </c>
      <c r="T776" t="s">
        <v>59</v>
      </c>
      <c r="V776" t="s">
        <v>59</v>
      </c>
      <c r="W776" t="s">
        <v>80</v>
      </c>
    </row>
    <row r="777" spans="2:23" x14ac:dyDescent="0.2">
      <c r="B777">
        <f t="shared" ca="1" si="12"/>
        <v>0</v>
      </c>
      <c r="E777">
        <v>1</v>
      </c>
      <c r="F777" t="s">
        <v>32</v>
      </c>
      <c r="I777" t="s">
        <v>39</v>
      </c>
      <c r="J777" t="s">
        <v>44</v>
      </c>
      <c r="M777" t="s">
        <v>54</v>
      </c>
      <c r="N7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7" t="s">
        <v>57</v>
      </c>
      <c r="Q777" t="s">
        <v>59</v>
      </c>
      <c r="R777" t="s">
        <v>59</v>
      </c>
      <c r="S777" t="s">
        <v>59</v>
      </c>
      <c r="T777" t="s">
        <v>59</v>
      </c>
      <c r="V777" t="s">
        <v>59</v>
      </c>
      <c r="W777" t="s">
        <v>80</v>
      </c>
    </row>
    <row r="778" spans="2:23" x14ac:dyDescent="0.2">
      <c r="B778">
        <f t="shared" ca="1" si="12"/>
        <v>0</v>
      </c>
      <c r="E778">
        <v>1</v>
      </c>
      <c r="F778" t="s">
        <v>32</v>
      </c>
      <c r="I778" t="s">
        <v>39</v>
      </c>
      <c r="J778" t="s">
        <v>44</v>
      </c>
      <c r="M778" t="s">
        <v>54</v>
      </c>
      <c r="N7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8" t="s">
        <v>57</v>
      </c>
      <c r="Q778" t="s">
        <v>59</v>
      </c>
      <c r="R778" t="s">
        <v>59</v>
      </c>
      <c r="S778" t="s">
        <v>59</v>
      </c>
      <c r="T778" t="s">
        <v>59</v>
      </c>
      <c r="V778" t="s">
        <v>59</v>
      </c>
      <c r="W778" t="s">
        <v>80</v>
      </c>
    </row>
    <row r="779" spans="2:23" x14ac:dyDescent="0.2">
      <c r="B779">
        <f t="shared" ca="1" si="12"/>
        <v>0</v>
      </c>
      <c r="E779">
        <v>1</v>
      </c>
      <c r="F779" t="s">
        <v>32</v>
      </c>
      <c r="I779" t="s">
        <v>39</v>
      </c>
      <c r="J779" t="s">
        <v>44</v>
      </c>
      <c r="M779" t="s">
        <v>54</v>
      </c>
      <c r="N7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79" t="s">
        <v>57</v>
      </c>
      <c r="Q779" t="s">
        <v>59</v>
      </c>
      <c r="R779" t="s">
        <v>59</v>
      </c>
      <c r="S779" t="s">
        <v>59</v>
      </c>
      <c r="T779" t="s">
        <v>59</v>
      </c>
      <c r="V779" t="s">
        <v>59</v>
      </c>
      <c r="W779" t="s">
        <v>80</v>
      </c>
    </row>
    <row r="780" spans="2:23" x14ac:dyDescent="0.2">
      <c r="B780">
        <f t="shared" ca="1" si="12"/>
        <v>0</v>
      </c>
      <c r="E780">
        <v>1</v>
      </c>
      <c r="F780" t="s">
        <v>32</v>
      </c>
      <c r="I780" t="s">
        <v>39</v>
      </c>
      <c r="J780" t="s">
        <v>44</v>
      </c>
      <c r="M780" t="s">
        <v>54</v>
      </c>
      <c r="N7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0" t="s">
        <v>57</v>
      </c>
      <c r="Q780" t="s">
        <v>59</v>
      </c>
      <c r="R780" t="s">
        <v>59</v>
      </c>
      <c r="S780" t="s">
        <v>59</v>
      </c>
      <c r="T780" t="s">
        <v>59</v>
      </c>
      <c r="V780" t="s">
        <v>59</v>
      </c>
      <c r="W780" t="s">
        <v>80</v>
      </c>
    </row>
    <row r="781" spans="2:23" x14ac:dyDescent="0.2">
      <c r="B781">
        <f t="shared" ca="1" si="12"/>
        <v>0</v>
      </c>
      <c r="E781">
        <v>1</v>
      </c>
      <c r="F781" t="s">
        <v>32</v>
      </c>
      <c r="I781" t="s">
        <v>39</v>
      </c>
      <c r="J781" t="s">
        <v>44</v>
      </c>
      <c r="M781" t="s">
        <v>54</v>
      </c>
      <c r="N7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1" t="s">
        <v>57</v>
      </c>
      <c r="Q781" t="s">
        <v>59</v>
      </c>
      <c r="R781" t="s">
        <v>59</v>
      </c>
      <c r="S781" t="s">
        <v>59</v>
      </c>
      <c r="T781" t="s">
        <v>59</v>
      </c>
      <c r="V781" t="s">
        <v>59</v>
      </c>
      <c r="W781" t="s">
        <v>80</v>
      </c>
    </row>
    <row r="782" spans="2:23" x14ac:dyDescent="0.2">
      <c r="B782">
        <f t="shared" ca="1" si="12"/>
        <v>0</v>
      </c>
      <c r="E782">
        <v>1</v>
      </c>
      <c r="F782" t="s">
        <v>32</v>
      </c>
      <c r="I782" t="s">
        <v>39</v>
      </c>
      <c r="J782" t="s">
        <v>44</v>
      </c>
      <c r="M782" t="s">
        <v>54</v>
      </c>
      <c r="N7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2" t="s">
        <v>57</v>
      </c>
      <c r="Q782" t="s">
        <v>59</v>
      </c>
      <c r="R782" t="s">
        <v>59</v>
      </c>
      <c r="S782" t="s">
        <v>59</v>
      </c>
      <c r="T782" t="s">
        <v>59</v>
      </c>
      <c r="V782" t="s">
        <v>59</v>
      </c>
      <c r="W782" t="s">
        <v>80</v>
      </c>
    </row>
    <row r="783" spans="2:23" x14ac:dyDescent="0.2">
      <c r="B783">
        <f t="shared" ca="1" si="12"/>
        <v>0</v>
      </c>
      <c r="E783">
        <v>1</v>
      </c>
      <c r="F783" t="s">
        <v>32</v>
      </c>
      <c r="I783" t="s">
        <v>39</v>
      </c>
      <c r="J783" t="s">
        <v>44</v>
      </c>
      <c r="M783" t="s">
        <v>54</v>
      </c>
      <c r="N7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3" t="s">
        <v>57</v>
      </c>
      <c r="Q783" t="s">
        <v>59</v>
      </c>
      <c r="R783" t="s">
        <v>59</v>
      </c>
      <c r="S783" t="s">
        <v>59</v>
      </c>
      <c r="T783" t="s">
        <v>59</v>
      </c>
      <c r="V783" t="s">
        <v>59</v>
      </c>
      <c r="W783" t="s">
        <v>80</v>
      </c>
    </row>
    <row r="784" spans="2:23" x14ac:dyDescent="0.2">
      <c r="B784">
        <f t="shared" ca="1" si="12"/>
        <v>0</v>
      </c>
      <c r="E784">
        <v>1</v>
      </c>
      <c r="F784" t="s">
        <v>32</v>
      </c>
      <c r="I784" t="s">
        <v>39</v>
      </c>
      <c r="J784" t="s">
        <v>44</v>
      </c>
      <c r="M784" t="s">
        <v>54</v>
      </c>
      <c r="N7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4" t="s">
        <v>57</v>
      </c>
      <c r="Q784" t="s">
        <v>59</v>
      </c>
      <c r="R784" t="s">
        <v>59</v>
      </c>
      <c r="S784" t="s">
        <v>59</v>
      </c>
      <c r="T784" t="s">
        <v>59</v>
      </c>
      <c r="V784" t="s">
        <v>59</v>
      </c>
      <c r="W784" t="s">
        <v>80</v>
      </c>
    </row>
    <row r="785" spans="2:23" x14ac:dyDescent="0.2">
      <c r="B785">
        <f t="shared" ca="1" si="12"/>
        <v>0</v>
      </c>
      <c r="E785">
        <v>1</v>
      </c>
      <c r="F785" t="s">
        <v>32</v>
      </c>
      <c r="I785" t="s">
        <v>39</v>
      </c>
      <c r="J785" t="s">
        <v>44</v>
      </c>
      <c r="M785" t="s">
        <v>54</v>
      </c>
      <c r="N7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5" t="s">
        <v>57</v>
      </c>
      <c r="Q785" t="s">
        <v>59</v>
      </c>
      <c r="R785" t="s">
        <v>59</v>
      </c>
      <c r="S785" t="s">
        <v>59</v>
      </c>
      <c r="T785" t="s">
        <v>59</v>
      </c>
      <c r="V785" t="s">
        <v>59</v>
      </c>
      <c r="W785" t="s">
        <v>80</v>
      </c>
    </row>
    <row r="786" spans="2:23" x14ac:dyDescent="0.2">
      <c r="B786">
        <f t="shared" ca="1" si="12"/>
        <v>0</v>
      </c>
      <c r="E786">
        <v>1</v>
      </c>
      <c r="F786" t="s">
        <v>32</v>
      </c>
      <c r="I786" t="s">
        <v>39</v>
      </c>
      <c r="J786" t="s">
        <v>44</v>
      </c>
      <c r="M786" t="s">
        <v>54</v>
      </c>
      <c r="N7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6" t="s">
        <v>57</v>
      </c>
      <c r="Q786" t="s">
        <v>59</v>
      </c>
      <c r="R786" t="s">
        <v>59</v>
      </c>
      <c r="S786" t="s">
        <v>59</v>
      </c>
      <c r="T786" t="s">
        <v>59</v>
      </c>
      <c r="V786" t="s">
        <v>59</v>
      </c>
      <c r="W786" t="s">
        <v>80</v>
      </c>
    </row>
    <row r="787" spans="2:23" x14ac:dyDescent="0.2">
      <c r="B787">
        <f t="shared" ca="1" si="12"/>
        <v>0</v>
      </c>
      <c r="E787">
        <v>1</v>
      </c>
      <c r="F787" t="s">
        <v>32</v>
      </c>
      <c r="I787" t="s">
        <v>39</v>
      </c>
      <c r="J787" t="s">
        <v>44</v>
      </c>
      <c r="M787" t="s">
        <v>54</v>
      </c>
      <c r="N7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7" t="s">
        <v>57</v>
      </c>
      <c r="Q787" t="s">
        <v>59</v>
      </c>
      <c r="R787" t="s">
        <v>59</v>
      </c>
      <c r="S787" t="s">
        <v>59</v>
      </c>
      <c r="T787" t="s">
        <v>59</v>
      </c>
      <c r="V787" t="s">
        <v>59</v>
      </c>
      <c r="W787" t="s">
        <v>80</v>
      </c>
    </row>
    <row r="788" spans="2:23" x14ac:dyDescent="0.2">
      <c r="B788">
        <f t="shared" ca="1" si="12"/>
        <v>0</v>
      </c>
      <c r="E788">
        <v>1</v>
      </c>
      <c r="F788" t="s">
        <v>32</v>
      </c>
      <c r="I788" t="s">
        <v>39</v>
      </c>
      <c r="J788" t="s">
        <v>44</v>
      </c>
      <c r="M788" t="s">
        <v>54</v>
      </c>
      <c r="N7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8" t="s">
        <v>57</v>
      </c>
      <c r="Q788" t="s">
        <v>59</v>
      </c>
      <c r="R788" t="s">
        <v>59</v>
      </c>
      <c r="S788" t="s">
        <v>59</v>
      </c>
      <c r="T788" t="s">
        <v>59</v>
      </c>
      <c r="V788" t="s">
        <v>59</v>
      </c>
      <c r="W788" t="s">
        <v>80</v>
      </c>
    </row>
    <row r="789" spans="2:23" x14ac:dyDescent="0.2">
      <c r="B789">
        <f t="shared" ca="1" si="12"/>
        <v>0</v>
      </c>
      <c r="E789">
        <v>1</v>
      </c>
      <c r="F789" t="s">
        <v>32</v>
      </c>
      <c r="I789" t="s">
        <v>39</v>
      </c>
      <c r="J789" t="s">
        <v>44</v>
      </c>
      <c r="M789" t="s">
        <v>54</v>
      </c>
      <c r="N7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89" t="s">
        <v>57</v>
      </c>
      <c r="Q789" t="s">
        <v>59</v>
      </c>
      <c r="R789" t="s">
        <v>59</v>
      </c>
      <c r="S789" t="s">
        <v>59</v>
      </c>
      <c r="T789" t="s">
        <v>59</v>
      </c>
      <c r="V789" t="s">
        <v>59</v>
      </c>
      <c r="W789" t="s">
        <v>80</v>
      </c>
    </row>
    <row r="790" spans="2:23" x14ac:dyDescent="0.2">
      <c r="B790">
        <f t="shared" ca="1" si="12"/>
        <v>0</v>
      </c>
      <c r="E790">
        <v>1</v>
      </c>
      <c r="F790" t="s">
        <v>32</v>
      </c>
      <c r="I790" t="s">
        <v>39</v>
      </c>
      <c r="J790" t="s">
        <v>44</v>
      </c>
      <c r="M790" t="s">
        <v>54</v>
      </c>
      <c r="N7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0" t="s">
        <v>57</v>
      </c>
      <c r="Q790" t="s">
        <v>59</v>
      </c>
      <c r="R790" t="s">
        <v>59</v>
      </c>
      <c r="S790" t="s">
        <v>59</v>
      </c>
      <c r="T790" t="s">
        <v>59</v>
      </c>
      <c r="V790" t="s">
        <v>59</v>
      </c>
      <c r="W790" t="s">
        <v>80</v>
      </c>
    </row>
    <row r="791" spans="2:23" x14ac:dyDescent="0.2">
      <c r="B791">
        <f t="shared" ca="1" si="12"/>
        <v>0</v>
      </c>
      <c r="E791">
        <v>1</v>
      </c>
      <c r="F791" t="s">
        <v>32</v>
      </c>
      <c r="I791" t="s">
        <v>39</v>
      </c>
      <c r="J791" t="s">
        <v>44</v>
      </c>
      <c r="M791" t="s">
        <v>54</v>
      </c>
      <c r="N7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1" t="s">
        <v>57</v>
      </c>
      <c r="Q791" t="s">
        <v>59</v>
      </c>
      <c r="R791" t="s">
        <v>59</v>
      </c>
      <c r="S791" t="s">
        <v>59</v>
      </c>
      <c r="T791" t="s">
        <v>59</v>
      </c>
      <c r="V791" t="s">
        <v>59</v>
      </c>
      <c r="W791" t="s">
        <v>80</v>
      </c>
    </row>
    <row r="792" spans="2:23" x14ac:dyDescent="0.2">
      <c r="B792">
        <f t="shared" ca="1" si="12"/>
        <v>0</v>
      </c>
      <c r="E792">
        <v>1</v>
      </c>
      <c r="F792" t="s">
        <v>32</v>
      </c>
      <c r="I792" t="s">
        <v>39</v>
      </c>
      <c r="J792" t="s">
        <v>44</v>
      </c>
      <c r="M792" t="s">
        <v>54</v>
      </c>
      <c r="N7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2" t="s">
        <v>57</v>
      </c>
      <c r="Q792" t="s">
        <v>59</v>
      </c>
      <c r="R792" t="s">
        <v>59</v>
      </c>
      <c r="S792" t="s">
        <v>59</v>
      </c>
      <c r="T792" t="s">
        <v>59</v>
      </c>
      <c r="V792" t="s">
        <v>59</v>
      </c>
      <c r="W792" t="s">
        <v>80</v>
      </c>
    </row>
    <row r="793" spans="2:23" x14ac:dyDescent="0.2">
      <c r="B793">
        <f t="shared" ca="1" si="12"/>
        <v>0</v>
      </c>
      <c r="E793">
        <v>1</v>
      </c>
      <c r="F793" t="s">
        <v>32</v>
      </c>
      <c r="I793" t="s">
        <v>39</v>
      </c>
      <c r="J793" t="s">
        <v>44</v>
      </c>
      <c r="M793" t="s">
        <v>54</v>
      </c>
      <c r="N7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3" t="s">
        <v>57</v>
      </c>
      <c r="Q793" t="s">
        <v>59</v>
      </c>
      <c r="R793" t="s">
        <v>59</v>
      </c>
      <c r="S793" t="s">
        <v>59</v>
      </c>
      <c r="T793" t="s">
        <v>59</v>
      </c>
      <c r="V793" t="s">
        <v>59</v>
      </c>
      <c r="W793" t="s">
        <v>80</v>
      </c>
    </row>
    <row r="794" spans="2:23" x14ac:dyDescent="0.2">
      <c r="B794">
        <f t="shared" ca="1" si="12"/>
        <v>0</v>
      </c>
      <c r="E794">
        <v>1</v>
      </c>
      <c r="F794" t="s">
        <v>32</v>
      </c>
      <c r="I794" t="s">
        <v>39</v>
      </c>
      <c r="J794" t="s">
        <v>44</v>
      </c>
      <c r="M794" t="s">
        <v>54</v>
      </c>
      <c r="N7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4" t="s">
        <v>57</v>
      </c>
      <c r="Q794" t="s">
        <v>59</v>
      </c>
      <c r="R794" t="s">
        <v>59</v>
      </c>
      <c r="S794" t="s">
        <v>59</v>
      </c>
      <c r="T794" t="s">
        <v>59</v>
      </c>
      <c r="V794" t="s">
        <v>59</v>
      </c>
      <c r="W794" t="s">
        <v>80</v>
      </c>
    </row>
    <row r="795" spans="2:23" x14ac:dyDescent="0.2">
      <c r="B795">
        <f t="shared" ca="1" si="12"/>
        <v>0</v>
      </c>
      <c r="E795">
        <v>1</v>
      </c>
      <c r="F795" t="s">
        <v>32</v>
      </c>
      <c r="I795" t="s">
        <v>39</v>
      </c>
      <c r="J795" t="s">
        <v>44</v>
      </c>
      <c r="M795" t="s">
        <v>54</v>
      </c>
      <c r="N7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5" t="s">
        <v>57</v>
      </c>
      <c r="Q795" t="s">
        <v>59</v>
      </c>
      <c r="R795" t="s">
        <v>59</v>
      </c>
      <c r="S795" t="s">
        <v>59</v>
      </c>
      <c r="T795" t="s">
        <v>59</v>
      </c>
      <c r="V795" t="s">
        <v>59</v>
      </c>
      <c r="W795" t="s">
        <v>80</v>
      </c>
    </row>
    <row r="796" spans="2:23" x14ac:dyDescent="0.2">
      <c r="B796">
        <f t="shared" ca="1" si="12"/>
        <v>0</v>
      </c>
      <c r="E796">
        <v>1</v>
      </c>
      <c r="F796" t="s">
        <v>32</v>
      </c>
      <c r="I796" t="s">
        <v>39</v>
      </c>
      <c r="J796" t="s">
        <v>44</v>
      </c>
      <c r="M796" t="s">
        <v>54</v>
      </c>
      <c r="N7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6" t="s">
        <v>57</v>
      </c>
      <c r="Q796" t="s">
        <v>59</v>
      </c>
      <c r="R796" t="s">
        <v>59</v>
      </c>
      <c r="S796" t="s">
        <v>59</v>
      </c>
      <c r="T796" t="s">
        <v>59</v>
      </c>
      <c r="V796" t="s">
        <v>59</v>
      </c>
      <c r="W796" t="s">
        <v>80</v>
      </c>
    </row>
    <row r="797" spans="2:23" x14ac:dyDescent="0.2">
      <c r="B797">
        <f t="shared" ca="1" si="12"/>
        <v>0</v>
      </c>
      <c r="E797">
        <v>1</v>
      </c>
      <c r="F797" t="s">
        <v>32</v>
      </c>
      <c r="I797" t="s">
        <v>39</v>
      </c>
      <c r="J797" t="s">
        <v>44</v>
      </c>
      <c r="M797" t="s">
        <v>54</v>
      </c>
      <c r="N7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7" t="s">
        <v>57</v>
      </c>
      <c r="Q797" t="s">
        <v>59</v>
      </c>
      <c r="R797" t="s">
        <v>59</v>
      </c>
      <c r="S797" t="s">
        <v>59</v>
      </c>
      <c r="T797" t="s">
        <v>59</v>
      </c>
      <c r="V797" t="s">
        <v>59</v>
      </c>
      <c r="W797" t="s">
        <v>80</v>
      </c>
    </row>
    <row r="798" spans="2:23" x14ac:dyDescent="0.2">
      <c r="B798">
        <f t="shared" ca="1" si="12"/>
        <v>0</v>
      </c>
      <c r="E798">
        <v>1</v>
      </c>
      <c r="F798" t="s">
        <v>32</v>
      </c>
      <c r="I798" t="s">
        <v>39</v>
      </c>
      <c r="J798" t="s">
        <v>44</v>
      </c>
      <c r="M798" t="s">
        <v>54</v>
      </c>
      <c r="N7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8" t="s">
        <v>57</v>
      </c>
      <c r="Q798" t="s">
        <v>59</v>
      </c>
      <c r="R798" t="s">
        <v>59</v>
      </c>
      <c r="S798" t="s">
        <v>59</v>
      </c>
      <c r="T798" t="s">
        <v>59</v>
      </c>
      <c r="V798" t="s">
        <v>59</v>
      </c>
      <c r="W798" t="s">
        <v>80</v>
      </c>
    </row>
    <row r="799" spans="2:23" x14ac:dyDescent="0.2">
      <c r="B799">
        <f t="shared" ca="1" si="12"/>
        <v>0</v>
      </c>
      <c r="E799">
        <v>1</v>
      </c>
      <c r="F799" t="s">
        <v>32</v>
      </c>
      <c r="I799" t="s">
        <v>39</v>
      </c>
      <c r="J799" t="s">
        <v>44</v>
      </c>
      <c r="M799" t="s">
        <v>54</v>
      </c>
      <c r="N7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7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799" t="s">
        <v>57</v>
      </c>
      <c r="Q799" t="s">
        <v>59</v>
      </c>
      <c r="R799" t="s">
        <v>59</v>
      </c>
      <c r="S799" t="s">
        <v>59</v>
      </c>
      <c r="T799" t="s">
        <v>59</v>
      </c>
      <c r="V799" t="s">
        <v>59</v>
      </c>
      <c r="W799" t="s">
        <v>80</v>
      </c>
    </row>
    <row r="800" spans="2:23" x14ac:dyDescent="0.2">
      <c r="B800">
        <f t="shared" ca="1" si="12"/>
        <v>0</v>
      </c>
      <c r="E800">
        <v>1</v>
      </c>
      <c r="F800" t="s">
        <v>32</v>
      </c>
      <c r="I800" t="s">
        <v>39</v>
      </c>
      <c r="J800" t="s">
        <v>44</v>
      </c>
      <c r="M800" t="s">
        <v>54</v>
      </c>
      <c r="N8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0" t="s">
        <v>57</v>
      </c>
      <c r="Q800" t="s">
        <v>59</v>
      </c>
      <c r="R800" t="s">
        <v>59</v>
      </c>
      <c r="S800" t="s">
        <v>59</v>
      </c>
      <c r="T800" t="s">
        <v>59</v>
      </c>
      <c r="V800" t="s">
        <v>59</v>
      </c>
      <c r="W800" t="s">
        <v>80</v>
      </c>
    </row>
    <row r="801" spans="2:23" x14ac:dyDescent="0.2">
      <c r="B801">
        <f t="shared" ca="1" si="12"/>
        <v>0</v>
      </c>
      <c r="E801">
        <v>1</v>
      </c>
      <c r="F801" t="s">
        <v>32</v>
      </c>
      <c r="I801" t="s">
        <v>39</v>
      </c>
      <c r="J801" t="s">
        <v>44</v>
      </c>
      <c r="M801" t="s">
        <v>54</v>
      </c>
      <c r="N8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1" t="s">
        <v>57</v>
      </c>
      <c r="Q801" t="s">
        <v>59</v>
      </c>
      <c r="R801" t="s">
        <v>59</v>
      </c>
      <c r="S801" t="s">
        <v>59</v>
      </c>
      <c r="T801" t="s">
        <v>59</v>
      </c>
      <c r="V801" t="s">
        <v>59</v>
      </c>
      <c r="W801" t="s">
        <v>80</v>
      </c>
    </row>
    <row r="802" spans="2:23" x14ac:dyDescent="0.2">
      <c r="B802">
        <f t="shared" ca="1" si="12"/>
        <v>0</v>
      </c>
      <c r="E802">
        <v>1</v>
      </c>
      <c r="F802" t="s">
        <v>32</v>
      </c>
      <c r="I802" t="s">
        <v>39</v>
      </c>
      <c r="J802" t="s">
        <v>44</v>
      </c>
      <c r="M802" t="s">
        <v>54</v>
      </c>
      <c r="N8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2" t="s">
        <v>57</v>
      </c>
      <c r="Q802" t="s">
        <v>59</v>
      </c>
      <c r="R802" t="s">
        <v>59</v>
      </c>
      <c r="S802" t="s">
        <v>59</v>
      </c>
      <c r="T802" t="s">
        <v>59</v>
      </c>
      <c r="V802" t="s">
        <v>59</v>
      </c>
      <c r="W802" t="s">
        <v>80</v>
      </c>
    </row>
    <row r="803" spans="2:23" x14ac:dyDescent="0.2">
      <c r="B803">
        <f t="shared" ca="1" si="12"/>
        <v>0</v>
      </c>
      <c r="E803">
        <v>1</v>
      </c>
      <c r="F803" t="s">
        <v>32</v>
      </c>
      <c r="I803" t="s">
        <v>39</v>
      </c>
      <c r="J803" t="s">
        <v>44</v>
      </c>
      <c r="M803" t="s">
        <v>54</v>
      </c>
      <c r="N8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3" t="s">
        <v>57</v>
      </c>
      <c r="Q803" t="s">
        <v>59</v>
      </c>
      <c r="R803" t="s">
        <v>59</v>
      </c>
      <c r="S803" t="s">
        <v>59</v>
      </c>
      <c r="T803" t="s">
        <v>59</v>
      </c>
      <c r="V803" t="s">
        <v>59</v>
      </c>
      <c r="W803" t="s">
        <v>80</v>
      </c>
    </row>
    <row r="804" spans="2:23" x14ac:dyDescent="0.2">
      <c r="B804">
        <f t="shared" ca="1" si="12"/>
        <v>0</v>
      </c>
      <c r="E804">
        <v>1</v>
      </c>
      <c r="F804" t="s">
        <v>32</v>
      </c>
      <c r="I804" t="s">
        <v>39</v>
      </c>
      <c r="J804" t="s">
        <v>44</v>
      </c>
      <c r="M804" t="s">
        <v>54</v>
      </c>
      <c r="N8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4" t="s">
        <v>57</v>
      </c>
      <c r="Q804" t="s">
        <v>59</v>
      </c>
      <c r="R804" t="s">
        <v>59</v>
      </c>
      <c r="S804" t="s">
        <v>59</v>
      </c>
      <c r="T804" t="s">
        <v>59</v>
      </c>
      <c r="V804" t="s">
        <v>59</v>
      </c>
      <c r="W804" t="s">
        <v>80</v>
      </c>
    </row>
    <row r="805" spans="2:23" x14ac:dyDescent="0.2">
      <c r="B805">
        <f t="shared" ca="1" si="12"/>
        <v>0</v>
      </c>
      <c r="E805">
        <v>1</v>
      </c>
      <c r="F805" t="s">
        <v>32</v>
      </c>
      <c r="I805" t="s">
        <v>39</v>
      </c>
      <c r="J805" t="s">
        <v>44</v>
      </c>
      <c r="M805" t="s">
        <v>54</v>
      </c>
      <c r="N8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5" t="s">
        <v>57</v>
      </c>
      <c r="Q805" t="s">
        <v>59</v>
      </c>
      <c r="R805" t="s">
        <v>59</v>
      </c>
      <c r="S805" t="s">
        <v>59</v>
      </c>
      <c r="T805" t="s">
        <v>59</v>
      </c>
      <c r="V805" t="s">
        <v>59</v>
      </c>
      <c r="W805" t="s">
        <v>80</v>
      </c>
    </row>
    <row r="806" spans="2:23" x14ac:dyDescent="0.2">
      <c r="B806">
        <f t="shared" ca="1" si="12"/>
        <v>0</v>
      </c>
      <c r="E806">
        <v>1</v>
      </c>
      <c r="F806" t="s">
        <v>32</v>
      </c>
      <c r="I806" t="s">
        <v>39</v>
      </c>
      <c r="J806" t="s">
        <v>44</v>
      </c>
      <c r="M806" t="s">
        <v>54</v>
      </c>
      <c r="N8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6" t="s">
        <v>57</v>
      </c>
      <c r="Q806" t="s">
        <v>59</v>
      </c>
      <c r="R806" t="s">
        <v>59</v>
      </c>
      <c r="S806" t="s">
        <v>59</v>
      </c>
      <c r="T806" t="s">
        <v>59</v>
      </c>
      <c r="V806" t="s">
        <v>59</v>
      </c>
      <c r="W806" t="s">
        <v>80</v>
      </c>
    </row>
    <row r="807" spans="2:23" x14ac:dyDescent="0.2">
      <c r="B807">
        <f t="shared" ca="1" si="12"/>
        <v>0</v>
      </c>
      <c r="E807">
        <v>1</v>
      </c>
      <c r="F807" t="s">
        <v>32</v>
      </c>
      <c r="I807" t="s">
        <v>39</v>
      </c>
      <c r="J807" t="s">
        <v>44</v>
      </c>
      <c r="M807" t="s">
        <v>54</v>
      </c>
      <c r="N8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7" t="s">
        <v>57</v>
      </c>
      <c r="Q807" t="s">
        <v>59</v>
      </c>
      <c r="R807" t="s">
        <v>59</v>
      </c>
      <c r="S807" t="s">
        <v>59</v>
      </c>
      <c r="T807" t="s">
        <v>59</v>
      </c>
      <c r="V807" t="s">
        <v>59</v>
      </c>
      <c r="W807" t="s">
        <v>80</v>
      </c>
    </row>
    <row r="808" spans="2:23" x14ac:dyDescent="0.2">
      <c r="B808">
        <f t="shared" ca="1" si="12"/>
        <v>0</v>
      </c>
      <c r="E808">
        <v>1</v>
      </c>
      <c r="F808" t="s">
        <v>32</v>
      </c>
      <c r="I808" t="s">
        <v>39</v>
      </c>
      <c r="J808" t="s">
        <v>44</v>
      </c>
      <c r="M808" t="s">
        <v>54</v>
      </c>
      <c r="N8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8" t="s">
        <v>57</v>
      </c>
      <c r="Q808" t="s">
        <v>59</v>
      </c>
      <c r="R808" t="s">
        <v>59</v>
      </c>
      <c r="S808" t="s">
        <v>59</v>
      </c>
      <c r="T808" t="s">
        <v>59</v>
      </c>
      <c r="V808" t="s">
        <v>59</v>
      </c>
      <c r="W808" t="s">
        <v>80</v>
      </c>
    </row>
    <row r="809" spans="2:23" x14ac:dyDescent="0.2">
      <c r="B809">
        <f t="shared" ca="1" si="12"/>
        <v>0</v>
      </c>
      <c r="E809">
        <v>1</v>
      </c>
      <c r="F809" t="s">
        <v>32</v>
      </c>
      <c r="I809" t="s">
        <v>39</v>
      </c>
      <c r="J809" t="s">
        <v>44</v>
      </c>
      <c r="M809" t="s">
        <v>54</v>
      </c>
      <c r="N8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09" t="s">
        <v>57</v>
      </c>
      <c r="Q809" t="s">
        <v>59</v>
      </c>
      <c r="R809" t="s">
        <v>59</v>
      </c>
      <c r="S809" t="s">
        <v>59</v>
      </c>
      <c r="T809" t="s">
        <v>59</v>
      </c>
      <c r="V809" t="s">
        <v>59</v>
      </c>
      <c r="W809" t="s">
        <v>80</v>
      </c>
    </row>
    <row r="810" spans="2:23" x14ac:dyDescent="0.2">
      <c r="B810">
        <f t="shared" ca="1" si="12"/>
        <v>0</v>
      </c>
      <c r="E810">
        <v>1</v>
      </c>
      <c r="F810" t="s">
        <v>32</v>
      </c>
      <c r="I810" t="s">
        <v>39</v>
      </c>
      <c r="J810" t="s">
        <v>44</v>
      </c>
      <c r="M810" t="s">
        <v>54</v>
      </c>
      <c r="N8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0" t="s">
        <v>57</v>
      </c>
      <c r="Q810" t="s">
        <v>59</v>
      </c>
      <c r="R810" t="s">
        <v>59</v>
      </c>
      <c r="S810" t="s">
        <v>59</v>
      </c>
      <c r="T810" t="s">
        <v>59</v>
      </c>
      <c r="V810" t="s">
        <v>59</v>
      </c>
      <c r="W810" t="s">
        <v>80</v>
      </c>
    </row>
    <row r="811" spans="2:23" x14ac:dyDescent="0.2">
      <c r="B811">
        <f t="shared" ca="1" si="12"/>
        <v>0</v>
      </c>
      <c r="E811">
        <v>1</v>
      </c>
      <c r="F811" t="s">
        <v>32</v>
      </c>
      <c r="I811" t="s">
        <v>39</v>
      </c>
      <c r="J811" t="s">
        <v>44</v>
      </c>
      <c r="M811" t="s">
        <v>54</v>
      </c>
      <c r="N8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1" t="s">
        <v>57</v>
      </c>
      <c r="Q811" t="s">
        <v>59</v>
      </c>
      <c r="R811" t="s">
        <v>59</v>
      </c>
      <c r="S811" t="s">
        <v>59</v>
      </c>
      <c r="T811" t="s">
        <v>59</v>
      </c>
      <c r="V811" t="s">
        <v>59</v>
      </c>
      <c r="W811" t="s">
        <v>80</v>
      </c>
    </row>
    <row r="812" spans="2:23" x14ac:dyDescent="0.2">
      <c r="B812">
        <f t="shared" ca="1" si="12"/>
        <v>0</v>
      </c>
      <c r="E812">
        <v>1</v>
      </c>
      <c r="F812" t="s">
        <v>32</v>
      </c>
      <c r="I812" t="s">
        <v>39</v>
      </c>
      <c r="J812" t="s">
        <v>44</v>
      </c>
      <c r="M812" t="s">
        <v>54</v>
      </c>
      <c r="N8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2" t="s">
        <v>57</v>
      </c>
      <c r="Q812" t="s">
        <v>59</v>
      </c>
      <c r="R812" t="s">
        <v>59</v>
      </c>
      <c r="S812" t="s">
        <v>59</v>
      </c>
      <c r="T812" t="s">
        <v>59</v>
      </c>
      <c r="V812" t="s">
        <v>59</v>
      </c>
      <c r="W812" t="s">
        <v>80</v>
      </c>
    </row>
    <row r="813" spans="2:23" x14ac:dyDescent="0.2">
      <c r="B813">
        <f t="shared" ca="1" si="12"/>
        <v>0</v>
      </c>
      <c r="E813">
        <v>1</v>
      </c>
      <c r="F813" t="s">
        <v>32</v>
      </c>
      <c r="I813" t="s">
        <v>39</v>
      </c>
      <c r="J813" t="s">
        <v>44</v>
      </c>
      <c r="M813" t="s">
        <v>54</v>
      </c>
      <c r="N8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3" t="s">
        <v>57</v>
      </c>
      <c r="Q813" t="s">
        <v>59</v>
      </c>
      <c r="R813" t="s">
        <v>59</v>
      </c>
      <c r="S813" t="s">
        <v>59</v>
      </c>
      <c r="T813" t="s">
        <v>59</v>
      </c>
      <c r="V813" t="s">
        <v>59</v>
      </c>
      <c r="W813" t="s">
        <v>80</v>
      </c>
    </row>
    <row r="814" spans="2:23" x14ac:dyDescent="0.2">
      <c r="B814">
        <f t="shared" ca="1" si="12"/>
        <v>0</v>
      </c>
      <c r="E814">
        <v>1</v>
      </c>
      <c r="F814" t="s">
        <v>32</v>
      </c>
      <c r="I814" t="s">
        <v>39</v>
      </c>
      <c r="J814" t="s">
        <v>44</v>
      </c>
      <c r="M814" t="s">
        <v>54</v>
      </c>
      <c r="N8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4" t="s">
        <v>57</v>
      </c>
      <c r="Q814" t="s">
        <v>59</v>
      </c>
      <c r="R814" t="s">
        <v>59</v>
      </c>
      <c r="S814" t="s">
        <v>59</v>
      </c>
      <c r="T814" t="s">
        <v>59</v>
      </c>
      <c r="V814" t="s">
        <v>59</v>
      </c>
      <c r="W814" t="s">
        <v>80</v>
      </c>
    </row>
    <row r="815" spans="2:23" x14ac:dyDescent="0.2">
      <c r="B815">
        <f t="shared" ca="1" si="12"/>
        <v>0</v>
      </c>
      <c r="E815">
        <v>1</v>
      </c>
      <c r="F815" t="s">
        <v>32</v>
      </c>
      <c r="I815" t="s">
        <v>39</v>
      </c>
      <c r="J815" t="s">
        <v>44</v>
      </c>
      <c r="M815" t="s">
        <v>54</v>
      </c>
      <c r="N8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5" t="s">
        <v>57</v>
      </c>
      <c r="Q815" t="s">
        <v>59</v>
      </c>
      <c r="R815" t="s">
        <v>59</v>
      </c>
      <c r="S815" t="s">
        <v>59</v>
      </c>
      <c r="T815" t="s">
        <v>59</v>
      </c>
      <c r="V815" t="s">
        <v>59</v>
      </c>
      <c r="W815" t="s">
        <v>80</v>
      </c>
    </row>
    <row r="816" spans="2:23" x14ac:dyDescent="0.2">
      <c r="B816">
        <f t="shared" ca="1" si="12"/>
        <v>0</v>
      </c>
      <c r="E816">
        <v>1</v>
      </c>
      <c r="F816" t="s">
        <v>32</v>
      </c>
      <c r="I816" t="s">
        <v>39</v>
      </c>
      <c r="J816" t="s">
        <v>44</v>
      </c>
      <c r="M816" t="s">
        <v>54</v>
      </c>
      <c r="N8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6" t="s">
        <v>57</v>
      </c>
      <c r="Q816" t="s">
        <v>59</v>
      </c>
      <c r="R816" t="s">
        <v>59</v>
      </c>
      <c r="S816" t="s">
        <v>59</v>
      </c>
      <c r="T816" t="s">
        <v>59</v>
      </c>
      <c r="V816" t="s">
        <v>59</v>
      </c>
      <c r="W816" t="s">
        <v>80</v>
      </c>
    </row>
    <row r="817" spans="2:23" x14ac:dyDescent="0.2">
      <c r="B817">
        <f t="shared" ca="1" si="12"/>
        <v>0</v>
      </c>
      <c r="E817">
        <v>1</v>
      </c>
      <c r="F817" t="s">
        <v>32</v>
      </c>
      <c r="I817" t="s">
        <v>39</v>
      </c>
      <c r="J817" t="s">
        <v>44</v>
      </c>
      <c r="M817" t="s">
        <v>54</v>
      </c>
      <c r="N8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7" t="s">
        <v>57</v>
      </c>
      <c r="Q817" t="s">
        <v>59</v>
      </c>
      <c r="R817" t="s">
        <v>59</v>
      </c>
      <c r="S817" t="s">
        <v>59</v>
      </c>
      <c r="T817" t="s">
        <v>59</v>
      </c>
      <c r="V817" t="s">
        <v>59</v>
      </c>
      <c r="W817" t="s">
        <v>80</v>
      </c>
    </row>
    <row r="818" spans="2:23" x14ac:dyDescent="0.2">
      <c r="B818">
        <f t="shared" ca="1" si="12"/>
        <v>0</v>
      </c>
      <c r="E818">
        <v>1</v>
      </c>
      <c r="F818" t="s">
        <v>32</v>
      </c>
      <c r="I818" t="s">
        <v>39</v>
      </c>
      <c r="J818" t="s">
        <v>44</v>
      </c>
      <c r="M818" t="s">
        <v>54</v>
      </c>
      <c r="N8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8" t="s">
        <v>57</v>
      </c>
      <c r="Q818" t="s">
        <v>59</v>
      </c>
      <c r="R818" t="s">
        <v>59</v>
      </c>
      <c r="S818" t="s">
        <v>59</v>
      </c>
      <c r="T818" t="s">
        <v>59</v>
      </c>
      <c r="V818" t="s">
        <v>59</v>
      </c>
      <c r="W818" t="s">
        <v>80</v>
      </c>
    </row>
    <row r="819" spans="2:23" x14ac:dyDescent="0.2">
      <c r="B819">
        <f t="shared" ca="1" si="12"/>
        <v>0</v>
      </c>
      <c r="E819">
        <v>1</v>
      </c>
      <c r="F819" t="s">
        <v>32</v>
      </c>
      <c r="I819" t="s">
        <v>39</v>
      </c>
      <c r="J819" t="s">
        <v>44</v>
      </c>
      <c r="M819" t="s">
        <v>54</v>
      </c>
      <c r="N8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19" t="s">
        <v>57</v>
      </c>
      <c r="Q819" t="s">
        <v>59</v>
      </c>
      <c r="R819" t="s">
        <v>59</v>
      </c>
      <c r="S819" t="s">
        <v>59</v>
      </c>
      <c r="T819" t="s">
        <v>59</v>
      </c>
      <c r="V819" t="s">
        <v>59</v>
      </c>
      <c r="W819" t="s">
        <v>80</v>
      </c>
    </row>
    <row r="820" spans="2:23" x14ac:dyDescent="0.2">
      <c r="B820">
        <f t="shared" ca="1" si="12"/>
        <v>0</v>
      </c>
      <c r="E820">
        <v>1</v>
      </c>
      <c r="F820" t="s">
        <v>32</v>
      </c>
      <c r="I820" t="s">
        <v>39</v>
      </c>
      <c r="J820" t="s">
        <v>44</v>
      </c>
      <c r="M820" t="s">
        <v>54</v>
      </c>
      <c r="N8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0" t="s">
        <v>57</v>
      </c>
      <c r="Q820" t="s">
        <v>59</v>
      </c>
      <c r="R820" t="s">
        <v>59</v>
      </c>
      <c r="S820" t="s">
        <v>59</v>
      </c>
      <c r="T820" t="s">
        <v>59</v>
      </c>
      <c r="V820" t="s">
        <v>59</v>
      </c>
      <c r="W820" t="s">
        <v>80</v>
      </c>
    </row>
    <row r="821" spans="2:23" x14ac:dyDescent="0.2">
      <c r="B821">
        <f t="shared" ca="1" si="12"/>
        <v>0</v>
      </c>
      <c r="E821">
        <v>1</v>
      </c>
      <c r="F821" t="s">
        <v>32</v>
      </c>
      <c r="I821" t="s">
        <v>39</v>
      </c>
      <c r="J821" t="s">
        <v>44</v>
      </c>
      <c r="M821" t="s">
        <v>54</v>
      </c>
      <c r="N8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1" t="s">
        <v>57</v>
      </c>
      <c r="Q821" t="s">
        <v>59</v>
      </c>
      <c r="R821" t="s">
        <v>59</v>
      </c>
      <c r="S821" t="s">
        <v>59</v>
      </c>
      <c r="T821" t="s">
        <v>59</v>
      </c>
      <c r="V821" t="s">
        <v>59</v>
      </c>
      <c r="W821" t="s">
        <v>80</v>
      </c>
    </row>
    <row r="822" spans="2:23" x14ac:dyDescent="0.2">
      <c r="B822">
        <f t="shared" ca="1" si="12"/>
        <v>0</v>
      </c>
      <c r="E822">
        <v>1</v>
      </c>
      <c r="F822" t="s">
        <v>32</v>
      </c>
      <c r="I822" t="s">
        <v>39</v>
      </c>
      <c r="J822" t="s">
        <v>44</v>
      </c>
      <c r="M822" t="s">
        <v>54</v>
      </c>
      <c r="N8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2" t="s">
        <v>57</v>
      </c>
      <c r="Q822" t="s">
        <v>59</v>
      </c>
      <c r="R822" t="s">
        <v>59</v>
      </c>
      <c r="S822" t="s">
        <v>59</v>
      </c>
      <c r="T822" t="s">
        <v>59</v>
      </c>
      <c r="V822" t="s">
        <v>59</v>
      </c>
      <c r="W822" t="s">
        <v>80</v>
      </c>
    </row>
    <row r="823" spans="2:23" x14ac:dyDescent="0.2">
      <c r="B823">
        <f t="shared" ca="1" si="12"/>
        <v>0</v>
      </c>
      <c r="E823">
        <v>1</v>
      </c>
      <c r="F823" t="s">
        <v>32</v>
      </c>
      <c r="I823" t="s">
        <v>39</v>
      </c>
      <c r="J823" t="s">
        <v>44</v>
      </c>
      <c r="M823" t="s">
        <v>54</v>
      </c>
      <c r="N8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3" t="s">
        <v>57</v>
      </c>
      <c r="Q823" t="s">
        <v>59</v>
      </c>
      <c r="R823" t="s">
        <v>59</v>
      </c>
      <c r="S823" t="s">
        <v>59</v>
      </c>
      <c r="T823" t="s">
        <v>59</v>
      </c>
      <c r="V823" t="s">
        <v>59</v>
      </c>
      <c r="W823" t="s">
        <v>80</v>
      </c>
    </row>
    <row r="824" spans="2:23" x14ac:dyDescent="0.2">
      <c r="B824">
        <f t="shared" ca="1" si="12"/>
        <v>0</v>
      </c>
      <c r="E824">
        <v>1</v>
      </c>
      <c r="F824" t="s">
        <v>32</v>
      </c>
      <c r="I824" t="s">
        <v>39</v>
      </c>
      <c r="J824" t="s">
        <v>44</v>
      </c>
      <c r="M824" t="s">
        <v>54</v>
      </c>
      <c r="N8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4" t="s">
        <v>57</v>
      </c>
      <c r="Q824" t="s">
        <v>59</v>
      </c>
      <c r="R824" t="s">
        <v>59</v>
      </c>
      <c r="S824" t="s">
        <v>59</v>
      </c>
      <c r="T824" t="s">
        <v>59</v>
      </c>
      <c r="V824" t="s">
        <v>59</v>
      </c>
      <c r="W824" t="s">
        <v>80</v>
      </c>
    </row>
    <row r="825" spans="2:23" x14ac:dyDescent="0.2">
      <c r="B825">
        <f t="shared" ca="1" si="12"/>
        <v>0</v>
      </c>
      <c r="E825">
        <v>1</v>
      </c>
      <c r="F825" t="s">
        <v>32</v>
      </c>
      <c r="I825" t="s">
        <v>39</v>
      </c>
      <c r="J825" t="s">
        <v>44</v>
      </c>
      <c r="M825" t="s">
        <v>54</v>
      </c>
      <c r="N8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5" t="s">
        <v>57</v>
      </c>
      <c r="Q825" t="s">
        <v>59</v>
      </c>
      <c r="R825" t="s">
        <v>59</v>
      </c>
      <c r="S825" t="s">
        <v>59</v>
      </c>
      <c r="T825" t="s">
        <v>59</v>
      </c>
      <c r="V825" t="s">
        <v>59</v>
      </c>
      <c r="W825" t="s">
        <v>80</v>
      </c>
    </row>
    <row r="826" spans="2:23" x14ac:dyDescent="0.2">
      <c r="B826">
        <f t="shared" ca="1" si="12"/>
        <v>0</v>
      </c>
      <c r="E826">
        <v>1</v>
      </c>
      <c r="F826" t="s">
        <v>32</v>
      </c>
      <c r="I826" t="s">
        <v>39</v>
      </c>
      <c r="J826" t="s">
        <v>44</v>
      </c>
      <c r="M826" t="s">
        <v>54</v>
      </c>
      <c r="N8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6" t="s">
        <v>57</v>
      </c>
      <c r="Q826" t="s">
        <v>59</v>
      </c>
      <c r="R826" t="s">
        <v>59</v>
      </c>
      <c r="S826" t="s">
        <v>59</v>
      </c>
      <c r="T826" t="s">
        <v>59</v>
      </c>
      <c r="V826" t="s">
        <v>59</v>
      </c>
      <c r="W826" t="s">
        <v>80</v>
      </c>
    </row>
    <row r="827" spans="2:23" x14ac:dyDescent="0.2">
      <c r="B827">
        <f t="shared" ca="1" si="12"/>
        <v>0</v>
      </c>
      <c r="E827">
        <v>1</v>
      </c>
      <c r="F827" t="s">
        <v>32</v>
      </c>
      <c r="I827" t="s">
        <v>39</v>
      </c>
      <c r="J827" t="s">
        <v>44</v>
      </c>
      <c r="M827" t="s">
        <v>54</v>
      </c>
      <c r="N8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7" t="s">
        <v>57</v>
      </c>
      <c r="Q827" t="s">
        <v>59</v>
      </c>
      <c r="R827" t="s">
        <v>59</v>
      </c>
      <c r="S827" t="s">
        <v>59</v>
      </c>
      <c r="T827" t="s">
        <v>59</v>
      </c>
      <c r="V827" t="s">
        <v>59</v>
      </c>
      <c r="W827" t="s">
        <v>80</v>
      </c>
    </row>
    <row r="828" spans="2:23" x14ac:dyDescent="0.2">
      <c r="B828">
        <f t="shared" ca="1" si="12"/>
        <v>0</v>
      </c>
      <c r="E828">
        <v>1</v>
      </c>
      <c r="F828" t="s">
        <v>32</v>
      </c>
      <c r="I828" t="s">
        <v>39</v>
      </c>
      <c r="J828" t="s">
        <v>44</v>
      </c>
      <c r="M828" t="s">
        <v>54</v>
      </c>
      <c r="N8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8" t="s">
        <v>57</v>
      </c>
      <c r="Q828" t="s">
        <v>59</v>
      </c>
      <c r="R828" t="s">
        <v>59</v>
      </c>
      <c r="S828" t="s">
        <v>59</v>
      </c>
      <c r="T828" t="s">
        <v>59</v>
      </c>
      <c r="V828" t="s">
        <v>59</v>
      </c>
      <c r="W828" t="s">
        <v>80</v>
      </c>
    </row>
    <row r="829" spans="2:23" x14ac:dyDescent="0.2">
      <c r="B829">
        <f t="shared" ca="1" si="12"/>
        <v>0</v>
      </c>
      <c r="E829">
        <v>1</v>
      </c>
      <c r="F829" t="s">
        <v>32</v>
      </c>
      <c r="I829" t="s">
        <v>39</v>
      </c>
      <c r="J829" t="s">
        <v>44</v>
      </c>
      <c r="M829" t="s">
        <v>54</v>
      </c>
      <c r="N8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29" t="s">
        <v>57</v>
      </c>
      <c r="Q829" t="s">
        <v>59</v>
      </c>
      <c r="R829" t="s">
        <v>59</v>
      </c>
      <c r="S829" t="s">
        <v>59</v>
      </c>
      <c r="T829" t="s">
        <v>59</v>
      </c>
      <c r="V829" t="s">
        <v>59</v>
      </c>
      <c r="W829" t="s">
        <v>80</v>
      </c>
    </row>
    <row r="830" spans="2:23" x14ac:dyDescent="0.2">
      <c r="B830">
        <f t="shared" ca="1" si="12"/>
        <v>0</v>
      </c>
      <c r="E830">
        <v>1</v>
      </c>
      <c r="F830" t="s">
        <v>32</v>
      </c>
      <c r="I830" t="s">
        <v>39</v>
      </c>
      <c r="J830" t="s">
        <v>44</v>
      </c>
      <c r="M830" t="s">
        <v>54</v>
      </c>
      <c r="N8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0" t="s">
        <v>57</v>
      </c>
      <c r="Q830" t="s">
        <v>59</v>
      </c>
      <c r="R830" t="s">
        <v>59</v>
      </c>
      <c r="S830" t="s">
        <v>59</v>
      </c>
      <c r="T830" t="s">
        <v>59</v>
      </c>
      <c r="V830" t="s">
        <v>59</v>
      </c>
      <c r="W830" t="s">
        <v>80</v>
      </c>
    </row>
    <row r="831" spans="2:23" x14ac:dyDescent="0.2">
      <c r="B831">
        <f t="shared" ca="1" si="12"/>
        <v>0</v>
      </c>
      <c r="E831">
        <v>1</v>
      </c>
      <c r="F831" t="s">
        <v>32</v>
      </c>
      <c r="I831" t="s">
        <v>39</v>
      </c>
      <c r="J831" t="s">
        <v>44</v>
      </c>
      <c r="M831" t="s">
        <v>54</v>
      </c>
      <c r="N8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1" t="s">
        <v>57</v>
      </c>
      <c r="Q831" t="s">
        <v>59</v>
      </c>
      <c r="R831" t="s">
        <v>59</v>
      </c>
      <c r="S831" t="s">
        <v>59</v>
      </c>
      <c r="T831" t="s">
        <v>59</v>
      </c>
      <c r="V831" t="s">
        <v>59</v>
      </c>
      <c r="W831" t="s">
        <v>80</v>
      </c>
    </row>
    <row r="832" spans="2:23" x14ac:dyDescent="0.2">
      <c r="B832">
        <f t="shared" ca="1" si="12"/>
        <v>0</v>
      </c>
      <c r="E832">
        <v>1</v>
      </c>
      <c r="F832" t="s">
        <v>32</v>
      </c>
      <c r="I832" t="s">
        <v>39</v>
      </c>
      <c r="J832" t="s">
        <v>44</v>
      </c>
      <c r="M832" t="s">
        <v>54</v>
      </c>
      <c r="N8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2" t="s">
        <v>57</v>
      </c>
      <c r="Q832" t="s">
        <v>59</v>
      </c>
      <c r="R832" t="s">
        <v>59</v>
      </c>
      <c r="S832" t="s">
        <v>59</v>
      </c>
      <c r="T832" t="s">
        <v>59</v>
      </c>
      <c r="V832" t="s">
        <v>59</v>
      </c>
      <c r="W832" t="s">
        <v>80</v>
      </c>
    </row>
    <row r="833" spans="2:23" x14ac:dyDescent="0.2">
      <c r="B833">
        <f t="shared" ca="1" si="12"/>
        <v>0</v>
      </c>
      <c r="E833">
        <v>1</v>
      </c>
      <c r="F833" t="s">
        <v>32</v>
      </c>
      <c r="I833" t="s">
        <v>39</v>
      </c>
      <c r="J833" t="s">
        <v>44</v>
      </c>
      <c r="M833" t="s">
        <v>54</v>
      </c>
      <c r="N8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3" t="s">
        <v>57</v>
      </c>
      <c r="Q833" t="s">
        <v>59</v>
      </c>
      <c r="R833" t="s">
        <v>59</v>
      </c>
      <c r="S833" t="s">
        <v>59</v>
      </c>
      <c r="T833" t="s">
        <v>59</v>
      </c>
      <c r="V833" t="s">
        <v>59</v>
      </c>
      <c r="W833" t="s">
        <v>80</v>
      </c>
    </row>
    <row r="834" spans="2:23" x14ac:dyDescent="0.2">
      <c r="B834">
        <f t="shared" ca="1" si="12"/>
        <v>0</v>
      </c>
      <c r="E834">
        <v>1</v>
      </c>
      <c r="F834" t="s">
        <v>32</v>
      </c>
      <c r="I834" t="s">
        <v>39</v>
      </c>
      <c r="J834" t="s">
        <v>44</v>
      </c>
      <c r="M834" t="s">
        <v>54</v>
      </c>
      <c r="N8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4" t="s">
        <v>57</v>
      </c>
      <c r="Q834" t="s">
        <v>59</v>
      </c>
      <c r="R834" t="s">
        <v>59</v>
      </c>
      <c r="S834" t="s">
        <v>59</v>
      </c>
      <c r="T834" t="s">
        <v>59</v>
      </c>
      <c r="V834" t="s">
        <v>59</v>
      </c>
      <c r="W834" t="s">
        <v>80</v>
      </c>
    </row>
    <row r="835" spans="2:23" x14ac:dyDescent="0.2">
      <c r="B835">
        <f t="shared" ca="1" si="12"/>
        <v>0</v>
      </c>
      <c r="E835">
        <v>1</v>
      </c>
      <c r="F835" t="s">
        <v>32</v>
      </c>
      <c r="I835" t="s">
        <v>39</v>
      </c>
      <c r="J835" t="s">
        <v>44</v>
      </c>
      <c r="M835" t="s">
        <v>54</v>
      </c>
      <c r="N8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5" t="s">
        <v>57</v>
      </c>
      <c r="Q835" t="s">
        <v>59</v>
      </c>
      <c r="R835" t="s">
        <v>59</v>
      </c>
      <c r="S835" t="s">
        <v>59</v>
      </c>
      <c r="T835" t="s">
        <v>59</v>
      </c>
      <c r="V835" t="s">
        <v>59</v>
      </c>
      <c r="W835" t="s">
        <v>80</v>
      </c>
    </row>
    <row r="836" spans="2:23" x14ac:dyDescent="0.2">
      <c r="B836">
        <f t="shared" ca="1" si="12"/>
        <v>0</v>
      </c>
      <c r="E836">
        <v>1</v>
      </c>
      <c r="F836" t="s">
        <v>32</v>
      </c>
      <c r="I836" t="s">
        <v>39</v>
      </c>
      <c r="J836" t="s">
        <v>44</v>
      </c>
      <c r="M836" t="s">
        <v>54</v>
      </c>
      <c r="N8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6" t="s">
        <v>57</v>
      </c>
      <c r="Q836" t="s">
        <v>59</v>
      </c>
      <c r="R836" t="s">
        <v>59</v>
      </c>
      <c r="S836" t="s">
        <v>59</v>
      </c>
      <c r="T836" t="s">
        <v>59</v>
      </c>
      <c r="V836" t="s">
        <v>59</v>
      </c>
      <c r="W836" t="s">
        <v>80</v>
      </c>
    </row>
    <row r="837" spans="2:23" x14ac:dyDescent="0.2">
      <c r="B837">
        <f t="shared" ca="1" si="12"/>
        <v>0</v>
      </c>
      <c r="E837">
        <v>1</v>
      </c>
      <c r="F837" t="s">
        <v>32</v>
      </c>
      <c r="I837" t="s">
        <v>39</v>
      </c>
      <c r="J837" t="s">
        <v>44</v>
      </c>
      <c r="M837" t="s">
        <v>54</v>
      </c>
      <c r="N8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7" t="s">
        <v>57</v>
      </c>
      <c r="Q837" t="s">
        <v>59</v>
      </c>
      <c r="R837" t="s">
        <v>59</v>
      </c>
      <c r="S837" t="s">
        <v>59</v>
      </c>
      <c r="T837" t="s">
        <v>59</v>
      </c>
      <c r="V837" t="s">
        <v>59</v>
      </c>
      <c r="W837" t="s">
        <v>80</v>
      </c>
    </row>
    <row r="838" spans="2:23" x14ac:dyDescent="0.2">
      <c r="B838">
        <f t="shared" ca="1" si="12"/>
        <v>0</v>
      </c>
      <c r="E838">
        <v>1</v>
      </c>
      <c r="F838" t="s">
        <v>32</v>
      </c>
      <c r="I838" t="s">
        <v>39</v>
      </c>
      <c r="J838" t="s">
        <v>44</v>
      </c>
      <c r="M838" t="s">
        <v>54</v>
      </c>
      <c r="N8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8" t="s">
        <v>57</v>
      </c>
      <c r="Q838" t="s">
        <v>59</v>
      </c>
      <c r="R838" t="s">
        <v>59</v>
      </c>
      <c r="S838" t="s">
        <v>59</v>
      </c>
      <c r="T838" t="s">
        <v>59</v>
      </c>
      <c r="V838" t="s">
        <v>59</v>
      </c>
      <c r="W838" t="s">
        <v>80</v>
      </c>
    </row>
    <row r="839" spans="2:23" x14ac:dyDescent="0.2">
      <c r="B839">
        <f t="shared" ref="B839:B902" ca="1" si="13">LEN(INDIRECT(ADDRESS(ROW() + (0),COLUMN() + (-1))))</f>
        <v>0</v>
      </c>
      <c r="E839">
        <v>1</v>
      </c>
      <c r="F839" t="s">
        <v>32</v>
      </c>
      <c r="I839" t="s">
        <v>39</v>
      </c>
      <c r="J839" t="s">
        <v>44</v>
      </c>
      <c r="M839" t="s">
        <v>54</v>
      </c>
      <c r="N8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39" t="s">
        <v>57</v>
      </c>
      <c r="Q839" t="s">
        <v>59</v>
      </c>
      <c r="R839" t="s">
        <v>59</v>
      </c>
      <c r="S839" t="s">
        <v>59</v>
      </c>
      <c r="T839" t="s">
        <v>59</v>
      </c>
      <c r="V839" t="s">
        <v>59</v>
      </c>
      <c r="W839" t="s">
        <v>80</v>
      </c>
    </row>
    <row r="840" spans="2:23" x14ac:dyDescent="0.2">
      <c r="B840">
        <f t="shared" ca="1" si="13"/>
        <v>0</v>
      </c>
      <c r="E840">
        <v>1</v>
      </c>
      <c r="F840" t="s">
        <v>32</v>
      </c>
      <c r="I840" t="s">
        <v>39</v>
      </c>
      <c r="J840" t="s">
        <v>44</v>
      </c>
      <c r="M840" t="s">
        <v>54</v>
      </c>
      <c r="N8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0" t="s">
        <v>57</v>
      </c>
      <c r="Q840" t="s">
        <v>59</v>
      </c>
      <c r="R840" t="s">
        <v>59</v>
      </c>
      <c r="S840" t="s">
        <v>59</v>
      </c>
      <c r="T840" t="s">
        <v>59</v>
      </c>
      <c r="V840" t="s">
        <v>59</v>
      </c>
      <c r="W840" t="s">
        <v>80</v>
      </c>
    </row>
    <row r="841" spans="2:23" x14ac:dyDescent="0.2">
      <c r="B841">
        <f t="shared" ca="1" si="13"/>
        <v>0</v>
      </c>
      <c r="E841">
        <v>1</v>
      </c>
      <c r="F841" t="s">
        <v>32</v>
      </c>
      <c r="I841" t="s">
        <v>39</v>
      </c>
      <c r="J841" t="s">
        <v>44</v>
      </c>
      <c r="M841" t="s">
        <v>54</v>
      </c>
      <c r="N8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1" t="s">
        <v>57</v>
      </c>
      <c r="Q841" t="s">
        <v>59</v>
      </c>
      <c r="R841" t="s">
        <v>59</v>
      </c>
      <c r="S841" t="s">
        <v>59</v>
      </c>
      <c r="T841" t="s">
        <v>59</v>
      </c>
      <c r="V841" t="s">
        <v>59</v>
      </c>
      <c r="W841" t="s">
        <v>80</v>
      </c>
    </row>
    <row r="842" spans="2:23" x14ac:dyDescent="0.2">
      <c r="B842">
        <f t="shared" ca="1" si="13"/>
        <v>0</v>
      </c>
      <c r="E842">
        <v>1</v>
      </c>
      <c r="F842" t="s">
        <v>32</v>
      </c>
      <c r="I842" t="s">
        <v>39</v>
      </c>
      <c r="J842" t="s">
        <v>44</v>
      </c>
      <c r="M842" t="s">
        <v>54</v>
      </c>
      <c r="N8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2" t="s">
        <v>57</v>
      </c>
      <c r="Q842" t="s">
        <v>59</v>
      </c>
      <c r="R842" t="s">
        <v>59</v>
      </c>
      <c r="S842" t="s">
        <v>59</v>
      </c>
      <c r="T842" t="s">
        <v>59</v>
      </c>
      <c r="V842" t="s">
        <v>59</v>
      </c>
      <c r="W842" t="s">
        <v>80</v>
      </c>
    </row>
    <row r="843" spans="2:23" x14ac:dyDescent="0.2">
      <c r="B843">
        <f t="shared" ca="1" si="13"/>
        <v>0</v>
      </c>
      <c r="E843">
        <v>1</v>
      </c>
      <c r="F843" t="s">
        <v>32</v>
      </c>
      <c r="I843" t="s">
        <v>39</v>
      </c>
      <c r="J843" t="s">
        <v>44</v>
      </c>
      <c r="M843" t="s">
        <v>54</v>
      </c>
      <c r="N8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3" t="s">
        <v>57</v>
      </c>
      <c r="Q843" t="s">
        <v>59</v>
      </c>
      <c r="R843" t="s">
        <v>59</v>
      </c>
      <c r="S843" t="s">
        <v>59</v>
      </c>
      <c r="T843" t="s">
        <v>59</v>
      </c>
      <c r="V843" t="s">
        <v>59</v>
      </c>
      <c r="W843" t="s">
        <v>80</v>
      </c>
    </row>
    <row r="844" spans="2:23" x14ac:dyDescent="0.2">
      <c r="B844">
        <f t="shared" ca="1" si="13"/>
        <v>0</v>
      </c>
      <c r="E844">
        <v>1</v>
      </c>
      <c r="F844" t="s">
        <v>32</v>
      </c>
      <c r="I844" t="s">
        <v>39</v>
      </c>
      <c r="J844" t="s">
        <v>44</v>
      </c>
      <c r="M844" t="s">
        <v>54</v>
      </c>
      <c r="N8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4" t="s">
        <v>57</v>
      </c>
      <c r="Q844" t="s">
        <v>59</v>
      </c>
      <c r="R844" t="s">
        <v>59</v>
      </c>
      <c r="S844" t="s">
        <v>59</v>
      </c>
      <c r="T844" t="s">
        <v>59</v>
      </c>
      <c r="V844" t="s">
        <v>59</v>
      </c>
      <c r="W844" t="s">
        <v>80</v>
      </c>
    </row>
    <row r="845" spans="2:23" x14ac:dyDescent="0.2">
      <c r="B845">
        <f t="shared" ca="1" si="13"/>
        <v>0</v>
      </c>
      <c r="E845">
        <v>1</v>
      </c>
      <c r="F845" t="s">
        <v>32</v>
      </c>
      <c r="I845" t="s">
        <v>39</v>
      </c>
      <c r="J845" t="s">
        <v>44</v>
      </c>
      <c r="M845" t="s">
        <v>54</v>
      </c>
      <c r="N8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5" t="s">
        <v>57</v>
      </c>
      <c r="Q845" t="s">
        <v>59</v>
      </c>
      <c r="R845" t="s">
        <v>59</v>
      </c>
      <c r="S845" t="s">
        <v>59</v>
      </c>
      <c r="T845" t="s">
        <v>59</v>
      </c>
      <c r="V845" t="s">
        <v>59</v>
      </c>
      <c r="W845" t="s">
        <v>80</v>
      </c>
    </row>
    <row r="846" spans="2:23" x14ac:dyDescent="0.2">
      <c r="B846">
        <f t="shared" ca="1" si="13"/>
        <v>0</v>
      </c>
      <c r="E846">
        <v>1</v>
      </c>
      <c r="F846" t="s">
        <v>32</v>
      </c>
      <c r="I846" t="s">
        <v>39</v>
      </c>
      <c r="J846" t="s">
        <v>44</v>
      </c>
      <c r="M846" t="s">
        <v>54</v>
      </c>
      <c r="N8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6" t="s">
        <v>57</v>
      </c>
      <c r="Q846" t="s">
        <v>59</v>
      </c>
      <c r="R846" t="s">
        <v>59</v>
      </c>
      <c r="S846" t="s">
        <v>59</v>
      </c>
      <c r="T846" t="s">
        <v>59</v>
      </c>
      <c r="V846" t="s">
        <v>59</v>
      </c>
      <c r="W846" t="s">
        <v>80</v>
      </c>
    </row>
    <row r="847" spans="2:23" x14ac:dyDescent="0.2">
      <c r="B847">
        <f t="shared" ca="1" si="13"/>
        <v>0</v>
      </c>
      <c r="E847">
        <v>1</v>
      </c>
      <c r="F847" t="s">
        <v>32</v>
      </c>
      <c r="I847" t="s">
        <v>39</v>
      </c>
      <c r="J847" t="s">
        <v>44</v>
      </c>
      <c r="M847" t="s">
        <v>54</v>
      </c>
      <c r="N8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7" t="s">
        <v>57</v>
      </c>
      <c r="Q847" t="s">
        <v>59</v>
      </c>
      <c r="R847" t="s">
        <v>59</v>
      </c>
      <c r="S847" t="s">
        <v>59</v>
      </c>
      <c r="T847" t="s">
        <v>59</v>
      </c>
      <c r="V847" t="s">
        <v>59</v>
      </c>
      <c r="W847" t="s">
        <v>80</v>
      </c>
    </row>
    <row r="848" spans="2:23" x14ac:dyDescent="0.2">
      <c r="B848">
        <f t="shared" ca="1" si="13"/>
        <v>0</v>
      </c>
      <c r="E848">
        <v>1</v>
      </c>
      <c r="F848" t="s">
        <v>32</v>
      </c>
      <c r="I848" t="s">
        <v>39</v>
      </c>
      <c r="J848" t="s">
        <v>44</v>
      </c>
      <c r="M848" t="s">
        <v>54</v>
      </c>
      <c r="N8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8" t="s">
        <v>57</v>
      </c>
      <c r="Q848" t="s">
        <v>59</v>
      </c>
      <c r="R848" t="s">
        <v>59</v>
      </c>
      <c r="S848" t="s">
        <v>59</v>
      </c>
      <c r="T848" t="s">
        <v>59</v>
      </c>
      <c r="V848" t="s">
        <v>59</v>
      </c>
      <c r="W848" t="s">
        <v>80</v>
      </c>
    </row>
    <row r="849" spans="2:23" x14ac:dyDescent="0.2">
      <c r="B849">
        <f t="shared" ca="1" si="13"/>
        <v>0</v>
      </c>
      <c r="E849">
        <v>1</v>
      </c>
      <c r="F849" t="s">
        <v>32</v>
      </c>
      <c r="I849" t="s">
        <v>39</v>
      </c>
      <c r="J849" t="s">
        <v>44</v>
      </c>
      <c r="M849" t="s">
        <v>54</v>
      </c>
      <c r="N8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49" t="s">
        <v>57</v>
      </c>
      <c r="Q849" t="s">
        <v>59</v>
      </c>
      <c r="R849" t="s">
        <v>59</v>
      </c>
      <c r="S849" t="s">
        <v>59</v>
      </c>
      <c r="T849" t="s">
        <v>59</v>
      </c>
      <c r="V849" t="s">
        <v>59</v>
      </c>
      <c r="W849" t="s">
        <v>80</v>
      </c>
    </row>
    <row r="850" spans="2:23" x14ac:dyDescent="0.2">
      <c r="B850">
        <f t="shared" ca="1" si="13"/>
        <v>0</v>
      </c>
      <c r="E850">
        <v>1</v>
      </c>
      <c r="F850" t="s">
        <v>32</v>
      </c>
      <c r="I850" t="s">
        <v>39</v>
      </c>
      <c r="J850" t="s">
        <v>44</v>
      </c>
      <c r="M850" t="s">
        <v>54</v>
      </c>
      <c r="N8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0" t="s">
        <v>57</v>
      </c>
      <c r="Q850" t="s">
        <v>59</v>
      </c>
      <c r="R850" t="s">
        <v>59</v>
      </c>
      <c r="S850" t="s">
        <v>59</v>
      </c>
      <c r="T850" t="s">
        <v>59</v>
      </c>
      <c r="V850" t="s">
        <v>59</v>
      </c>
      <c r="W850" t="s">
        <v>80</v>
      </c>
    </row>
    <row r="851" spans="2:23" x14ac:dyDescent="0.2">
      <c r="B851">
        <f t="shared" ca="1" si="13"/>
        <v>0</v>
      </c>
      <c r="E851">
        <v>1</v>
      </c>
      <c r="F851" t="s">
        <v>32</v>
      </c>
      <c r="I851" t="s">
        <v>39</v>
      </c>
      <c r="J851" t="s">
        <v>44</v>
      </c>
      <c r="M851" t="s">
        <v>54</v>
      </c>
      <c r="N8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1" t="s">
        <v>57</v>
      </c>
      <c r="Q851" t="s">
        <v>59</v>
      </c>
      <c r="R851" t="s">
        <v>59</v>
      </c>
      <c r="S851" t="s">
        <v>59</v>
      </c>
      <c r="T851" t="s">
        <v>59</v>
      </c>
      <c r="V851" t="s">
        <v>59</v>
      </c>
      <c r="W851" t="s">
        <v>80</v>
      </c>
    </row>
    <row r="852" spans="2:23" x14ac:dyDescent="0.2">
      <c r="B852">
        <f t="shared" ca="1" si="13"/>
        <v>0</v>
      </c>
      <c r="E852">
        <v>1</v>
      </c>
      <c r="F852" t="s">
        <v>32</v>
      </c>
      <c r="I852" t="s">
        <v>39</v>
      </c>
      <c r="J852" t="s">
        <v>44</v>
      </c>
      <c r="M852" t="s">
        <v>54</v>
      </c>
      <c r="N8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2" t="s">
        <v>57</v>
      </c>
      <c r="Q852" t="s">
        <v>59</v>
      </c>
      <c r="R852" t="s">
        <v>59</v>
      </c>
      <c r="S852" t="s">
        <v>59</v>
      </c>
      <c r="T852" t="s">
        <v>59</v>
      </c>
      <c r="V852" t="s">
        <v>59</v>
      </c>
      <c r="W852" t="s">
        <v>80</v>
      </c>
    </row>
    <row r="853" spans="2:23" x14ac:dyDescent="0.2">
      <c r="B853">
        <f t="shared" ca="1" si="13"/>
        <v>0</v>
      </c>
      <c r="E853">
        <v>1</v>
      </c>
      <c r="F853" t="s">
        <v>32</v>
      </c>
      <c r="I853" t="s">
        <v>39</v>
      </c>
      <c r="J853" t="s">
        <v>44</v>
      </c>
      <c r="M853" t="s">
        <v>54</v>
      </c>
      <c r="N8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3" t="s">
        <v>57</v>
      </c>
      <c r="Q853" t="s">
        <v>59</v>
      </c>
      <c r="R853" t="s">
        <v>59</v>
      </c>
      <c r="S853" t="s">
        <v>59</v>
      </c>
      <c r="T853" t="s">
        <v>59</v>
      </c>
      <c r="V853" t="s">
        <v>59</v>
      </c>
      <c r="W853" t="s">
        <v>80</v>
      </c>
    </row>
    <row r="854" spans="2:23" x14ac:dyDescent="0.2">
      <c r="B854">
        <f t="shared" ca="1" si="13"/>
        <v>0</v>
      </c>
      <c r="E854">
        <v>1</v>
      </c>
      <c r="F854" t="s">
        <v>32</v>
      </c>
      <c r="I854" t="s">
        <v>39</v>
      </c>
      <c r="J854" t="s">
        <v>44</v>
      </c>
      <c r="M854" t="s">
        <v>54</v>
      </c>
      <c r="N8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4" t="s">
        <v>57</v>
      </c>
      <c r="Q854" t="s">
        <v>59</v>
      </c>
      <c r="R854" t="s">
        <v>59</v>
      </c>
      <c r="S854" t="s">
        <v>59</v>
      </c>
      <c r="T854" t="s">
        <v>59</v>
      </c>
      <c r="V854" t="s">
        <v>59</v>
      </c>
      <c r="W854" t="s">
        <v>80</v>
      </c>
    </row>
    <row r="855" spans="2:23" x14ac:dyDescent="0.2">
      <c r="B855">
        <f t="shared" ca="1" si="13"/>
        <v>0</v>
      </c>
      <c r="E855">
        <v>1</v>
      </c>
      <c r="F855" t="s">
        <v>32</v>
      </c>
      <c r="I855" t="s">
        <v>39</v>
      </c>
      <c r="J855" t="s">
        <v>44</v>
      </c>
      <c r="M855" t="s">
        <v>54</v>
      </c>
      <c r="N8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5" t="s">
        <v>57</v>
      </c>
      <c r="Q855" t="s">
        <v>59</v>
      </c>
      <c r="R855" t="s">
        <v>59</v>
      </c>
      <c r="S855" t="s">
        <v>59</v>
      </c>
      <c r="T855" t="s">
        <v>59</v>
      </c>
      <c r="V855" t="s">
        <v>59</v>
      </c>
      <c r="W855" t="s">
        <v>80</v>
      </c>
    </row>
    <row r="856" spans="2:23" x14ac:dyDescent="0.2">
      <c r="B856">
        <f t="shared" ca="1" si="13"/>
        <v>0</v>
      </c>
      <c r="E856">
        <v>1</v>
      </c>
      <c r="F856" t="s">
        <v>32</v>
      </c>
      <c r="I856" t="s">
        <v>39</v>
      </c>
      <c r="J856" t="s">
        <v>44</v>
      </c>
      <c r="M856" t="s">
        <v>54</v>
      </c>
      <c r="N8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6" t="s">
        <v>57</v>
      </c>
      <c r="Q856" t="s">
        <v>59</v>
      </c>
      <c r="R856" t="s">
        <v>59</v>
      </c>
      <c r="S856" t="s">
        <v>59</v>
      </c>
      <c r="T856" t="s">
        <v>59</v>
      </c>
      <c r="V856" t="s">
        <v>59</v>
      </c>
      <c r="W856" t="s">
        <v>80</v>
      </c>
    </row>
    <row r="857" spans="2:23" x14ac:dyDescent="0.2">
      <c r="B857">
        <f t="shared" ca="1" si="13"/>
        <v>0</v>
      </c>
      <c r="E857">
        <v>1</v>
      </c>
      <c r="F857" t="s">
        <v>32</v>
      </c>
      <c r="I857" t="s">
        <v>39</v>
      </c>
      <c r="J857" t="s">
        <v>44</v>
      </c>
      <c r="M857" t="s">
        <v>54</v>
      </c>
      <c r="N8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7" t="s">
        <v>57</v>
      </c>
      <c r="Q857" t="s">
        <v>59</v>
      </c>
      <c r="R857" t="s">
        <v>59</v>
      </c>
      <c r="S857" t="s">
        <v>59</v>
      </c>
      <c r="T857" t="s">
        <v>59</v>
      </c>
      <c r="V857" t="s">
        <v>59</v>
      </c>
      <c r="W857" t="s">
        <v>80</v>
      </c>
    </row>
    <row r="858" spans="2:23" x14ac:dyDescent="0.2">
      <c r="B858">
        <f t="shared" ca="1" si="13"/>
        <v>0</v>
      </c>
      <c r="E858">
        <v>1</v>
      </c>
      <c r="F858" t="s">
        <v>32</v>
      </c>
      <c r="I858" t="s">
        <v>39</v>
      </c>
      <c r="J858" t="s">
        <v>44</v>
      </c>
      <c r="M858" t="s">
        <v>54</v>
      </c>
      <c r="N8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8" t="s">
        <v>57</v>
      </c>
      <c r="Q858" t="s">
        <v>59</v>
      </c>
      <c r="R858" t="s">
        <v>59</v>
      </c>
      <c r="S858" t="s">
        <v>59</v>
      </c>
      <c r="T858" t="s">
        <v>59</v>
      </c>
      <c r="V858" t="s">
        <v>59</v>
      </c>
      <c r="W858" t="s">
        <v>80</v>
      </c>
    </row>
    <row r="859" spans="2:23" x14ac:dyDescent="0.2">
      <c r="B859">
        <f t="shared" ca="1" si="13"/>
        <v>0</v>
      </c>
      <c r="E859">
        <v>1</v>
      </c>
      <c r="F859" t="s">
        <v>32</v>
      </c>
      <c r="I859" t="s">
        <v>39</v>
      </c>
      <c r="J859" t="s">
        <v>44</v>
      </c>
      <c r="M859" t="s">
        <v>54</v>
      </c>
      <c r="N8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59" t="s">
        <v>57</v>
      </c>
      <c r="Q859" t="s">
        <v>59</v>
      </c>
      <c r="R859" t="s">
        <v>59</v>
      </c>
      <c r="S859" t="s">
        <v>59</v>
      </c>
      <c r="T859" t="s">
        <v>59</v>
      </c>
      <c r="V859" t="s">
        <v>59</v>
      </c>
      <c r="W859" t="s">
        <v>80</v>
      </c>
    </row>
    <row r="860" spans="2:23" x14ac:dyDescent="0.2">
      <c r="B860">
        <f t="shared" ca="1" si="13"/>
        <v>0</v>
      </c>
      <c r="E860">
        <v>1</v>
      </c>
      <c r="F860" t="s">
        <v>32</v>
      </c>
      <c r="I860" t="s">
        <v>39</v>
      </c>
      <c r="J860" t="s">
        <v>44</v>
      </c>
      <c r="M860" t="s">
        <v>54</v>
      </c>
      <c r="N8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0" t="s">
        <v>57</v>
      </c>
      <c r="Q860" t="s">
        <v>59</v>
      </c>
      <c r="R860" t="s">
        <v>59</v>
      </c>
      <c r="S860" t="s">
        <v>59</v>
      </c>
      <c r="T860" t="s">
        <v>59</v>
      </c>
      <c r="V860" t="s">
        <v>59</v>
      </c>
      <c r="W860" t="s">
        <v>80</v>
      </c>
    </row>
    <row r="861" spans="2:23" x14ac:dyDescent="0.2">
      <c r="B861">
        <f t="shared" ca="1" si="13"/>
        <v>0</v>
      </c>
      <c r="E861">
        <v>1</v>
      </c>
      <c r="F861" t="s">
        <v>32</v>
      </c>
      <c r="I861" t="s">
        <v>39</v>
      </c>
      <c r="J861" t="s">
        <v>44</v>
      </c>
      <c r="M861" t="s">
        <v>54</v>
      </c>
      <c r="N8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1" t="s">
        <v>57</v>
      </c>
      <c r="Q861" t="s">
        <v>59</v>
      </c>
      <c r="R861" t="s">
        <v>59</v>
      </c>
      <c r="S861" t="s">
        <v>59</v>
      </c>
      <c r="T861" t="s">
        <v>59</v>
      </c>
      <c r="V861" t="s">
        <v>59</v>
      </c>
      <c r="W861" t="s">
        <v>80</v>
      </c>
    </row>
    <row r="862" spans="2:23" x14ac:dyDescent="0.2">
      <c r="B862">
        <f t="shared" ca="1" si="13"/>
        <v>0</v>
      </c>
      <c r="E862">
        <v>1</v>
      </c>
      <c r="F862" t="s">
        <v>32</v>
      </c>
      <c r="I862" t="s">
        <v>39</v>
      </c>
      <c r="J862" t="s">
        <v>44</v>
      </c>
      <c r="M862" t="s">
        <v>54</v>
      </c>
      <c r="N8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2" t="s">
        <v>57</v>
      </c>
      <c r="Q862" t="s">
        <v>59</v>
      </c>
      <c r="R862" t="s">
        <v>59</v>
      </c>
      <c r="S862" t="s">
        <v>59</v>
      </c>
      <c r="T862" t="s">
        <v>59</v>
      </c>
      <c r="V862" t="s">
        <v>59</v>
      </c>
      <c r="W862" t="s">
        <v>80</v>
      </c>
    </row>
    <row r="863" spans="2:23" x14ac:dyDescent="0.2">
      <c r="B863">
        <f t="shared" ca="1" si="13"/>
        <v>0</v>
      </c>
      <c r="E863">
        <v>1</v>
      </c>
      <c r="F863" t="s">
        <v>32</v>
      </c>
      <c r="I863" t="s">
        <v>39</v>
      </c>
      <c r="J863" t="s">
        <v>44</v>
      </c>
      <c r="M863" t="s">
        <v>54</v>
      </c>
      <c r="N8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3" t="s">
        <v>57</v>
      </c>
      <c r="Q863" t="s">
        <v>59</v>
      </c>
      <c r="R863" t="s">
        <v>59</v>
      </c>
      <c r="S863" t="s">
        <v>59</v>
      </c>
      <c r="T863" t="s">
        <v>59</v>
      </c>
      <c r="V863" t="s">
        <v>59</v>
      </c>
      <c r="W863" t="s">
        <v>80</v>
      </c>
    </row>
    <row r="864" spans="2:23" x14ac:dyDescent="0.2">
      <c r="B864">
        <f t="shared" ca="1" si="13"/>
        <v>0</v>
      </c>
      <c r="E864">
        <v>1</v>
      </c>
      <c r="F864" t="s">
        <v>32</v>
      </c>
      <c r="I864" t="s">
        <v>39</v>
      </c>
      <c r="J864" t="s">
        <v>44</v>
      </c>
      <c r="M864" t="s">
        <v>54</v>
      </c>
      <c r="N8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4" t="s">
        <v>57</v>
      </c>
      <c r="Q864" t="s">
        <v>59</v>
      </c>
      <c r="R864" t="s">
        <v>59</v>
      </c>
      <c r="S864" t="s">
        <v>59</v>
      </c>
      <c r="T864" t="s">
        <v>59</v>
      </c>
      <c r="V864" t="s">
        <v>59</v>
      </c>
      <c r="W864" t="s">
        <v>80</v>
      </c>
    </row>
    <row r="865" spans="2:23" x14ac:dyDescent="0.2">
      <c r="B865">
        <f t="shared" ca="1" si="13"/>
        <v>0</v>
      </c>
      <c r="E865">
        <v>1</v>
      </c>
      <c r="F865" t="s">
        <v>32</v>
      </c>
      <c r="I865" t="s">
        <v>39</v>
      </c>
      <c r="J865" t="s">
        <v>44</v>
      </c>
      <c r="M865" t="s">
        <v>54</v>
      </c>
      <c r="N8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5" t="s">
        <v>57</v>
      </c>
      <c r="Q865" t="s">
        <v>59</v>
      </c>
      <c r="R865" t="s">
        <v>59</v>
      </c>
      <c r="S865" t="s">
        <v>59</v>
      </c>
      <c r="T865" t="s">
        <v>59</v>
      </c>
      <c r="V865" t="s">
        <v>59</v>
      </c>
      <c r="W865" t="s">
        <v>80</v>
      </c>
    </row>
    <row r="866" spans="2:23" x14ac:dyDescent="0.2">
      <c r="B866">
        <f t="shared" ca="1" si="13"/>
        <v>0</v>
      </c>
      <c r="E866">
        <v>1</v>
      </c>
      <c r="F866" t="s">
        <v>32</v>
      </c>
      <c r="I866" t="s">
        <v>39</v>
      </c>
      <c r="J866" t="s">
        <v>44</v>
      </c>
      <c r="M866" t="s">
        <v>54</v>
      </c>
      <c r="N8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6" t="s">
        <v>57</v>
      </c>
      <c r="Q866" t="s">
        <v>59</v>
      </c>
      <c r="R866" t="s">
        <v>59</v>
      </c>
      <c r="S866" t="s">
        <v>59</v>
      </c>
      <c r="T866" t="s">
        <v>59</v>
      </c>
      <c r="V866" t="s">
        <v>59</v>
      </c>
      <c r="W866" t="s">
        <v>80</v>
      </c>
    </row>
    <row r="867" spans="2:23" x14ac:dyDescent="0.2">
      <c r="B867">
        <f t="shared" ca="1" si="13"/>
        <v>0</v>
      </c>
      <c r="E867">
        <v>1</v>
      </c>
      <c r="F867" t="s">
        <v>32</v>
      </c>
      <c r="I867" t="s">
        <v>39</v>
      </c>
      <c r="J867" t="s">
        <v>44</v>
      </c>
      <c r="M867" t="s">
        <v>54</v>
      </c>
      <c r="N8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7" t="s">
        <v>57</v>
      </c>
      <c r="Q867" t="s">
        <v>59</v>
      </c>
      <c r="R867" t="s">
        <v>59</v>
      </c>
      <c r="S867" t="s">
        <v>59</v>
      </c>
      <c r="T867" t="s">
        <v>59</v>
      </c>
      <c r="V867" t="s">
        <v>59</v>
      </c>
      <c r="W867" t="s">
        <v>80</v>
      </c>
    </row>
    <row r="868" spans="2:23" x14ac:dyDescent="0.2">
      <c r="B868">
        <f t="shared" ca="1" si="13"/>
        <v>0</v>
      </c>
      <c r="E868">
        <v>1</v>
      </c>
      <c r="F868" t="s">
        <v>32</v>
      </c>
      <c r="I868" t="s">
        <v>39</v>
      </c>
      <c r="J868" t="s">
        <v>44</v>
      </c>
      <c r="M868" t="s">
        <v>54</v>
      </c>
      <c r="N8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8" t="s">
        <v>57</v>
      </c>
      <c r="Q868" t="s">
        <v>59</v>
      </c>
      <c r="R868" t="s">
        <v>59</v>
      </c>
      <c r="S868" t="s">
        <v>59</v>
      </c>
      <c r="T868" t="s">
        <v>59</v>
      </c>
      <c r="V868" t="s">
        <v>59</v>
      </c>
      <c r="W868" t="s">
        <v>80</v>
      </c>
    </row>
    <row r="869" spans="2:23" x14ac:dyDescent="0.2">
      <c r="B869">
        <f t="shared" ca="1" si="13"/>
        <v>0</v>
      </c>
      <c r="E869">
        <v>1</v>
      </c>
      <c r="F869" t="s">
        <v>32</v>
      </c>
      <c r="I869" t="s">
        <v>39</v>
      </c>
      <c r="J869" t="s">
        <v>44</v>
      </c>
      <c r="M869" t="s">
        <v>54</v>
      </c>
      <c r="N8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69" t="s">
        <v>57</v>
      </c>
      <c r="Q869" t="s">
        <v>59</v>
      </c>
      <c r="R869" t="s">
        <v>59</v>
      </c>
      <c r="S869" t="s">
        <v>59</v>
      </c>
      <c r="T869" t="s">
        <v>59</v>
      </c>
      <c r="V869" t="s">
        <v>59</v>
      </c>
      <c r="W869" t="s">
        <v>80</v>
      </c>
    </row>
    <row r="870" spans="2:23" x14ac:dyDescent="0.2">
      <c r="B870">
        <f t="shared" ca="1" si="13"/>
        <v>0</v>
      </c>
      <c r="E870">
        <v>1</v>
      </c>
      <c r="F870" t="s">
        <v>32</v>
      </c>
      <c r="I870" t="s">
        <v>39</v>
      </c>
      <c r="J870" t="s">
        <v>44</v>
      </c>
      <c r="M870" t="s">
        <v>54</v>
      </c>
      <c r="N8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0" t="s">
        <v>57</v>
      </c>
      <c r="Q870" t="s">
        <v>59</v>
      </c>
      <c r="R870" t="s">
        <v>59</v>
      </c>
      <c r="S870" t="s">
        <v>59</v>
      </c>
      <c r="T870" t="s">
        <v>59</v>
      </c>
      <c r="V870" t="s">
        <v>59</v>
      </c>
      <c r="W870" t="s">
        <v>80</v>
      </c>
    </row>
    <row r="871" spans="2:23" x14ac:dyDescent="0.2">
      <c r="B871">
        <f t="shared" ca="1" si="13"/>
        <v>0</v>
      </c>
      <c r="E871">
        <v>1</v>
      </c>
      <c r="F871" t="s">
        <v>32</v>
      </c>
      <c r="I871" t="s">
        <v>39</v>
      </c>
      <c r="J871" t="s">
        <v>44</v>
      </c>
      <c r="M871" t="s">
        <v>54</v>
      </c>
      <c r="N8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1" t="s">
        <v>57</v>
      </c>
      <c r="Q871" t="s">
        <v>59</v>
      </c>
      <c r="R871" t="s">
        <v>59</v>
      </c>
      <c r="S871" t="s">
        <v>59</v>
      </c>
      <c r="T871" t="s">
        <v>59</v>
      </c>
      <c r="V871" t="s">
        <v>59</v>
      </c>
      <c r="W871" t="s">
        <v>80</v>
      </c>
    </row>
    <row r="872" spans="2:23" x14ac:dyDescent="0.2">
      <c r="B872">
        <f t="shared" ca="1" si="13"/>
        <v>0</v>
      </c>
      <c r="E872">
        <v>1</v>
      </c>
      <c r="F872" t="s">
        <v>32</v>
      </c>
      <c r="I872" t="s">
        <v>39</v>
      </c>
      <c r="J872" t="s">
        <v>44</v>
      </c>
      <c r="M872" t="s">
        <v>54</v>
      </c>
      <c r="N8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2" t="s">
        <v>57</v>
      </c>
      <c r="Q872" t="s">
        <v>59</v>
      </c>
      <c r="R872" t="s">
        <v>59</v>
      </c>
      <c r="S872" t="s">
        <v>59</v>
      </c>
      <c r="T872" t="s">
        <v>59</v>
      </c>
      <c r="V872" t="s">
        <v>59</v>
      </c>
      <c r="W872" t="s">
        <v>80</v>
      </c>
    </row>
    <row r="873" spans="2:23" x14ac:dyDescent="0.2">
      <c r="B873">
        <f t="shared" ca="1" si="13"/>
        <v>0</v>
      </c>
      <c r="E873">
        <v>1</v>
      </c>
      <c r="F873" t="s">
        <v>32</v>
      </c>
      <c r="I873" t="s">
        <v>39</v>
      </c>
      <c r="J873" t="s">
        <v>44</v>
      </c>
      <c r="M873" t="s">
        <v>54</v>
      </c>
      <c r="N8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3" t="s">
        <v>57</v>
      </c>
      <c r="Q873" t="s">
        <v>59</v>
      </c>
      <c r="R873" t="s">
        <v>59</v>
      </c>
      <c r="S873" t="s">
        <v>59</v>
      </c>
      <c r="T873" t="s">
        <v>59</v>
      </c>
      <c r="V873" t="s">
        <v>59</v>
      </c>
      <c r="W873" t="s">
        <v>80</v>
      </c>
    </row>
    <row r="874" spans="2:23" x14ac:dyDescent="0.2">
      <c r="B874">
        <f t="shared" ca="1" si="13"/>
        <v>0</v>
      </c>
      <c r="E874">
        <v>1</v>
      </c>
      <c r="F874" t="s">
        <v>32</v>
      </c>
      <c r="I874" t="s">
        <v>39</v>
      </c>
      <c r="J874" t="s">
        <v>44</v>
      </c>
      <c r="M874" t="s">
        <v>54</v>
      </c>
      <c r="N8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4" t="s">
        <v>57</v>
      </c>
      <c r="Q874" t="s">
        <v>59</v>
      </c>
      <c r="R874" t="s">
        <v>59</v>
      </c>
      <c r="S874" t="s">
        <v>59</v>
      </c>
      <c r="T874" t="s">
        <v>59</v>
      </c>
      <c r="V874" t="s">
        <v>59</v>
      </c>
      <c r="W874" t="s">
        <v>80</v>
      </c>
    </row>
    <row r="875" spans="2:23" x14ac:dyDescent="0.2">
      <c r="B875">
        <f t="shared" ca="1" si="13"/>
        <v>0</v>
      </c>
      <c r="E875">
        <v>1</v>
      </c>
      <c r="F875" t="s">
        <v>32</v>
      </c>
      <c r="I875" t="s">
        <v>39</v>
      </c>
      <c r="J875" t="s">
        <v>44</v>
      </c>
      <c r="M875" t="s">
        <v>54</v>
      </c>
      <c r="N8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5" t="s">
        <v>57</v>
      </c>
      <c r="Q875" t="s">
        <v>59</v>
      </c>
      <c r="R875" t="s">
        <v>59</v>
      </c>
      <c r="S875" t="s">
        <v>59</v>
      </c>
      <c r="T875" t="s">
        <v>59</v>
      </c>
      <c r="V875" t="s">
        <v>59</v>
      </c>
      <c r="W875" t="s">
        <v>80</v>
      </c>
    </row>
    <row r="876" spans="2:23" x14ac:dyDescent="0.2">
      <c r="B876">
        <f t="shared" ca="1" si="13"/>
        <v>0</v>
      </c>
      <c r="E876">
        <v>1</v>
      </c>
      <c r="F876" t="s">
        <v>32</v>
      </c>
      <c r="I876" t="s">
        <v>39</v>
      </c>
      <c r="J876" t="s">
        <v>44</v>
      </c>
      <c r="M876" t="s">
        <v>54</v>
      </c>
      <c r="N8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6" t="s">
        <v>57</v>
      </c>
      <c r="Q876" t="s">
        <v>59</v>
      </c>
      <c r="R876" t="s">
        <v>59</v>
      </c>
      <c r="S876" t="s">
        <v>59</v>
      </c>
      <c r="T876" t="s">
        <v>59</v>
      </c>
      <c r="V876" t="s">
        <v>59</v>
      </c>
      <c r="W876" t="s">
        <v>80</v>
      </c>
    </row>
    <row r="877" spans="2:23" x14ac:dyDescent="0.2">
      <c r="B877">
        <f t="shared" ca="1" si="13"/>
        <v>0</v>
      </c>
      <c r="E877">
        <v>1</v>
      </c>
      <c r="F877" t="s">
        <v>32</v>
      </c>
      <c r="I877" t="s">
        <v>39</v>
      </c>
      <c r="J877" t="s">
        <v>44</v>
      </c>
      <c r="M877" t="s">
        <v>54</v>
      </c>
      <c r="N8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7" t="s">
        <v>57</v>
      </c>
      <c r="Q877" t="s">
        <v>59</v>
      </c>
      <c r="R877" t="s">
        <v>59</v>
      </c>
      <c r="S877" t="s">
        <v>59</v>
      </c>
      <c r="T877" t="s">
        <v>59</v>
      </c>
      <c r="V877" t="s">
        <v>59</v>
      </c>
      <c r="W877" t="s">
        <v>80</v>
      </c>
    </row>
    <row r="878" spans="2:23" x14ac:dyDescent="0.2">
      <c r="B878">
        <f t="shared" ca="1" si="13"/>
        <v>0</v>
      </c>
      <c r="E878">
        <v>1</v>
      </c>
      <c r="F878" t="s">
        <v>32</v>
      </c>
      <c r="I878" t="s">
        <v>39</v>
      </c>
      <c r="J878" t="s">
        <v>44</v>
      </c>
      <c r="M878" t="s">
        <v>54</v>
      </c>
      <c r="N8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8" t="s">
        <v>57</v>
      </c>
      <c r="Q878" t="s">
        <v>59</v>
      </c>
      <c r="R878" t="s">
        <v>59</v>
      </c>
      <c r="S878" t="s">
        <v>59</v>
      </c>
      <c r="T878" t="s">
        <v>59</v>
      </c>
      <c r="V878" t="s">
        <v>59</v>
      </c>
      <c r="W878" t="s">
        <v>80</v>
      </c>
    </row>
    <row r="879" spans="2:23" x14ac:dyDescent="0.2">
      <c r="B879">
        <f t="shared" ca="1" si="13"/>
        <v>0</v>
      </c>
      <c r="E879">
        <v>1</v>
      </c>
      <c r="F879" t="s">
        <v>32</v>
      </c>
      <c r="I879" t="s">
        <v>39</v>
      </c>
      <c r="J879" t="s">
        <v>44</v>
      </c>
      <c r="M879" t="s">
        <v>54</v>
      </c>
      <c r="N8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79" t="s">
        <v>57</v>
      </c>
      <c r="Q879" t="s">
        <v>59</v>
      </c>
      <c r="R879" t="s">
        <v>59</v>
      </c>
      <c r="S879" t="s">
        <v>59</v>
      </c>
      <c r="T879" t="s">
        <v>59</v>
      </c>
      <c r="V879" t="s">
        <v>59</v>
      </c>
      <c r="W879" t="s">
        <v>80</v>
      </c>
    </row>
    <row r="880" spans="2:23" x14ac:dyDescent="0.2">
      <c r="B880">
        <f t="shared" ca="1" si="13"/>
        <v>0</v>
      </c>
      <c r="E880">
        <v>1</v>
      </c>
      <c r="F880" t="s">
        <v>32</v>
      </c>
      <c r="I880" t="s">
        <v>39</v>
      </c>
      <c r="J880" t="s">
        <v>44</v>
      </c>
      <c r="M880" t="s">
        <v>54</v>
      </c>
      <c r="N8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0" t="s">
        <v>57</v>
      </c>
      <c r="Q880" t="s">
        <v>59</v>
      </c>
      <c r="R880" t="s">
        <v>59</v>
      </c>
      <c r="S880" t="s">
        <v>59</v>
      </c>
      <c r="T880" t="s">
        <v>59</v>
      </c>
      <c r="V880" t="s">
        <v>59</v>
      </c>
      <c r="W880" t="s">
        <v>80</v>
      </c>
    </row>
    <row r="881" spans="2:23" x14ac:dyDescent="0.2">
      <c r="B881">
        <f t="shared" ca="1" si="13"/>
        <v>0</v>
      </c>
      <c r="E881">
        <v>1</v>
      </c>
      <c r="F881" t="s">
        <v>32</v>
      </c>
      <c r="I881" t="s">
        <v>39</v>
      </c>
      <c r="J881" t="s">
        <v>44</v>
      </c>
      <c r="M881" t="s">
        <v>54</v>
      </c>
      <c r="N8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1" t="s">
        <v>57</v>
      </c>
      <c r="Q881" t="s">
        <v>59</v>
      </c>
      <c r="R881" t="s">
        <v>59</v>
      </c>
      <c r="S881" t="s">
        <v>59</v>
      </c>
      <c r="T881" t="s">
        <v>59</v>
      </c>
      <c r="V881" t="s">
        <v>59</v>
      </c>
      <c r="W881" t="s">
        <v>80</v>
      </c>
    </row>
    <row r="882" spans="2:23" x14ac:dyDescent="0.2">
      <c r="B882">
        <f t="shared" ca="1" si="13"/>
        <v>0</v>
      </c>
      <c r="E882">
        <v>1</v>
      </c>
      <c r="F882" t="s">
        <v>32</v>
      </c>
      <c r="I882" t="s">
        <v>39</v>
      </c>
      <c r="J882" t="s">
        <v>44</v>
      </c>
      <c r="M882" t="s">
        <v>54</v>
      </c>
      <c r="N8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2" t="s">
        <v>57</v>
      </c>
      <c r="Q882" t="s">
        <v>59</v>
      </c>
      <c r="R882" t="s">
        <v>59</v>
      </c>
      <c r="S882" t="s">
        <v>59</v>
      </c>
      <c r="T882" t="s">
        <v>59</v>
      </c>
      <c r="V882" t="s">
        <v>59</v>
      </c>
      <c r="W882" t="s">
        <v>80</v>
      </c>
    </row>
    <row r="883" spans="2:23" x14ac:dyDescent="0.2">
      <c r="B883">
        <f t="shared" ca="1" si="13"/>
        <v>0</v>
      </c>
      <c r="E883">
        <v>1</v>
      </c>
      <c r="F883" t="s">
        <v>32</v>
      </c>
      <c r="I883" t="s">
        <v>39</v>
      </c>
      <c r="J883" t="s">
        <v>44</v>
      </c>
      <c r="M883" t="s">
        <v>54</v>
      </c>
      <c r="N8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3" t="s">
        <v>57</v>
      </c>
      <c r="Q883" t="s">
        <v>59</v>
      </c>
      <c r="R883" t="s">
        <v>59</v>
      </c>
      <c r="S883" t="s">
        <v>59</v>
      </c>
      <c r="T883" t="s">
        <v>59</v>
      </c>
      <c r="V883" t="s">
        <v>59</v>
      </c>
      <c r="W883" t="s">
        <v>80</v>
      </c>
    </row>
    <row r="884" spans="2:23" x14ac:dyDescent="0.2">
      <c r="B884">
        <f t="shared" ca="1" si="13"/>
        <v>0</v>
      </c>
      <c r="E884">
        <v>1</v>
      </c>
      <c r="F884" t="s">
        <v>32</v>
      </c>
      <c r="I884" t="s">
        <v>39</v>
      </c>
      <c r="J884" t="s">
        <v>44</v>
      </c>
      <c r="M884" t="s">
        <v>54</v>
      </c>
      <c r="N8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4" t="s">
        <v>57</v>
      </c>
      <c r="Q884" t="s">
        <v>59</v>
      </c>
      <c r="R884" t="s">
        <v>59</v>
      </c>
      <c r="S884" t="s">
        <v>59</v>
      </c>
      <c r="T884" t="s">
        <v>59</v>
      </c>
      <c r="V884" t="s">
        <v>59</v>
      </c>
      <c r="W884" t="s">
        <v>80</v>
      </c>
    </row>
    <row r="885" spans="2:23" x14ac:dyDescent="0.2">
      <c r="B885">
        <f t="shared" ca="1" si="13"/>
        <v>0</v>
      </c>
      <c r="E885">
        <v>1</v>
      </c>
      <c r="F885" t="s">
        <v>32</v>
      </c>
      <c r="I885" t="s">
        <v>39</v>
      </c>
      <c r="J885" t="s">
        <v>44</v>
      </c>
      <c r="M885" t="s">
        <v>54</v>
      </c>
      <c r="N8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5" t="s">
        <v>57</v>
      </c>
      <c r="Q885" t="s">
        <v>59</v>
      </c>
      <c r="R885" t="s">
        <v>59</v>
      </c>
      <c r="S885" t="s">
        <v>59</v>
      </c>
      <c r="T885" t="s">
        <v>59</v>
      </c>
      <c r="V885" t="s">
        <v>59</v>
      </c>
      <c r="W885" t="s">
        <v>80</v>
      </c>
    </row>
    <row r="886" spans="2:23" x14ac:dyDescent="0.2">
      <c r="B886">
        <f t="shared" ca="1" si="13"/>
        <v>0</v>
      </c>
      <c r="E886">
        <v>1</v>
      </c>
      <c r="F886" t="s">
        <v>32</v>
      </c>
      <c r="I886" t="s">
        <v>39</v>
      </c>
      <c r="J886" t="s">
        <v>44</v>
      </c>
      <c r="M886" t="s">
        <v>54</v>
      </c>
      <c r="N8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6" t="s">
        <v>57</v>
      </c>
      <c r="Q886" t="s">
        <v>59</v>
      </c>
      <c r="R886" t="s">
        <v>59</v>
      </c>
      <c r="S886" t="s">
        <v>59</v>
      </c>
      <c r="T886" t="s">
        <v>59</v>
      </c>
      <c r="V886" t="s">
        <v>59</v>
      </c>
      <c r="W886" t="s">
        <v>80</v>
      </c>
    </row>
    <row r="887" spans="2:23" x14ac:dyDescent="0.2">
      <c r="B887">
        <f t="shared" ca="1" si="13"/>
        <v>0</v>
      </c>
      <c r="E887">
        <v>1</v>
      </c>
      <c r="F887" t="s">
        <v>32</v>
      </c>
      <c r="I887" t="s">
        <v>39</v>
      </c>
      <c r="J887" t="s">
        <v>44</v>
      </c>
      <c r="M887" t="s">
        <v>54</v>
      </c>
      <c r="N8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7" t="s">
        <v>57</v>
      </c>
      <c r="Q887" t="s">
        <v>59</v>
      </c>
      <c r="R887" t="s">
        <v>59</v>
      </c>
      <c r="S887" t="s">
        <v>59</v>
      </c>
      <c r="T887" t="s">
        <v>59</v>
      </c>
      <c r="V887" t="s">
        <v>59</v>
      </c>
      <c r="W887" t="s">
        <v>80</v>
      </c>
    </row>
    <row r="888" spans="2:23" x14ac:dyDescent="0.2">
      <c r="B888">
        <f t="shared" ca="1" si="13"/>
        <v>0</v>
      </c>
      <c r="E888">
        <v>1</v>
      </c>
      <c r="F888" t="s">
        <v>32</v>
      </c>
      <c r="I888" t="s">
        <v>39</v>
      </c>
      <c r="J888" t="s">
        <v>44</v>
      </c>
      <c r="M888" t="s">
        <v>54</v>
      </c>
      <c r="N8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8" t="s">
        <v>57</v>
      </c>
      <c r="Q888" t="s">
        <v>59</v>
      </c>
      <c r="R888" t="s">
        <v>59</v>
      </c>
      <c r="S888" t="s">
        <v>59</v>
      </c>
      <c r="T888" t="s">
        <v>59</v>
      </c>
      <c r="V888" t="s">
        <v>59</v>
      </c>
      <c r="W888" t="s">
        <v>80</v>
      </c>
    </row>
    <row r="889" spans="2:23" x14ac:dyDescent="0.2">
      <c r="B889">
        <f t="shared" ca="1" si="13"/>
        <v>0</v>
      </c>
      <c r="E889">
        <v>1</v>
      </c>
      <c r="F889" t="s">
        <v>32</v>
      </c>
      <c r="I889" t="s">
        <v>39</v>
      </c>
      <c r="J889" t="s">
        <v>44</v>
      </c>
      <c r="M889" t="s">
        <v>54</v>
      </c>
      <c r="N8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89" t="s">
        <v>57</v>
      </c>
      <c r="Q889" t="s">
        <v>59</v>
      </c>
      <c r="R889" t="s">
        <v>59</v>
      </c>
      <c r="S889" t="s">
        <v>59</v>
      </c>
      <c r="T889" t="s">
        <v>59</v>
      </c>
      <c r="V889" t="s">
        <v>59</v>
      </c>
      <c r="W889" t="s">
        <v>80</v>
      </c>
    </row>
    <row r="890" spans="2:23" x14ac:dyDescent="0.2">
      <c r="B890">
        <f t="shared" ca="1" si="13"/>
        <v>0</v>
      </c>
      <c r="E890">
        <v>1</v>
      </c>
      <c r="F890" t="s">
        <v>32</v>
      </c>
      <c r="I890" t="s">
        <v>39</v>
      </c>
      <c r="J890" t="s">
        <v>44</v>
      </c>
      <c r="M890" t="s">
        <v>54</v>
      </c>
      <c r="N8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0" t="s">
        <v>57</v>
      </c>
      <c r="Q890" t="s">
        <v>59</v>
      </c>
      <c r="R890" t="s">
        <v>59</v>
      </c>
      <c r="S890" t="s">
        <v>59</v>
      </c>
      <c r="T890" t="s">
        <v>59</v>
      </c>
      <c r="V890" t="s">
        <v>59</v>
      </c>
      <c r="W890" t="s">
        <v>80</v>
      </c>
    </row>
    <row r="891" spans="2:23" x14ac:dyDescent="0.2">
      <c r="B891">
        <f t="shared" ca="1" si="13"/>
        <v>0</v>
      </c>
      <c r="E891">
        <v>1</v>
      </c>
      <c r="F891" t="s">
        <v>32</v>
      </c>
      <c r="I891" t="s">
        <v>39</v>
      </c>
      <c r="J891" t="s">
        <v>44</v>
      </c>
      <c r="M891" t="s">
        <v>54</v>
      </c>
      <c r="N8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1" t="s">
        <v>57</v>
      </c>
      <c r="Q891" t="s">
        <v>59</v>
      </c>
      <c r="R891" t="s">
        <v>59</v>
      </c>
      <c r="S891" t="s">
        <v>59</v>
      </c>
      <c r="T891" t="s">
        <v>59</v>
      </c>
      <c r="V891" t="s">
        <v>59</v>
      </c>
      <c r="W891" t="s">
        <v>80</v>
      </c>
    </row>
    <row r="892" spans="2:23" x14ac:dyDescent="0.2">
      <c r="B892">
        <f t="shared" ca="1" si="13"/>
        <v>0</v>
      </c>
      <c r="E892">
        <v>1</v>
      </c>
      <c r="F892" t="s">
        <v>32</v>
      </c>
      <c r="I892" t="s">
        <v>39</v>
      </c>
      <c r="J892" t="s">
        <v>44</v>
      </c>
      <c r="M892" t="s">
        <v>54</v>
      </c>
      <c r="N8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2" t="s">
        <v>57</v>
      </c>
      <c r="Q892" t="s">
        <v>59</v>
      </c>
      <c r="R892" t="s">
        <v>59</v>
      </c>
      <c r="S892" t="s">
        <v>59</v>
      </c>
      <c r="T892" t="s">
        <v>59</v>
      </c>
      <c r="V892" t="s">
        <v>59</v>
      </c>
      <c r="W892" t="s">
        <v>80</v>
      </c>
    </row>
    <row r="893" spans="2:23" x14ac:dyDescent="0.2">
      <c r="B893">
        <f t="shared" ca="1" si="13"/>
        <v>0</v>
      </c>
      <c r="E893">
        <v>1</v>
      </c>
      <c r="F893" t="s">
        <v>32</v>
      </c>
      <c r="I893" t="s">
        <v>39</v>
      </c>
      <c r="J893" t="s">
        <v>44</v>
      </c>
      <c r="M893" t="s">
        <v>54</v>
      </c>
      <c r="N8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3" t="s">
        <v>57</v>
      </c>
      <c r="Q893" t="s">
        <v>59</v>
      </c>
      <c r="R893" t="s">
        <v>59</v>
      </c>
      <c r="S893" t="s">
        <v>59</v>
      </c>
      <c r="T893" t="s">
        <v>59</v>
      </c>
      <c r="V893" t="s">
        <v>59</v>
      </c>
      <c r="W893" t="s">
        <v>80</v>
      </c>
    </row>
    <row r="894" spans="2:23" x14ac:dyDescent="0.2">
      <c r="B894">
        <f t="shared" ca="1" si="13"/>
        <v>0</v>
      </c>
      <c r="E894">
        <v>1</v>
      </c>
      <c r="F894" t="s">
        <v>32</v>
      </c>
      <c r="I894" t="s">
        <v>39</v>
      </c>
      <c r="J894" t="s">
        <v>44</v>
      </c>
      <c r="M894" t="s">
        <v>54</v>
      </c>
      <c r="N8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4" t="s">
        <v>57</v>
      </c>
      <c r="Q894" t="s">
        <v>59</v>
      </c>
      <c r="R894" t="s">
        <v>59</v>
      </c>
      <c r="S894" t="s">
        <v>59</v>
      </c>
      <c r="T894" t="s">
        <v>59</v>
      </c>
      <c r="V894" t="s">
        <v>59</v>
      </c>
      <c r="W894" t="s">
        <v>80</v>
      </c>
    </row>
    <row r="895" spans="2:23" x14ac:dyDescent="0.2">
      <c r="B895">
        <f t="shared" ca="1" si="13"/>
        <v>0</v>
      </c>
      <c r="E895">
        <v>1</v>
      </c>
      <c r="F895" t="s">
        <v>32</v>
      </c>
      <c r="I895" t="s">
        <v>39</v>
      </c>
      <c r="J895" t="s">
        <v>44</v>
      </c>
      <c r="M895" t="s">
        <v>54</v>
      </c>
      <c r="N8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5" t="s">
        <v>57</v>
      </c>
      <c r="Q895" t="s">
        <v>59</v>
      </c>
      <c r="R895" t="s">
        <v>59</v>
      </c>
      <c r="S895" t="s">
        <v>59</v>
      </c>
      <c r="T895" t="s">
        <v>59</v>
      </c>
      <c r="V895" t="s">
        <v>59</v>
      </c>
      <c r="W895" t="s">
        <v>80</v>
      </c>
    </row>
    <row r="896" spans="2:23" x14ac:dyDescent="0.2">
      <c r="B896">
        <f t="shared" ca="1" si="13"/>
        <v>0</v>
      </c>
      <c r="E896">
        <v>1</v>
      </c>
      <c r="F896" t="s">
        <v>32</v>
      </c>
      <c r="I896" t="s">
        <v>39</v>
      </c>
      <c r="J896" t="s">
        <v>44</v>
      </c>
      <c r="M896" t="s">
        <v>54</v>
      </c>
      <c r="N8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6" t="s">
        <v>57</v>
      </c>
      <c r="Q896" t="s">
        <v>59</v>
      </c>
      <c r="R896" t="s">
        <v>59</v>
      </c>
      <c r="S896" t="s">
        <v>59</v>
      </c>
      <c r="T896" t="s">
        <v>59</v>
      </c>
      <c r="V896" t="s">
        <v>59</v>
      </c>
      <c r="W896" t="s">
        <v>80</v>
      </c>
    </row>
    <row r="897" spans="2:23" x14ac:dyDescent="0.2">
      <c r="B897">
        <f t="shared" ca="1" si="13"/>
        <v>0</v>
      </c>
      <c r="E897">
        <v>1</v>
      </c>
      <c r="F897" t="s">
        <v>32</v>
      </c>
      <c r="I897" t="s">
        <v>39</v>
      </c>
      <c r="J897" t="s">
        <v>44</v>
      </c>
      <c r="M897" t="s">
        <v>54</v>
      </c>
      <c r="N8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7" t="s">
        <v>57</v>
      </c>
      <c r="Q897" t="s">
        <v>59</v>
      </c>
      <c r="R897" t="s">
        <v>59</v>
      </c>
      <c r="S897" t="s">
        <v>59</v>
      </c>
      <c r="T897" t="s">
        <v>59</v>
      </c>
      <c r="V897" t="s">
        <v>59</v>
      </c>
      <c r="W897" t="s">
        <v>80</v>
      </c>
    </row>
    <row r="898" spans="2:23" x14ac:dyDescent="0.2">
      <c r="B898">
        <f t="shared" ca="1" si="13"/>
        <v>0</v>
      </c>
      <c r="E898">
        <v>1</v>
      </c>
      <c r="F898" t="s">
        <v>32</v>
      </c>
      <c r="I898" t="s">
        <v>39</v>
      </c>
      <c r="J898" t="s">
        <v>44</v>
      </c>
      <c r="M898" t="s">
        <v>54</v>
      </c>
      <c r="N8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8" t="s">
        <v>57</v>
      </c>
      <c r="Q898" t="s">
        <v>59</v>
      </c>
      <c r="R898" t="s">
        <v>59</v>
      </c>
      <c r="S898" t="s">
        <v>59</v>
      </c>
      <c r="T898" t="s">
        <v>59</v>
      </c>
      <c r="V898" t="s">
        <v>59</v>
      </c>
      <c r="W898" t="s">
        <v>80</v>
      </c>
    </row>
    <row r="899" spans="2:23" x14ac:dyDescent="0.2">
      <c r="B899">
        <f t="shared" ca="1" si="13"/>
        <v>0</v>
      </c>
      <c r="E899">
        <v>1</v>
      </c>
      <c r="F899" t="s">
        <v>32</v>
      </c>
      <c r="I899" t="s">
        <v>39</v>
      </c>
      <c r="J899" t="s">
        <v>44</v>
      </c>
      <c r="M899" t="s">
        <v>54</v>
      </c>
      <c r="N8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8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899" t="s">
        <v>57</v>
      </c>
      <c r="Q899" t="s">
        <v>59</v>
      </c>
      <c r="R899" t="s">
        <v>59</v>
      </c>
      <c r="S899" t="s">
        <v>59</v>
      </c>
      <c r="T899" t="s">
        <v>59</v>
      </c>
      <c r="V899" t="s">
        <v>59</v>
      </c>
      <c r="W899" t="s">
        <v>80</v>
      </c>
    </row>
    <row r="900" spans="2:23" x14ac:dyDescent="0.2">
      <c r="B900">
        <f t="shared" ca="1" si="13"/>
        <v>0</v>
      </c>
      <c r="E900">
        <v>1</v>
      </c>
      <c r="F900" t="s">
        <v>32</v>
      </c>
      <c r="I900" t="s">
        <v>39</v>
      </c>
      <c r="J900" t="s">
        <v>44</v>
      </c>
      <c r="M900" t="s">
        <v>54</v>
      </c>
      <c r="N9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0" t="s">
        <v>57</v>
      </c>
      <c r="Q900" t="s">
        <v>59</v>
      </c>
      <c r="R900" t="s">
        <v>59</v>
      </c>
      <c r="S900" t="s">
        <v>59</v>
      </c>
      <c r="T900" t="s">
        <v>59</v>
      </c>
      <c r="V900" t="s">
        <v>59</v>
      </c>
      <c r="W900" t="s">
        <v>80</v>
      </c>
    </row>
    <row r="901" spans="2:23" x14ac:dyDescent="0.2">
      <c r="B901">
        <f t="shared" ca="1" si="13"/>
        <v>0</v>
      </c>
      <c r="E901">
        <v>1</v>
      </c>
      <c r="F901" t="s">
        <v>32</v>
      </c>
      <c r="I901" t="s">
        <v>39</v>
      </c>
      <c r="J901" t="s">
        <v>44</v>
      </c>
      <c r="M901" t="s">
        <v>54</v>
      </c>
      <c r="N9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1" t="s">
        <v>57</v>
      </c>
      <c r="Q901" t="s">
        <v>59</v>
      </c>
      <c r="R901" t="s">
        <v>59</v>
      </c>
      <c r="S901" t="s">
        <v>59</v>
      </c>
      <c r="T901" t="s">
        <v>59</v>
      </c>
      <c r="V901" t="s">
        <v>59</v>
      </c>
      <c r="W901" t="s">
        <v>80</v>
      </c>
    </row>
    <row r="902" spans="2:23" x14ac:dyDescent="0.2">
      <c r="B902">
        <f t="shared" ca="1" si="13"/>
        <v>0</v>
      </c>
      <c r="E902">
        <v>1</v>
      </c>
      <c r="F902" t="s">
        <v>32</v>
      </c>
      <c r="I902" t="s">
        <v>39</v>
      </c>
      <c r="J902" t="s">
        <v>44</v>
      </c>
      <c r="M902" t="s">
        <v>54</v>
      </c>
      <c r="N90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2" t="s">
        <v>57</v>
      </c>
      <c r="Q902" t="s">
        <v>59</v>
      </c>
      <c r="R902" t="s">
        <v>59</v>
      </c>
      <c r="S902" t="s">
        <v>59</v>
      </c>
      <c r="T902" t="s">
        <v>59</v>
      </c>
      <c r="V902" t="s">
        <v>59</v>
      </c>
      <c r="W902" t="s">
        <v>80</v>
      </c>
    </row>
    <row r="903" spans="2:23" x14ac:dyDescent="0.2">
      <c r="B903">
        <f t="shared" ref="B903:B966" ca="1" si="14">LEN(INDIRECT(ADDRESS(ROW() + (0),COLUMN() + (-1))))</f>
        <v>0</v>
      </c>
      <c r="E903">
        <v>1</v>
      </c>
      <c r="F903" t="s">
        <v>32</v>
      </c>
      <c r="I903" t="s">
        <v>39</v>
      </c>
      <c r="J903" t="s">
        <v>44</v>
      </c>
      <c r="M903" t="s">
        <v>54</v>
      </c>
      <c r="N90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3" t="s">
        <v>57</v>
      </c>
      <c r="Q903" t="s">
        <v>59</v>
      </c>
      <c r="R903" t="s">
        <v>59</v>
      </c>
      <c r="S903" t="s">
        <v>59</v>
      </c>
      <c r="T903" t="s">
        <v>59</v>
      </c>
      <c r="V903" t="s">
        <v>59</v>
      </c>
      <c r="W903" t="s">
        <v>80</v>
      </c>
    </row>
    <row r="904" spans="2:23" x14ac:dyDescent="0.2">
      <c r="B904">
        <f t="shared" ca="1" si="14"/>
        <v>0</v>
      </c>
      <c r="E904">
        <v>1</v>
      </c>
      <c r="F904" t="s">
        <v>32</v>
      </c>
      <c r="I904" t="s">
        <v>39</v>
      </c>
      <c r="J904" t="s">
        <v>44</v>
      </c>
      <c r="M904" t="s">
        <v>54</v>
      </c>
      <c r="N90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4" t="s">
        <v>57</v>
      </c>
      <c r="Q904" t="s">
        <v>59</v>
      </c>
      <c r="R904" t="s">
        <v>59</v>
      </c>
      <c r="S904" t="s">
        <v>59</v>
      </c>
      <c r="T904" t="s">
        <v>59</v>
      </c>
      <c r="V904" t="s">
        <v>59</v>
      </c>
      <c r="W904" t="s">
        <v>80</v>
      </c>
    </row>
    <row r="905" spans="2:23" x14ac:dyDescent="0.2">
      <c r="B905">
        <f t="shared" ca="1" si="14"/>
        <v>0</v>
      </c>
      <c r="E905">
        <v>1</v>
      </c>
      <c r="F905" t="s">
        <v>32</v>
      </c>
      <c r="I905" t="s">
        <v>39</v>
      </c>
      <c r="J905" t="s">
        <v>44</v>
      </c>
      <c r="M905" t="s">
        <v>54</v>
      </c>
      <c r="N90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5" t="s">
        <v>57</v>
      </c>
      <c r="Q905" t="s">
        <v>59</v>
      </c>
      <c r="R905" t="s">
        <v>59</v>
      </c>
      <c r="S905" t="s">
        <v>59</v>
      </c>
      <c r="T905" t="s">
        <v>59</v>
      </c>
      <c r="V905" t="s">
        <v>59</v>
      </c>
      <c r="W905" t="s">
        <v>80</v>
      </c>
    </row>
    <row r="906" spans="2:23" x14ac:dyDescent="0.2">
      <c r="B906">
        <f t="shared" ca="1" si="14"/>
        <v>0</v>
      </c>
      <c r="E906">
        <v>1</v>
      </c>
      <c r="F906" t="s">
        <v>32</v>
      </c>
      <c r="I906" t="s">
        <v>39</v>
      </c>
      <c r="J906" t="s">
        <v>44</v>
      </c>
      <c r="M906" t="s">
        <v>54</v>
      </c>
      <c r="N90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6" t="s">
        <v>57</v>
      </c>
      <c r="Q906" t="s">
        <v>59</v>
      </c>
      <c r="R906" t="s">
        <v>59</v>
      </c>
      <c r="S906" t="s">
        <v>59</v>
      </c>
      <c r="T906" t="s">
        <v>59</v>
      </c>
      <c r="V906" t="s">
        <v>59</v>
      </c>
      <c r="W906" t="s">
        <v>80</v>
      </c>
    </row>
    <row r="907" spans="2:23" x14ac:dyDescent="0.2">
      <c r="B907">
        <f t="shared" ca="1" si="14"/>
        <v>0</v>
      </c>
      <c r="E907">
        <v>1</v>
      </c>
      <c r="F907" t="s">
        <v>32</v>
      </c>
      <c r="I907" t="s">
        <v>39</v>
      </c>
      <c r="J907" t="s">
        <v>44</v>
      </c>
      <c r="M907" t="s">
        <v>54</v>
      </c>
      <c r="N90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7" t="s">
        <v>57</v>
      </c>
      <c r="Q907" t="s">
        <v>59</v>
      </c>
      <c r="R907" t="s">
        <v>59</v>
      </c>
      <c r="S907" t="s">
        <v>59</v>
      </c>
      <c r="T907" t="s">
        <v>59</v>
      </c>
      <c r="V907" t="s">
        <v>59</v>
      </c>
      <c r="W907" t="s">
        <v>80</v>
      </c>
    </row>
    <row r="908" spans="2:23" x14ac:dyDescent="0.2">
      <c r="B908">
        <f t="shared" ca="1" si="14"/>
        <v>0</v>
      </c>
      <c r="E908">
        <v>1</v>
      </c>
      <c r="F908" t="s">
        <v>32</v>
      </c>
      <c r="I908" t="s">
        <v>39</v>
      </c>
      <c r="J908" t="s">
        <v>44</v>
      </c>
      <c r="M908" t="s">
        <v>54</v>
      </c>
      <c r="N90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8" t="s">
        <v>57</v>
      </c>
      <c r="Q908" t="s">
        <v>59</v>
      </c>
      <c r="R908" t="s">
        <v>59</v>
      </c>
      <c r="S908" t="s">
        <v>59</v>
      </c>
      <c r="T908" t="s">
        <v>59</v>
      </c>
      <c r="V908" t="s">
        <v>59</v>
      </c>
      <c r="W908" t="s">
        <v>80</v>
      </c>
    </row>
    <row r="909" spans="2:23" x14ac:dyDescent="0.2">
      <c r="B909">
        <f t="shared" ca="1" si="14"/>
        <v>0</v>
      </c>
      <c r="E909">
        <v>1</v>
      </c>
      <c r="F909" t="s">
        <v>32</v>
      </c>
      <c r="I909" t="s">
        <v>39</v>
      </c>
      <c r="J909" t="s">
        <v>44</v>
      </c>
      <c r="M909" t="s">
        <v>54</v>
      </c>
      <c r="N90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0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09" t="s">
        <v>57</v>
      </c>
      <c r="Q909" t="s">
        <v>59</v>
      </c>
      <c r="R909" t="s">
        <v>59</v>
      </c>
      <c r="S909" t="s">
        <v>59</v>
      </c>
      <c r="T909" t="s">
        <v>59</v>
      </c>
      <c r="V909" t="s">
        <v>59</v>
      </c>
      <c r="W909" t="s">
        <v>80</v>
      </c>
    </row>
    <row r="910" spans="2:23" x14ac:dyDescent="0.2">
      <c r="B910">
        <f t="shared" ca="1" si="14"/>
        <v>0</v>
      </c>
      <c r="E910">
        <v>1</v>
      </c>
      <c r="F910" t="s">
        <v>32</v>
      </c>
      <c r="I910" t="s">
        <v>39</v>
      </c>
      <c r="J910" t="s">
        <v>44</v>
      </c>
      <c r="M910" t="s">
        <v>54</v>
      </c>
      <c r="N91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0" t="s">
        <v>57</v>
      </c>
      <c r="Q910" t="s">
        <v>59</v>
      </c>
      <c r="R910" t="s">
        <v>59</v>
      </c>
      <c r="S910" t="s">
        <v>59</v>
      </c>
      <c r="T910" t="s">
        <v>59</v>
      </c>
      <c r="V910" t="s">
        <v>59</v>
      </c>
      <c r="W910" t="s">
        <v>80</v>
      </c>
    </row>
    <row r="911" spans="2:23" x14ac:dyDescent="0.2">
      <c r="B911">
        <f t="shared" ca="1" si="14"/>
        <v>0</v>
      </c>
      <c r="E911">
        <v>1</v>
      </c>
      <c r="F911" t="s">
        <v>32</v>
      </c>
      <c r="I911" t="s">
        <v>39</v>
      </c>
      <c r="J911" t="s">
        <v>44</v>
      </c>
      <c r="M911" t="s">
        <v>54</v>
      </c>
      <c r="N91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1" t="s">
        <v>57</v>
      </c>
      <c r="Q911" t="s">
        <v>59</v>
      </c>
      <c r="R911" t="s">
        <v>59</v>
      </c>
      <c r="S911" t="s">
        <v>59</v>
      </c>
      <c r="T911" t="s">
        <v>59</v>
      </c>
      <c r="V911" t="s">
        <v>59</v>
      </c>
      <c r="W911" t="s">
        <v>80</v>
      </c>
    </row>
    <row r="912" spans="2:23" x14ac:dyDescent="0.2">
      <c r="B912">
        <f t="shared" ca="1" si="14"/>
        <v>0</v>
      </c>
      <c r="E912">
        <v>1</v>
      </c>
      <c r="F912" t="s">
        <v>32</v>
      </c>
      <c r="I912" t="s">
        <v>39</v>
      </c>
      <c r="J912" t="s">
        <v>44</v>
      </c>
      <c r="M912" t="s">
        <v>54</v>
      </c>
      <c r="N91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2" t="s">
        <v>57</v>
      </c>
      <c r="Q912" t="s">
        <v>59</v>
      </c>
      <c r="R912" t="s">
        <v>59</v>
      </c>
      <c r="S912" t="s">
        <v>59</v>
      </c>
      <c r="T912" t="s">
        <v>59</v>
      </c>
      <c r="V912" t="s">
        <v>59</v>
      </c>
      <c r="W912" t="s">
        <v>80</v>
      </c>
    </row>
    <row r="913" spans="2:23" x14ac:dyDescent="0.2">
      <c r="B913">
        <f t="shared" ca="1" si="14"/>
        <v>0</v>
      </c>
      <c r="E913">
        <v>1</v>
      </c>
      <c r="F913" t="s">
        <v>32</v>
      </c>
      <c r="I913" t="s">
        <v>39</v>
      </c>
      <c r="J913" t="s">
        <v>44</v>
      </c>
      <c r="M913" t="s">
        <v>54</v>
      </c>
      <c r="N91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3" t="s">
        <v>57</v>
      </c>
      <c r="Q913" t="s">
        <v>59</v>
      </c>
      <c r="R913" t="s">
        <v>59</v>
      </c>
      <c r="S913" t="s">
        <v>59</v>
      </c>
      <c r="T913" t="s">
        <v>59</v>
      </c>
      <c r="V913" t="s">
        <v>59</v>
      </c>
      <c r="W913" t="s">
        <v>80</v>
      </c>
    </row>
    <row r="914" spans="2:23" x14ac:dyDescent="0.2">
      <c r="B914">
        <f t="shared" ca="1" si="14"/>
        <v>0</v>
      </c>
      <c r="E914">
        <v>1</v>
      </c>
      <c r="F914" t="s">
        <v>32</v>
      </c>
      <c r="I914" t="s">
        <v>39</v>
      </c>
      <c r="J914" t="s">
        <v>44</v>
      </c>
      <c r="M914" t="s">
        <v>54</v>
      </c>
      <c r="N91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4" t="s">
        <v>57</v>
      </c>
      <c r="Q914" t="s">
        <v>59</v>
      </c>
      <c r="R914" t="s">
        <v>59</v>
      </c>
      <c r="S914" t="s">
        <v>59</v>
      </c>
      <c r="T914" t="s">
        <v>59</v>
      </c>
      <c r="V914" t="s">
        <v>59</v>
      </c>
      <c r="W914" t="s">
        <v>80</v>
      </c>
    </row>
    <row r="915" spans="2:23" x14ac:dyDescent="0.2">
      <c r="B915">
        <f t="shared" ca="1" si="14"/>
        <v>0</v>
      </c>
      <c r="E915">
        <v>1</v>
      </c>
      <c r="F915" t="s">
        <v>32</v>
      </c>
      <c r="I915" t="s">
        <v>39</v>
      </c>
      <c r="J915" t="s">
        <v>44</v>
      </c>
      <c r="M915" t="s">
        <v>54</v>
      </c>
      <c r="N91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5" t="s">
        <v>57</v>
      </c>
      <c r="Q915" t="s">
        <v>59</v>
      </c>
      <c r="R915" t="s">
        <v>59</v>
      </c>
      <c r="S915" t="s">
        <v>59</v>
      </c>
      <c r="T915" t="s">
        <v>59</v>
      </c>
      <c r="V915" t="s">
        <v>59</v>
      </c>
      <c r="W915" t="s">
        <v>80</v>
      </c>
    </row>
    <row r="916" spans="2:23" x14ac:dyDescent="0.2">
      <c r="B916">
        <f t="shared" ca="1" si="14"/>
        <v>0</v>
      </c>
      <c r="E916">
        <v>1</v>
      </c>
      <c r="F916" t="s">
        <v>32</v>
      </c>
      <c r="I916" t="s">
        <v>39</v>
      </c>
      <c r="J916" t="s">
        <v>44</v>
      </c>
      <c r="M916" t="s">
        <v>54</v>
      </c>
      <c r="N91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6" t="s">
        <v>57</v>
      </c>
      <c r="Q916" t="s">
        <v>59</v>
      </c>
      <c r="R916" t="s">
        <v>59</v>
      </c>
      <c r="S916" t="s">
        <v>59</v>
      </c>
      <c r="T916" t="s">
        <v>59</v>
      </c>
      <c r="V916" t="s">
        <v>59</v>
      </c>
      <c r="W916" t="s">
        <v>80</v>
      </c>
    </row>
    <row r="917" spans="2:23" x14ac:dyDescent="0.2">
      <c r="B917">
        <f t="shared" ca="1" si="14"/>
        <v>0</v>
      </c>
      <c r="E917">
        <v>1</v>
      </c>
      <c r="F917" t="s">
        <v>32</v>
      </c>
      <c r="I917" t="s">
        <v>39</v>
      </c>
      <c r="J917" t="s">
        <v>44</v>
      </c>
      <c r="M917" t="s">
        <v>54</v>
      </c>
      <c r="N91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7" t="s">
        <v>57</v>
      </c>
      <c r="Q917" t="s">
        <v>59</v>
      </c>
      <c r="R917" t="s">
        <v>59</v>
      </c>
      <c r="S917" t="s">
        <v>59</v>
      </c>
      <c r="T917" t="s">
        <v>59</v>
      </c>
      <c r="V917" t="s">
        <v>59</v>
      </c>
      <c r="W917" t="s">
        <v>80</v>
      </c>
    </row>
    <row r="918" spans="2:23" x14ac:dyDescent="0.2">
      <c r="B918">
        <f t="shared" ca="1" si="14"/>
        <v>0</v>
      </c>
      <c r="E918">
        <v>1</v>
      </c>
      <c r="F918" t="s">
        <v>32</v>
      </c>
      <c r="I918" t="s">
        <v>39</v>
      </c>
      <c r="J918" t="s">
        <v>44</v>
      </c>
      <c r="M918" t="s">
        <v>54</v>
      </c>
      <c r="N91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8" t="s">
        <v>57</v>
      </c>
      <c r="Q918" t="s">
        <v>59</v>
      </c>
      <c r="R918" t="s">
        <v>59</v>
      </c>
      <c r="S918" t="s">
        <v>59</v>
      </c>
      <c r="T918" t="s">
        <v>59</v>
      </c>
      <c r="V918" t="s">
        <v>59</v>
      </c>
      <c r="W918" t="s">
        <v>80</v>
      </c>
    </row>
    <row r="919" spans="2:23" x14ac:dyDescent="0.2">
      <c r="B919">
        <f t="shared" ca="1" si="14"/>
        <v>0</v>
      </c>
      <c r="E919">
        <v>1</v>
      </c>
      <c r="F919" t="s">
        <v>32</v>
      </c>
      <c r="I919" t="s">
        <v>39</v>
      </c>
      <c r="J919" t="s">
        <v>44</v>
      </c>
      <c r="M919" t="s">
        <v>54</v>
      </c>
      <c r="N91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1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19" t="s">
        <v>57</v>
      </c>
      <c r="Q919" t="s">
        <v>59</v>
      </c>
      <c r="R919" t="s">
        <v>59</v>
      </c>
      <c r="S919" t="s">
        <v>59</v>
      </c>
      <c r="T919" t="s">
        <v>59</v>
      </c>
      <c r="V919" t="s">
        <v>59</v>
      </c>
      <c r="W919" t="s">
        <v>80</v>
      </c>
    </row>
    <row r="920" spans="2:23" x14ac:dyDescent="0.2">
      <c r="B920">
        <f t="shared" ca="1" si="14"/>
        <v>0</v>
      </c>
      <c r="E920">
        <v>1</v>
      </c>
      <c r="F920" t="s">
        <v>32</v>
      </c>
      <c r="I920" t="s">
        <v>39</v>
      </c>
      <c r="J920" t="s">
        <v>44</v>
      </c>
      <c r="M920" t="s">
        <v>54</v>
      </c>
      <c r="N92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0" t="s">
        <v>57</v>
      </c>
      <c r="Q920" t="s">
        <v>59</v>
      </c>
      <c r="R920" t="s">
        <v>59</v>
      </c>
      <c r="S920" t="s">
        <v>59</v>
      </c>
      <c r="T920" t="s">
        <v>59</v>
      </c>
      <c r="V920" t="s">
        <v>59</v>
      </c>
      <c r="W920" t="s">
        <v>80</v>
      </c>
    </row>
    <row r="921" spans="2:23" x14ac:dyDescent="0.2">
      <c r="B921">
        <f t="shared" ca="1" si="14"/>
        <v>0</v>
      </c>
      <c r="E921">
        <v>1</v>
      </c>
      <c r="F921" t="s">
        <v>32</v>
      </c>
      <c r="I921" t="s">
        <v>39</v>
      </c>
      <c r="J921" t="s">
        <v>44</v>
      </c>
      <c r="M921" t="s">
        <v>54</v>
      </c>
      <c r="N92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1" t="s">
        <v>57</v>
      </c>
      <c r="Q921" t="s">
        <v>59</v>
      </c>
      <c r="R921" t="s">
        <v>59</v>
      </c>
      <c r="S921" t="s">
        <v>59</v>
      </c>
      <c r="T921" t="s">
        <v>59</v>
      </c>
      <c r="V921" t="s">
        <v>59</v>
      </c>
      <c r="W921" t="s">
        <v>80</v>
      </c>
    </row>
    <row r="922" spans="2:23" x14ac:dyDescent="0.2">
      <c r="B922">
        <f t="shared" ca="1" si="14"/>
        <v>0</v>
      </c>
      <c r="E922">
        <v>1</v>
      </c>
      <c r="F922" t="s">
        <v>32</v>
      </c>
      <c r="I922" t="s">
        <v>39</v>
      </c>
      <c r="J922" t="s">
        <v>44</v>
      </c>
      <c r="M922" t="s">
        <v>54</v>
      </c>
      <c r="N92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2" t="s">
        <v>57</v>
      </c>
      <c r="Q922" t="s">
        <v>59</v>
      </c>
      <c r="R922" t="s">
        <v>59</v>
      </c>
      <c r="S922" t="s">
        <v>59</v>
      </c>
      <c r="T922" t="s">
        <v>59</v>
      </c>
      <c r="V922" t="s">
        <v>59</v>
      </c>
      <c r="W922" t="s">
        <v>80</v>
      </c>
    </row>
    <row r="923" spans="2:23" x14ac:dyDescent="0.2">
      <c r="B923">
        <f t="shared" ca="1" si="14"/>
        <v>0</v>
      </c>
      <c r="E923">
        <v>1</v>
      </c>
      <c r="F923" t="s">
        <v>32</v>
      </c>
      <c r="I923" t="s">
        <v>39</v>
      </c>
      <c r="J923" t="s">
        <v>44</v>
      </c>
      <c r="M923" t="s">
        <v>54</v>
      </c>
      <c r="N92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3" t="s">
        <v>57</v>
      </c>
      <c r="Q923" t="s">
        <v>59</v>
      </c>
      <c r="R923" t="s">
        <v>59</v>
      </c>
      <c r="S923" t="s">
        <v>59</v>
      </c>
      <c r="T923" t="s">
        <v>59</v>
      </c>
      <c r="V923" t="s">
        <v>59</v>
      </c>
      <c r="W923" t="s">
        <v>80</v>
      </c>
    </row>
    <row r="924" spans="2:23" x14ac:dyDescent="0.2">
      <c r="B924">
        <f t="shared" ca="1" si="14"/>
        <v>0</v>
      </c>
      <c r="E924">
        <v>1</v>
      </c>
      <c r="F924" t="s">
        <v>32</v>
      </c>
      <c r="I924" t="s">
        <v>39</v>
      </c>
      <c r="J924" t="s">
        <v>44</v>
      </c>
      <c r="M924" t="s">
        <v>54</v>
      </c>
      <c r="N92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4" t="s">
        <v>57</v>
      </c>
      <c r="Q924" t="s">
        <v>59</v>
      </c>
      <c r="R924" t="s">
        <v>59</v>
      </c>
      <c r="S924" t="s">
        <v>59</v>
      </c>
      <c r="T924" t="s">
        <v>59</v>
      </c>
      <c r="V924" t="s">
        <v>59</v>
      </c>
      <c r="W924" t="s">
        <v>80</v>
      </c>
    </row>
    <row r="925" spans="2:23" x14ac:dyDescent="0.2">
      <c r="B925">
        <f t="shared" ca="1" si="14"/>
        <v>0</v>
      </c>
      <c r="E925">
        <v>1</v>
      </c>
      <c r="F925" t="s">
        <v>32</v>
      </c>
      <c r="I925" t="s">
        <v>39</v>
      </c>
      <c r="J925" t="s">
        <v>44</v>
      </c>
      <c r="M925" t="s">
        <v>54</v>
      </c>
      <c r="N92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5" t="s">
        <v>57</v>
      </c>
      <c r="Q925" t="s">
        <v>59</v>
      </c>
      <c r="R925" t="s">
        <v>59</v>
      </c>
      <c r="S925" t="s">
        <v>59</v>
      </c>
      <c r="T925" t="s">
        <v>59</v>
      </c>
      <c r="V925" t="s">
        <v>59</v>
      </c>
      <c r="W925" t="s">
        <v>80</v>
      </c>
    </row>
    <row r="926" spans="2:23" x14ac:dyDescent="0.2">
      <c r="B926">
        <f t="shared" ca="1" si="14"/>
        <v>0</v>
      </c>
      <c r="E926">
        <v>1</v>
      </c>
      <c r="F926" t="s">
        <v>32</v>
      </c>
      <c r="I926" t="s">
        <v>39</v>
      </c>
      <c r="J926" t="s">
        <v>44</v>
      </c>
      <c r="M926" t="s">
        <v>54</v>
      </c>
      <c r="N92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6" t="s">
        <v>57</v>
      </c>
      <c r="Q926" t="s">
        <v>59</v>
      </c>
      <c r="R926" t="s">
        <v>59</v>
      </c>
      <c r="S926" t="s">
        <v>59</v>
      </c>
      <c r="T926" t="s">
        <v>59</v>
      </c>
      <c r="V926" t="s">
        <v>59</v>
      </c>
      <c r="W926" t="s">
        <v>80</v>
      </c>
    </row>
    <row r="927" spans="2:23" x14ac:dyDescent="0.2">
      <c r="B927">
        <f t="shared" ca="1" si="14"/>
        <v>0</v>
      </c>
      <c r="E927">
        <v>1</v>
      </c>
      <c r="F927" t="s">
        <v>32</v>
      </c>
      <c r="I927" t="s">
        <v>39</v>
      </c>
      <c r="J927" t="s">
        <v>44</v>
      </c>
      <c r="M927" t="s">
        <v>54</v>
      </c>
      <c r="N92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7" t="s">
        <v>57</v>
      </c>
      <c r="Q927" t="s">
        <v>59</v>
      </c>
      <c r="R927" t="s">
        <v>59</v>
      </c>
      <c r="S927" t="s">
        <v>59</v>
      </c>
      <c r="T927" t="s">
        <v>59</v>
      </c>
      <c r="V927" t="s">
        <v>59</v>
      </c>
      <c r="W927" t="s">
        <v>80</v>
      </c>
    </row>
    <row r="928" spans="2:23" x14ac:dyDescent="0.2">
      <c r="B928">
        <f t="shared" ca="1" si="14"/>
        <v>0</v>
      </c>
      <c r="E928">
        <v>1</v>
      </c>
      <c r="F928" t="s">
        <v>32</v>
      </c>
      <c r="I928" t="s">
        <v>39</v>
      </c>
      <c r="J928" t="s">
        <v>44</v>
      </c>
      <c r="M928" t="s">
        <v>54</v>
      </c>
      <c r="N92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8" t="s">
        <v>57</v>
      </c>
      <c r="Q928" t="s">
        <v>59</v>
      </c>
      <c r="R928" t="s">
        <v>59</v>
      </c>
      <c r="S928" t="s">
        <v>59</v>
      </c>
      <c r="T928" t="s">
        <v>59</v>
      </c>
      <c r="V928" t="s">
        <v>59</v>
      </c>
      <c r="W928" t="s">
        <v>80</v>
      </c>
    </row>
    <row r="929" spans="2:23" x14ac:dyDescent="0.2">
      <c r="B929">
        <f t="shared" ca="1" si="14"/>
        <v>0</v>
      </c>
      <c r="E929">
        <v>1</v>
      </c>
      <c r="F929" t="s">
        <v>32</v>
      </c>
      <c r="I929" t="s">
        <v>39</v>
      </c>
      <c r="J929" t="s">
        <v>44</v>
      </c>
      <c r="M929" t="s">
        <v>54</v>
      </c>
      <c r="N92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2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29" t="s">
        <v>57</v>
      </c>
      <c r="Q929" t="s">
        <v>59</v>
      </c>
      <c r="R929" t="s">
        <v>59</v>
      </c>
      <c r="S929" t="s">
        <v>59</v>
      </c>
      <c r="T929" t="s">
        <v>59</v>
      </c>
      <c r="V929" t="s">
        <v>59</v>
      </c>
      <c r="W929" t="s">
        <v>80</v>
      </c>
    </row>
    <row r="930" spans="2:23" x14ac:dyDescent="0.2">
      <c r="B930">
        <f t="shared" ca="1" si="14"/>
        <v>0</v>
      </c>
      <c r="E930">
        <v>1</v>
      </c>
      <c r="F930" t="s">
        <v>32</v>
      </c>
      <c r="I930" t="s">
        <v>39</v>
      </c>
      <c r="J930" t="s">
        <v>44</v>
      </c>
      <c r="M930" t="s">
        <v>54</v>
      </c>
      <c r="N93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0" t="s">
        <v>57</v>
      </c>
      <c r="Q930" t="s">
        <v>59</v>
      </c>
      <c r="R930" t="s">
        <v>59</v>
      </c>
      <c r="S930" t="s">
        <v>59</v>
      </c>
      <c r="T930" t="s">
        <v>59</v>
      </c>
      <c r="V930" t="s">
        <v>59</v>
      </c>
      <c r="W930" t="s">
        <v>80</v>
      </c>
    </row>
    <row r="931" spans="2:23" x14ac:dyDescent="0.2">
      <c r="B931">
        <f t="shared" ca="1" si="14"/>
        <v>0</v>
      </c>
      <c r="E931">
        <v>1</v>
      </c>
      <c r="F931" t="s">
        <v>32</v>
      </c>
      <c r="I931" t="s">
        <v>39</v>
      </c>
      <c r="J931" t="s">
        <v>44</v>
      </c>
      <c r="M931" t="s">
        <v>54</v>
      </c>
      <c r="N93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1" t="s">
        <v>57</v>
      </c>
      <c r="Q931" t="s">
        <v>59</v>
      </c>
      <c r="R931" t="s">
        <v>59</v>
      </c>
      <c r="S931" t="s">
        <v>59</v>
      </c>
      <c r="T931" t="s">
        <v>59</v>
      </c>
      <c r="V931" t="s">
        <v>59</v>
      </c>
      <c r="W931" t="s">
        <v>80</v>
      </c>
    </row>
    <row r="932" spans="2:23" x14ac:dyDescent="0.2">
      <c r="B932">
        <f t="shared" ca="1" si="14"/>
        <v>0</v>
      </c>
      <c r="E932">
        <v>1</v>
      </c>
      <c r="F932" t="s">
        <v>32</v>
      </c>
      <c r="I932" t="s">
        <v>39</v>
      </c>
      <c r="J932" t="s">
        <v>44</v>
      </c>
      <c r="M932" t="s">
        <v>54</v>
      </c>
      <c r="N93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2" t="s">
        <v>57</v>
      </c>
      <c r="Q932" t="s">
        <v>59</v>
      </c>
      <c r="R932" t="s">
        <v>59</v>
      </c>
      <c r="S932" t="s">
        <v>59</v>
      </c>
      <c r="T932" t="s">
        <v>59</v>
      </c>
      <c r="V932" t="s">
        <v>59</v>
      </c>
      <c r="W932" t="s">
        <v>80</v>
      </c>
    </row>
    <row r="933" spans="2:23" x14ac:dyDescent="0.2">
      <c r="B933">
        <f t="shared" ca="1" si="14"/>
        <v>0</v>
      </c>
      <c r="E933">
        <v>1</v>
      </c>
      <c r="F933" t="s">
        <v>32</v>
      </c>
      <c r="I933" t="s">
        <v>39</v>
      </c>
      <c r="J933" t="s">
        <v>44</v>
      </c>
      <c r="M933" t="s">
        <v>54</v>
      </c>
      <c r="N93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3" t="s">
        <v>57</v>
      </c>
      <c r="Q933" t="s">
        <v>59</v>
      </c>
      <c r="R933" t="s">
        <v>59</v>
      </c>
      <c r="S933" t="s">
        <v>59</v>
      </c>
      <c r="T933" t="s">
        <v>59</v>
      </c>
      <c r="V933" t="s">
        <v>59</v>
      </c>
      <c r="W933" t="s">
        <v>80</v>
      </c>
    </row>
    <row r="934" spans="2:23" x14ac:dyDescent="0.2">
      <c r="B934">
        <f t="shared" ca="1" si="14"/>
        <v>0</v>
      </c>
      <c r="E934">
        <v>1</v>
      </c>
      <c r="F934" t="s">
        <v>32</v>
      </c>
      <c r="I934" t="s">
        <v>39</v>
      </c>
      <c r="J934" t="s">
        <v>44</v>
      </c>
      <c r="M934" t="s">
        <v>54</v>
      </c>
      <c r="N93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4" t="s">
        <v>57</v>
      </c>
      <c r="Q934" t="s">
        <v>59</v>
      </c>
      <c r="R934" t="s">
        <v>59</v>
      </c>
      <c r="S934" t="s">
        <v>59</v>
      </c>
      <c r="T934" t="s">
        <v>59</v>
      </c>
      <c r="V934" t="s">
        <v>59</v>
      </c>
      <c r="W934" t="s">
        <v>80</v>
      </c>
    </row>
    <row r="935" spans="2:23" x14ac:dyDescent="0.2">
      <c r="B935">
        <f t="shared" ca="1" si="14"/>
        <v>0</v>
      </c>
      <c r="E935">
        <v>1</v>
      </c>
      <c r="F935" t="s">
        <v>32</v>
      </c>
      <c r="I935" t="s">
        <v>39</v>
      </c>
      <c r="J935" t="s">
        <v>44</v>
      </c>
      <c r="M935" t="s">
        <v>54</v>
      </c>
      <c r="N93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5" t="s">
        <v>57</v>
      </c>
      <c r="Q935" t="s">
        <v>59</v>
      </c>
      <c r="R935" t="s">
        <v>59</v>
      </c>
      <c r="S935" t="s">
        <v>59</v>
      </c>
      <c r="T935" t="s">
        <v>59</v>
      </c>
      <c r="V935" t="s">
        <v>59</v>
      </c>
      <c r="W935" t="s">
        <v>80</v>
      </c>
    </row>
    <row r="936" spans="2:23" x14ac:dyDescent="0.2">
      <c r="B936">
        <f t="shared" ca="1" si="14"/>
        <v>0</v>
      </c>
      <c r="E936">
        <v>1</v>
      </c>
      <c r="F936" t="s">
        <v>32</v>
      </c>
      <c r="I936" t="s">
        <v>39</v>
      </c>
      <c r="J936" t="s">
        <v>44</v>
      </c>
      <c r="M936" t="s">
        <v>54</v>
      </c>
      <c r="N93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6" t="s">
        <v>57</v>
      </c>
      <c r="Q936" t="s">
        <v>59</v>
      </c>
      <c r="R936" t="s">
        <v>59</v>
      </c>
      <c r="S936" t="s">
        <v>59</v>
      </c>
      <c r="T936" t="s">
        <v>59</v>
      </c>
      <c r="V936" t="s">
        <v>59</v>
      </c>
      <c r="W936" t="s">
        <v>80</v>
      </c>
    </row>
    <row r="937" spans="2:23" x14ac:dyDescent="0.2">
      <c r="B937">
        <f t="shared" ca="1" si="14"/>
        <v>0</v>
      </c>
      <c r="E937">
        <v>1</v>
      </c>
      <c r="F937" t="s">
        <v>32</v>
      </c>
      <c r="I937" t="s">
        <v>39</v>
      </c>
      <c r="J937" t="s">
        <v>44</v>
      </c>
      <c r="M937" t="s">
        <v>54</v>
      </c>
      <c r="N93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7" t="s">
        <v>57</v>
      </c>
      <c r="Q937" t="s">
        <v>59</v>
      </c>
      <c r="R937" t="s">
        <v>59</v>
      </c>
      <c r="S937" t="s">
        <v>59</v>
      </c>
      <c r="T937" t="s">
        <v>59</v>
      </c>
      <c r="V937" t="s">
        <v>59</v>
      </c>
      <c r="W937" t="s">
        <v>80</v>
      </c>
    </row>
    <row r="938" spans="2:23" x14ac:dyDescent="0.2">
      <c r="B938">
        <f t="shared" ca="1" si="14"/>
        <v>0</v>
      </c>
      <c r="E938">
        <v>1</v>
      </c>
      <c r="F938" t="s">
        <v>32</v>
      </c>
      <c r="I938" t="s">
        <v>39</v>
      </c>
      <c r="J938" t="s">
        <v>44</v>
      </c>
      <c r="M938" t="s">
        <v>54</v>
      </c>
      <c r="N93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8" t="s">
        <v>57</v>
      </c>
      <c r="Q938" t="s">
        <v>59</v>
      </c>
      <c r="R938" t="s">
        <v>59</v>
      </c>
      <c r="S938" t="s">
        <v>59</v>
      </c>
      <c r="T938" t="s">
        <v>59</v>
      </c>
      <c r="V938" t="s">
        <v>59</v>
      </c>
      <c r="W938" t="s">
        <v>80</v>
      </c>
    </row>
    <row r="939" spans="2:23" x14ac:dyDescent="0.2">
      <c r="B939">
        <f t="shared" ca="1" si="14"/>
        <v>0</v>
      </c>
      <c r="E939">
        <v>1</v>
      </c>
      <c r="F939" t="s">
        <v>32</v>
      </c>
      <c r="I939" t="s">
        <v>39</v>
      </c>
      <c r="J939" t="s">
        <v>44</v>
      </c>
      <c r="M939" t="s">
        <v>54</v>
      </c>
      <c r="N93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3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39" t="s">
        <v>57</v>
      </c>
      <c r="Q939" t="s">
        <v>59</v>
      </c>
      <c r="R939" t="s">
        <v>59</v>
      </c>
      <c r="S939" t="s">
        <v>59</v>
      </c>
      <c r="T939" t="s">
        <v>59</v>
      </c>
      <c r="V939" t="s">
        <v>59</v>
      </c>
      <c r="W939" t="s">
        <v>80</v>
      </c>
    </row>
    <row r="940" spans="2:23" x14ac:dyDescent="0.2">
      <c r="B940">
        <f t="shared" ca="1" si="14"/>
        <v>0</v>
      </c>
      <c r="E940">
        <v>1</v>
      </c>
      <c r="F940" t="s">
        <v>32</v>
      </c>
      <c r="I940" t="s">
        <v>39</v>
      </c>
      <c r="J940" t="s">
        <v>44</v>
      </c>
      <c r="M940" t="s">
        <v>54</v>
      </c>
      <c r="N94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0" t="s">
        <v>57</v>
      </c>
      <c r="Q940" t="s">
        <v>59</v>
      </c>
      <c r="R940" t="s">
        <v>59</v>
      </c>
      <c r="S940" t="s">
        <v>59</v>
      </c>
      <c r="T940" t="s">
        <v>59</v>
      </c>
      <c r="V940" t="s">
        <v>59</v>
      </c>
      <c r="W940" t="s">
        <v>80</v>
      </c>
    </row>
    <row r="941" spans="2:23" x14ac:dyDescent="0.2">
      <c r="B941">
        <f t="shared" ca="1" si="14"/>
        <v>0</v>
      </c>
      <c r="E941">
        <v>1</v>
      </c>
      <c r="F941" t="s">
        <v>32</v>
      </c>
      <c r="I941" t="s">
        <v>39</v>
      </c>
      <c r="J941" t="s">
        <v>44</v>
      </c>
      <c r="M941" t="s">
        <v>54</v>
      </c>
      <c r="N94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1" t="s">
        <v>57</v>
      </c>
      <c r="Q941" t="s">
        <v>59</v>
      </c>
      <c r="R941" t="s">
        <v>59</v>
      </c>
      <c r="S941" t="s">
        <v>59</v>
      </c>
      <c r="T941" t="s">
        <v>59</v>
      </c>
      <c r="V941" t="s">
        <v>59</v>
      </c>
      <c r="W941" t="s">
        <v>80</v>
      </c>
    </row>
    <row r="942" spans="2:23" x14ac:dyDescent="0.2">
      <c r="B942">
        <f t="shared" ca="1" si="14"/>
        <v>0</v>
      </c>
      <c r="E942">
        <v>1</v>
      </c>
      <c r="F942" t="s">
        <v>32</v>
      </c>
      <c r="I942" t="s">
        <v>39</v>
      </c>
      <c r="J942" t="s">
        <v>44</v>
      </c>
      <c r="M942" t="s">
        <v>54</v>
      </c>
      <c r="N94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2" t="s">
        <v>57</v>
      </c>
      <c r="Q942" t="s">
        <v>59</v>
      </c>
      <c r="R942" t="s">
        <v>59</v>
      </c>
      <c r="S942" t="s">
        <v>59</v>
      </c>
      <c r="T942" t="s">
        <v>59</v>
      </c>
      <c r="V942" t="s">
        <v>59</v>
      </c>
      <c r="W942" t="s">
        <v>80</v>
      </c>
    </row>
    <row r="943" spans="2:23" x14ac:dyDescent="0.2">
      <c r="B943">
        <f t="shared" ca="1" si="14"/>
        <v>0</v>
      </c>
      <c r="E943">
        <v>1</v>
      </c>
      <c r="F943" t="s">
        <v>32</v>
      </c>
      <c r="I943" t="s">
        <v>39</v>
      </c>
      <c r="J943" t="s">
        <v>44</v>
      </c>
      <c r="M943" t="s">
        <v>54</v>
      </c>
      <c r="N94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3" t="s">
        <v>57</v>
      </c>
      <c r="Q943" t="s">
        <v>59</v>
      </c>
      <c r="R943" t="s">
        <v>59</v>
      </c>
      <c r="S943" t="s">
        <v>59</v>
      </c>
      <c r="T943" t="s">
        <v>59</v>
      </c>
      <c r="V943" t="s">
        <v>59</v>
      </c>
      <c r="W943" t="s">
        <v>80</v>
      </c>
    </row>
    <row r="944" spans="2:23" x14ac:dyDescent="0.2">
      <c r="B944">
        <f t="shared" ca="1" si="14"/>
        <v>0</v>
      </c>
      <c r="E944">
        <v>1</v>
      </c>
      <c r="F944" t="s">
        <v>32</v>
      </c>
      <c r="I944" t="s">
        <v>39</v>
      </c>
      <c r="J944" t="s">
        <v>44</v>
      </c>
      <c r="M944" t="s">
        <v>54</v>
      </c>
      <c r="N94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4" t="s">
        <v>57</v>
      </c>
      <c r="Q944" t="s">
        <v>59</v>
      </c>
      <c r="R944" t="s">
        <v>59</v>
      </c>
      <c r="S944" t="s">
        <v>59</v>
      </c>
      <c r="T944" t="s">
        <v>59</v>
      </c>
      <c r="V944" t="s">
        <v>59</v>
      </c>
      <c r="W944" t="s">
        <v>80</v>
      </c>
    </row>
    <row r="945" spans="2:23" x14ac:dyDescent="0.2">
      <c r="B945">
        <f t="shared" ca="1" si="14"/>
        <v>0</v>
      </c>
      <c r="E945">
        <v>1</v>
      </c>
      <c r="F945" t="s">
        <v>32</v>
      </c>
      <c r="I945" t="s">
        <v>39</v>
      </c>
      <c r="J945" t="s">
        <v>44</v>
      </c>
      <c r="M945" t="s">
        <v>54</v>
      </c>
      <c r="N94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5" t="s">
        <v>57</v>
      </c>
      <c r="Q945" t="s">
        <v>59</v>
      </c>
      <c r="R945" t="s">
        <v>59</v>
      </c>
      <c r="S945" t="s">
        <v>59</v>
      </c>
      <c r="T945" t="s">
        <v>59</v>
      </c>
      <c r="V945" t="s">
        <v>59</v>
      </c>
      <c r="W945" t="s">
        <v>80</v>
      </c>
    </row>
    <row r="946" spans="2:23" x14ac:dyDescent="0.2">
      <c r="B946">
        <f t="shared" ca="1" si="14"/>
        <v>0</v>
      </c>
      <c r="E946">
        <v>1</v>
      </c>
      <c r="F946" t="s">
        <v>32</v>
      </c>
      <c r="I946" t="s">
        <v>39</v>
      </c>
      <c r="J946" t="s">
        <v>44</v>
      </c>
      <c r="M946" t="s">
        <v>54</v>
      </c>
      <c r="N94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6" t="s">
        <v>57</v>
      </c>
      <c r="Q946" t="s">
        <v>59</v>
      </c>
      <c r="R946" t="s">
        <v>59</v>
      </c>
      <c r="S946" t="s">
        <v>59</v>
      </c>
      <c r="T946" t="s">
        <v>59</v>
      </c>
      <c r="V946" t="s">
        <v>59</v>
      </c>
      <c r="W946" t="s">
        <v>80</v>
      </c>
    </row>
    <row r="947" spans="2:23" x14ac:dyDescent="0.2">
      <c r="B947">
        <f t="shared" ca="1" si="14"/>
        <v>0</v>
      </c>
      <c r="E947">
        <v>1</v>
      </c>
      <c r="F947" t="s">
        <v>32</v>
      </c>
      <c r="I947" t="s">
        <v>39</v>
      </c>
      <c r="J947" t="s">
        <v>44</v>
      </c>
      <c r="M947" t="s">
        <v>54</v>
      </c>
      <c r="N94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7" t="s">
        <v>57</v>
      </c>
      <c r="Q947" t="s">
        <v>59</v>
      </c>
      <c r="R947" t="s">
        <v>59</v>
      </c>
      <c r="S947" t="s">
        <v>59</v>
      </c>
      <c r="T947" t="s">
        <v>59</v>
      </c>
      <c r="V947" t="s">
        <v>59</v>
      </c>
      <c r="W947" t="s">
        <v>80</v>
      </c>
    </row>
    <row r="948" spans="2:23" x14ac:dyDescent="0.2">
      <c r="B948">
        <f t="shared" ca="1" si="14"/>
        <v>0</v>
      </c>
      <c r="E948">
        <v>1</v>
      </c>
      <c r="F948" t="s">
        <v>32</v>
      </c>
      <c r="I948" t="s">
        <v>39</v>
      </c>
      <c r="J948" t="s">
        <v>44</v>
      </c>
      <c r="M948" t="s">
        <v>54</v>
      </c>
      <c r="N94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8" t="s">
        <v>57</v>
      </c>
      <c r="Q948" t="s">
        <v>59</v>
      </c>
      <c r="R948" t="s">
        <v>59</v>
      </c>
      <c r="S948" t="s">
        <v>59</v>
      </c>
      <c r="T948" t="s">
        <v>59</v>
      </c>
      <c r="V948" t="s">
        <v>59</v>
      </c>
      <c r="W948" t="s">
        <v>80</v>
      </c>
    </row>
    <row r="949" spans="2:23" x14ac:dyDescent="0.2">
      <c r="B949">
        <f t="shared" ca="1" si="14"/>
        <v>0</v>
      </c>
      <c r="E949">
        <v>1</v>
      </c>
      <c r="F949" t="s">
        <v>32</v>
      </c>
      <c r="I949" t="s">
        <v>39</v>
      </c>
      <c r="J949" t="s">
        <v>44</v>
      </c>
      <c r="M949" t="s">
        <v>54</v>
      </c>
      <c r="N94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4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49" t="s">
        <v>57</v>
      </c>
      <c r="Q949" t="s">
        <v>59</v>
      </c>
      <c r="R949" t="s">
        <v>59</v>
      </c>
      <c r="S949" t="s">
        <v>59</v>
      </c>
      <c r="T949" t="s">
        <v>59</v>
      </c>
      <c r="V949" t="s">
        <v>59</v>
      </c>
      <c r="W949" t="s">
        <v>80</v>
      </c>
    </row>
    <row r="950" spans="2:23" x14ac:dyDescent="0.2">
      <c r="B950">
        <f t="shared" ca="1" si="14"/>
        <v>0</v>
      </c>
      <c r="E950">
        <v>1</v>
      </c>
      <c r="F950" t="s">
        <v>32</v>
      </c>
      <c r="I950" t="s">
        <v>39</v>
      </c>
      <c r="J950" t="s">
        <v>44</v>
      </c>
      <c r="M950" t="s">
        <v>54</v>
      </c>
      <c r="N95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0" t="s">
        <v>57</v>
      </c>
      <c r="Q950" t="s">
        <v>59</v>
      </c>
      <c r="R950" t="s">
        <v>59</v>
      </c>
      <c r="S950" t="s">
        <v>59</v>
      </c>
      <c r="T950" t="s">
        <v>59</v>
      </c>
      <c r="V950" t="s">
        <v>59</v>
      </c>
      <c r="W950" t="s">
        <v>80</v>
      </c>
    </row>
    <row r="951" spans="2:23" x14ac:dyDescent="0.2">
      <c r="B951">
        <f t="shared" ca="1" si="14"/>
        <v>0</v>
      </c>
      <c r="E951">
        <v>1</v>
      </c>
      <c r="F951" t="s">
        <v>32</v>
      </c>
      <c r="I951" t="s">
        <v>39</v>
      </c>
      <c r="J951" t="s">
        <v>44</v>
      </c>
      <c r="M951" t="s">
        <v>54</v>
      </c>
      <c r="N95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1" t="s">
        <v>57</v>
      </c>
      <c r="Q951" t="s">
        <v>59</v>
      </c>
      <c r="R951" t="s">
        <v>59</v>
      </c>
      <c r="S951" t="s">
        <v>59</v>
      </c>
      <c r="T951" t="s">
        <v>59</v>
      </c>
      <c r="V951" t="s">
        <v>59</v>
      </c>
      <c r="W951" t="s">
        <v>80</v>
      </c>
    </row>
    <row r="952" spans="2:23" x14ac:dyDescent="0.2">
      <c r="B952">
        <f t="shared" ca="1" si="14"/>
        <v>0</v>
      </c>
      <c r="E952">
        <v>1</v>
      </c>
      <c r="F952" t="s">
        <v>32</v>
      </c>
      <c r="I952" t="s">
        <v>39</v>
      </c>
      <c r="J952" t="s">
        <v>44</v>
      </c>
      <c r="M952" t="s">
        <v>54</v>
      </c>
      <c r="N95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2" t="s">
        <v>57</v>
      </c>
      <c r="Q952" t="s">
        <v>59</v>
      </c>
      <c r="R952" t="s">
        <v>59</v>
      </c>
      <c r="S952" t="s">
        <v>59</v>
      </c>
      <c r="T952" t="s">
        <v>59</v>
      </c>
      <c r="V952" t="s">
        <v>59</v>
      </c>
      <c r="W952" t="s">
        <v>80</v>
      </c>
    </row>
    <row r="953" spans="2:23" x14ac:dyDescent="0.2">
      <c r="B953">
        <f t="shared" ca="1" si="14"/>
        <v>0</v>
      </c>
      <c r="E953">
        <v>1</v>
      </c>
      <c r="F953" t="s">
        <v>32</v>
      </c>
      <c r="I953" t="s">
        <v>39</v>
      </c>
      <c r="J953" t="s">
        <v>44</v>
      </c>
      <c r="M953" t="s">
        <v>54</v>
      </c>
      <c r="N95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3" t="s">
        <v>57</v>
      </c>
      <c r="Q953" t="s">
        <v>59</v>
      </c>
      <c r="R953" t="s">
        <v>59</v>
      </c>
      <c r="S953" t="s">
        <v>59</v>
      </c>
      <c r="T953" t="s">
        <v>59</v>
      </c>
      <c r="V953" t="s">
        <v>59</v>
      </c>
      <c r="W953" t="s">
        <v>80</v>
      </c>
    </row>
    <row r="954" spans="2:23" x14ac:dyDescent="0.2">
      <c r="B954">
        <f t="shared" ca="1" si="14"/>
        <v>0</v>
      </c>
      <c r="E954">
        <v>1</v>
      </c>
      <c r="F954" t="s">
        <v>32</v>
      </c>
      <c r="I954" t="s">
        <v>39</v>
      </c>
      <c r="J954" t="s">
        <v>44</v>
      </c>
      <c r="M954" t="s">
        <v>54</v>
      </c>
      <c r="N95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4" t="s">
        <v>57</v>
      </c>
      <c r="Q954" t="s">
        <v>59</v>
      </c>
      <c r="R954" t="s">
        <v>59</v>
      </c>
      <c r="S954" t="s">
        <v>59</v>
      </c>
      <c r="T954" t="s">
        <v>59</v>
      </c>
      <c r="V954" t="s">
        <v>59</v>
      </c>
      <c r="W954" t="s">
        <v>80</v>
      </c>
    </row>
    <row r="955" spans="2:23" x14ac:dyDescent="0.2">
      <c r="B955">
        <f t="shared" ca="1" si="14"/>
        <v>0</v>
      </c>
      <c r="E955">
        <v>1</v>
      </c>
      <c r="F955" t="s">
        <v>32</v>
      </c>
      <c r="I955" t="s">
        <v>39</v>
      </c>
      <c r="J955" t="s">
        <v>44</v>
      </c>
      <c r="M955" t="s">
        <v>54</v>
      </c>
      <c r="N95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5" t="s">
        <v>57</v>
      </c>
      <c r="Q955" t="s">
        <v>59</v>
      </c>
      <c r="R955" t="s">
        <v>59</v>
      </c>
      <c r="S955" t="s">
        <v>59</v>
      </c>
      <c r="T955" t="s">
        <v>59</v>
      </c>
      <c r="V955" t="s">
        <v>59</v>
      </c>
      <c r="W955" t="s">
        <v>80</v>
      </c>
    </row>
    <row r="956" spans="2:23" x14ac:dyDescent="0.2">
      <c r="B956">
        <f t="shared" ca="1" si="14"/>
        <v>0</v>
      </c>
      <c r="E956">
        <v>1</v>
      </c>
      <c r="F956" t="s">
        <v>32</v>
      </c>
      <c r="I956" t="s">
        <v>39</v>
      </c>
      <c r="J956" t="s">
        <v>44</v>
      </c>
      <c r="M956" t="s">
        <v>54</v>
      </c>
      <c r="N95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6" t="s">
        <v>57</v>
      </c>
      <c r="Q956" t="s">
        <v>59</v>
      </c>
      <c r="R956" t="s">
        <v>59</v>
      </c>
      <c r="S956" t="s">
        <v>59</v>
      </c>
      <c r="T956" t="s">
        <v>59</v>
      </c>
      <c r="V956" t="s">
        <v>59</v>
      </c>
      <c r="W956" t="s">
        <v>80</v>
      </c>
    </row>
    <row r="957" spans="2:23" x14ac:dyDescent="0.2">
      <c r="B957">
        <f t="shared" ca="1" si="14"/>
        <v>0</v>
      </c>
      <c r="E957">
        <v>1</v>
      </c>
      <c r="F957" t="s">
        <v>32</v>
      </c>
      <c r="I957" t="s">
        <v>39</v>
      </c>
      <c r="J957" t="s">
        <v>44</v>
      </c>
      <c r="M957" t="s">
        <v>54</v>
      </c>
      <c r="N95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7" t="s">
        <v>57</v>
      </c>
      <c r="Q957" t="s">
        <v>59</v>
      </c>
      <c r="R957" t="s">
        <v>59</v>
      </c>
      <c r="S957" t="s">
        <v>59</v>
      </c>
      <c r="T957" t="s">
        <v>59</v>
      </c>
      <c r="V957" t="s">
        <v>59</v>
      </c>
      <c r="W957" t="s">
        <v>80</v>
      </c>
    </row>
    <row r="958" spans="2:23" x14ac:dyDescent="0.2">
      <c r="B958">
        <f t="shared" ca="1" si="14"/>
        <v>0</v>
      </c>
      <c r="E958">
        <v>1</v>
      </c>
      <c r="F958" t="s">
        <v>32</v>
      </c>
      <c r="I958" t="s">
        <v>39</v>
      </c>
      <c r="J958" t="s">
        <v>44</v>
      </c>
      <c r="M958" t="s">
        <v>54</v>
      </c>
      <c r="N95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8" t="s">
        <v>57</v>
      </c>
      <c r="Q958" t="s">
        <v>59</v>
      </c>
      <c r="R958" t="s">
        <v>59</v>
      </c>
      <c r="S958" t="s">
        <v>59</v>
      </c>
      <c r="T958" t="s">
        <v>59</v>
      </c>
      <c r="V958" t="s">
        <v>59</v>
      </c>
      <c r="W958" t="s">
        <v>80</v>
      </c>
    </row>
    <row r="959" spans="2:23" x14ac:dyDescent="0.2">
      <c r="B959">
        <f t="shared" ca="1" si="14"/>
        <v>0</v>
      </c>
      <c r="E959">
        <v>1</v>
      </c>
      <c r="F959" t="s">
        <v>32</v>
      </c>
      <c r="I959" t="s">
        <v>39</v>
      </c>
      <c r="J959" t="s">
        <v>44</v>
      </c>
      <c r="M959" t="s">
        <v>54</v>
      </c>
      <c r="N95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5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59" t="s">
        <v>57</v>
      </c>
      <c r="Q959" t="s">
        <v>59</v>
      </c>
      <c r="R959" t="s">
        <v>59</v>
      </c>
      <c r="S959" t="s">
        <v>59</v>
      </c>
      <c r="T959" t="s">
        <v>59</v>
      </c>
      <c r="V959" t="s">
        <v>59</v>
      </c>
      <c r="W959" t="s">
        <v>80</v>
      </c>
    </row>
    <row r="960" spans="2:23" x14ac:dyDescent="0.2">
      <c r="B960">
        <f t="shared" ca="1" si="14"/>
        <v>0</v>
      </c>
      <c r="E960">
        <v>1</v>
      </c>
      <c r="F960" t="s">
        <v>32</v>
      </c>
      <c r="I960" t="s">
        <v>39</v>
      </c>
      <c r="J960" t="s">
        <v>44</v>
      </c>
      <c r="M960" t="s">
        <v>54</v>
      </c>
      <c r="N96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0" t="s">
        <v>57</v>
      </c>
      <c r="Q960" t="s">
        <v>59</v>
      </c>
      <c r="R960" t="s">
        <v>59</v>
      </c>
      <c r="S960" t="s">
        <v>59</v>
      </c>
      <c r="T960" t="s">
        <v>59</v>
      </c>
      <c r="V960" t="s">
        <v>59</v>
      </c>
      <c r="W960" t="s">
        <v>80</v>
      </c>
    </row>
    <row r="961" spans="2:23" x14ac:dyDescent="0.2">
      <c r="B961">
        <f t="shared" ca="1" si="14"/>
        <v>0</v>
      </c>
      <c r="E961">
        <v>1</v>
      </c>
      <c r="F961" t="s">
        <v>32</v>
      </c>
      <c r="I961" t="s">
        <v>39</v>
      </c>
      <c r="J961" t="s">
        <v>44</v>
      </c>
      <c r="M961" t="s">
        <v>54</v>
      </c>
      <c r="N96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1" t="s">
        <v>57</v>
      </c>
      <c r="Q961" t="s">
        <v>59</v>
      </c>
      <c r="R961" t="s">
        <v>59</v>
      </c>
      <c r="S961" t="s">
        <v>59</v>
      </c>
      <c r="T961" t="s">
        <v>59</v>
      </c>
      <c r="V961" t="s">
        <v>59</v>
      </c>
      <c r="W961" t="s">
        <v>80</v>
      </c>
    </row>
    <row r="962" spans="2:23" x14ac:dyDescent="0.2">
      <c r="B962">
        <f t="shared" ca="1" si="14"/>
        <v>0</v>
      </c>
      <c r="E962">
        <v>1</v>
      </c>
      <c r="F962" t="s">
        <v>32</v>
      </c>
      <c r="I962" t="s">
        <v>39</v>
      </c>
      <c r="J962" t="s">
        <v>44</v>
      </c>
      <c r="M962" t="s">
        <v>54</v>
      </c>
      <c r="N96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2" t="s">
        <v>57</v>
      </c>
      <c r="Q962" t="s">
        <v>59</v>
      </c>
      <c r="R962" t="s">
        <v>59</v>
      </c>
      <c r="S962" t="s">
        <v>59</v>
      </c>
      <c r="T962" t="s">
        <v>59</v>
      </c>
      <c r="V962" t="s">
        <v>59</v>
      </c>
      <c r="W962" t="s">
        <v>80</v>
      </c>
    </row>
    <row r="963" spans="2:23" x14ac:dyDescent="0.2">
      <c r="B963">
        <f t="shared" ca="1" si="14"/>
        <v>0</v>
      </c>
      <c r="E963">
        <v>1</v>
      </c>
      <c r="F963" t="s">
        <v>32</v>
      </c>
      <c r="I963" t="s">
        <v>39</v>
      </c>
      <c r="J963" t="s">
        <v>44</v>
      </c>
      <c r="M963" t="s">
        <v>54</v>
      </c>
      <c r="N96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3" t="s">
        <v>57</v>
      </c>
      <c r="Q963" t="s">
        <v>59</v>
      </c>
      <c r="R963" t="s">
        <v>59</v>
      </c>
      <c r="S963" t="s">
        <v>59</v>
      </c>
      <c r="T963" t="s">
        <v>59</v>
      </c>
      <c r="V963" t="s">
        <v>59</v>
      </c>
      <c r="W963" t="s">
        <v>80</v>
      </c>
    </row>
    <row r="964" spans="2:23" x14ac:dyDescent="0.2">
      <c r="B964">
        <f t="shared" ca="1" si="14"/>
        <v>0</v>
      </c>
      <c r="E964">
        <v>1</v>
      </c>
      <c r="F964" t="s">
        <v>32</v>
      </c>
      <c r="I964" t="s">
        <v>39</v>
      </c>
      <c r="J964" t="s">
        <v>44</v>
      </c>
      <c r="M964" t="s">
        <v>54</v>
      </c>
      <c r="N96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4" t="s">
        <v>57</v>
      </c>
      <c r="Q964" t="s">
        <v>59</v>
      </c>
      <c r="R964" t="s">
        <v>59</v>
      </c>
      <c r="S964" t="s">
        <v>59</v>
      </c>
      <c r="T964" t="s">
        <v>59</v>
      </c>
      <c r="V964" t="s">
        <v>59</v>
      </c>
      <c r="W964" t="s">
        <v>80</v>
      </c>
    </row>
    <row r="965" spans="2:23" x14ac:dyDescent="0.2">
      <c r="B965">
        <f t="shared" ca="1" si="14"/>
        <v>0</v>
      </c>
      <c r="E965">
        <v>1</v>
      </c>
      <c r="F965" t="s">
        <v>32</v>
      </c>
      <c r="I965" t="s">
        <v>39</v>
      </c>
      <c r="J965" t="s">
        <v>44</v>
      </c>
      <c r="M965" t="s">
        <v>54</v>
      </c>
      <c r="N96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5" t="s">
        <v>57</v>
      </c>
      <c r="Q965" t="s">
        <v>59</v>
      </c>
      <c r="R965" t="s">
        <v>59</v>
      </c>
      <c r="S965" t="s">
        <v>59</v>
      </c>
      <c r="T965" t="s">
        <v>59</v>
      </c>
      <c r="V965" t="s">
        <v>59</v>
      </c>
      <c r="W965" t="s">
        <v>80</v>
      </c>
    </row>
    <row r="966" spans="2:23" x14ac:dyDescent="0.2">
      <c r="B966">
        <f t="shared" ca="1" si="14"/>
        <v>0</v>
      </c>
      <c r="E966">
        <v>1</v>
      </c>
      <c r="F966" t="s">
        <v>32</v>
      </c>
      <c r="I966" t="s">
        <v>39</v>
      </c>
      <c r="J966" t="s">
        <v>44</v>
      </c>
      <c r="M966" t="s">
        <v>54</v>
      </c>
      <c r="N96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6" t="s">
        <v>57</v>
      </c>
      <c r="Q966" t="s">
        <v>59</v>
      </c>
      <c r="R966" t="s">
        <v>59</v>
      </c>
      <c r="S966" t="s">
        <v>59</v>
      </c>
      <c r="T966" t="s">
        <v>59</v>
      </c>
      <c r="V966" t="s">
        <v>59</v>
      </c>
      <c r="W966" t="s">
        <v>80</v>
      </c>
    </row>
    <row r="967" spans="2:23" x14ac:dyDescent="0.2">
      <c r="B967">
        <f t="shared" ref="B967:B1001" ca="1" si="15">LEN(INDIRECT(ADDRESS(ROW() + (0),COLUMN() + (-1))))</f>
        <v>0</v>
      </c>
      <c r="E967">
        <v>1</v>
      </c>
      <c r="F967" t="s">
        <v>32</v>
      </c>
      <c r="I967" t="s">
        <v>39</v>
      </c>
      <c r="J967" t="s">
        <v>44</v>
      </c>
      <c r="M967" t="s">
        <v>54</v>
      </c>
      <c r="N96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7" t="s">
        <v>57</v>
      </c>
      <c r="Q967" t="s">
        <v>59</v>
      </c>
      <c r="R967" t="s">
        <v>59</v>
      </c>
      <c r="S967" t="s">
        <v>59</v>
      </c>
      <c r="T967" t="s">
        <v>59</v>
      </c>
      <c r="V967" t="s">
        <v>59</v>
      </c>
      <c r="W967" t="s">
        <v>80</v>
      </c>
    </row>
    <row r="968" spans="2:23" x14ac:dyDescent="0.2">
      <c r="B968">
        <f t="shared" ca="1" si="15"/>
        <v>0</v>
      </c>
      <c r="E968">
        <v>1</v>
      </c>
      <c r="F968" t="s">
        <v>32</v>
      </c>
      <c r="I968" t="s">
        <v>39</v>
      </c>
      <c r="J968" t="s">
        <v>44</v>
      </c>
      <c r="M968" t="s">
        <v>54</v>
      </c>
      <c r="N96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8" t="s">
        <v>57</v>
      </c>
      <c r="Q968" t="s">
        <v>59</v>
      </c>
      <c r="R968" t="s">
        <v>59</v>
      </c>
      <c r="S968" t="s">
        <v>59</v>
      </c>
      <c r="T968" t="s">
        <v>59</v>
      </c>
      <c r="V968" t="s">
        <v>59</v>
      </c>
      <c r="W968" t="s">
        <v>80</v>
      </c>
    </row>
    <row r="969" spans="2:23" x14ac:dyDescent="0.2">
      <c r="B969">
        <f t="shared" ca="1" si="15"/>
        <v>0</v>
      </c>
      <c r="E969">
        <v>1</v>
      </c>
      <c r="F969" t="s">
        <v>32</v>
      </c>
      <c r="I969" t="s">
        <v>39</v>
      </c>
      <c r="J969" t="s">
        <v>44</v>
      </c>
      <c r="M969" t="s">
        <v>54</v>
      </c>
      <c r="N96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6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69" t="s">
        <v>57</v>
      </c>
      <c r="Q969" t="s">
        <v>59</v>
      </c>
      <c r="R969" t="s">
        <v>59</v>
      </c>
      <c r="S969" t="s">
        <v>59</v>
      </c>
      <c r="T969" t="s">
        <v>59</v>
      </c>
      <c r="V969" t="s">
        <v>59</v>
      </c>
      <c r="W969" t="s">
        <v>80</v>
      </c>
    </row>
    <row r="970" spans="2:23" x14ac:dyDescent="0.2">
      <c r="B970">
        <f t="shared" ca="1" si="15"/>
        <v>0</v>
      </c>
      <c r="E970">
        <v>1</v>
      </c>
      <c r="F970" t="s">
        <v>32</v>
      </c>
      <c r="I970" t="s">
        <v>39</v>
      </c>
      <c r="J970" t="s">
        <v>44</v>
      </c>
      <c r="M970" t="s">
        <v>54</v>
      </c>
      <c r="N97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0" t="s">
        <v>57</v>
      </c>
      <c r="Q970" t="s">
        <v>59</v>
      </c>
      <c r="R970" t="s">
        <v>59</v>
      </c>
      <c r="S970" t="s">
        <v>59</v>
      </c>
      <c r="T970" t="s">
        <v>59</v>
      </c>
      <c r="V970" t="s">
        <v>59</v>
      </c>
      <c r="W970" t="s">
        <v>80</v>
      </c>
    </row>
    <row r="971" spans="2:23" x14ac:dyDescent="0.2">
      <c r="B971">
        <f t="shared" ca="1" si="15"/>
        <v>0</v>
      </c>
      <c r="E971">
        <v>1</v>
      </c>
      <c r="F971" t="s">
        <v>32</v>
      </c>
      <c r="I971" t="s">
        <v>39</v>
      </c>
      <c r="J971" t="s">
        <v>44</v>
      </c>
      <c r="M971" t="s">
        <v>54</v>
      </c>
      <c r="N97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1" t="s">
        <v>57</v>
      </c>
      <c r="Q971" t="s">
        <v>59</v>
      </c>
      <c r="R971" t="s">
        <v>59</v>
      </c>
      <c r="S971" t="s">
        <v>59</v>
      </c>
      <c r="T971" t="s">
        <v>59</v>
      </c>
      <c r="V971" t="s">
        <v>59</v>
      </c>
      <c r="W971" t="s">
        <v>80</v>
      </c>
    </row>
    <row r="972" spans="2:23" x14ac:dyDescent="0.2">
      <c r="B972">
        <f t="shared" ca="1" si="15"/>
        <v>0</v>
      </c>
      <c r="E972">
        <v>1</v>
      </c>
      <c r="F972" t="s">
        <v>32</v>
      </c>
      <c r="I972" t="s">
        <v>39</v>
      </c>
      <c r="J972" t="s">
        <v>44</v>
      </c>
      <c r="M972" t="s">
        <v>54</v>
      </c>
      <c r="N97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2" t="s">
        <v>57</v>
      </c>
      <c r="Q972" t="s">
        <v>59</v>
      </c>
      <c r="R972" t="s">
        <v>59</v>
      </c>
      <c r="S972" t="s">
        <v>59</v>
      </c>
      <c r="T972" t="s">
        <v>59</v>
      </c>
      <c r="V972" t="s">
        <v>59</v>
      </c>
      <c r="W972" t="s">
        <v>80</v>
      </c>
    </row>
    <row r="973" spans="2:23" x14ac:dyDescent="0.2">
      <c r="B973">
        <f t="shared" ca="1" si="15"/>
        <v>0</v>
      </c>
      <c r="E973">
        <v>1</v>
      </c>
      <c r="F973" t="s">
        <v>32</v>
      </c>
      <c r="I973" t="s">
        <v>39</v>
      </c>
      <c r="J973" t="s">
        <v>44</v>
      </c>
      <c r="M973" t="s">
        <v>54</v>
      </c>
      <c r="N97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3" t="s">
        <v>57</v>
      </c>
      <c r="Q973" t="s">
        <v>59</v>
      </c>
      <c r="R973" t="s">
        <v>59</v>
      </c>
      <c r="S973" t="s">
        <v>59</v>
      </c>
      <c r="T973" t="s">
        <v>59</v>
      </c>
      <c r="V973" t="s">
        <v>59</v>
      </c>
      <c r="W973" t="s">
        <v>80</v>
      </c>
    </row>
    <row r="974" spans="2:23" x14ac:dyDescent="0.2">
      <c r="B974">
        <f t="shared" ca="1" si="15"/>
        <v>0</v>
      </c>
      <c r="E974">
        <v>1</v>
      </c>
      <c r="F974" t="s">
        <v>32</v>
      </c>
      <c r="I974" t="s">
        <v>39</v>
      </c>
      <c r="J974" t="s">
        <v>44</v>
      </c>
      <c r="M974" t="s">
        <v>54</v>
      </c>
      <c r="N97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4" t="s">
        <v>57</v>
      </c>
      <c r="Q974" t="s">
        <v>59</v>
      </c>
      <c r="R974" t="s">
        <v>59</v>
      </c>
      <c r="S974" t="s">
        <v>59</v>
      </c>
      <c r="T974" t="s">
        <v>59</v>
      </c>
      <c r="V974" t="s">
        <v>59</v>
      </c>
      <c r="W974" t="s">
        <v>80</v>
      </c>
    </row>
    <row r="975" spans="2:23" x14ac:dyDescent="0.2">
      <c r="B975">
        <f t="shared" ca="1" si="15"/>
        <v>0</v>
      </c>
      <c r="E975">
        <v>1</v>
      </c>
      <c r="F975" t="s">
        <v>32</v>
      </c>
      <c r="I975" t="s">
        <v>39</v>
      </c>
      <c r="J975" t="s">
        <v>44</v>
      </c>
      <c r="M975" t="s">
        <v>54</v>
      </c>
      <c r="N97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5" t="s">
        <v>57</v>
      </c>
      <c r="Q975" t="s">
        <v>59</v>
      </c>
      <c r="R975" t="s">
        <v>59</v>
      </c>
      <c r="S975" t="s">
        <v>59</v>
      </c>
      <c r="T975" t="s">
        <v>59</v>
      </c>
      <c r="V975" t="s">
        <v>59</v>
      </c>
      <c r="W975" t="s">
        <v>80</v>
      </c>
    </row>
    <row r="976" spans="2:23" x14ac:dyDescent="0.2">
      <c r="B976">
        <f t="shared" ca="1" si="15"/>
        <v>0</v>
      </c>
      <c r="E976">
        <v>1</v>
      </c>
      <c r="F976" t="s">
        <v>32</v>
      </c>
      <c r="I976" t="s">
        <v>39</v>
      </c>
      <c r="J976" t="s">
        <v>44</v>
      </c>
      <c r="M976" t="s">
        <v>54</v>
      </c>
      <c r="N97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6" t="s">
        <v>57</v>
      </c>
      <c r="Q976" t="s">
        <v>59</v>
      </c>
      <c r="R976" t="s">
        <v>59</v>
      </c>
      <c r="S976" t="s">
        <v>59</v>
      </c>
      <c r="T976" t="s">
        <v>59</v>
      </c>
      <c r="V976" t="s">
        <v>59</v>
      </c>
      <c r="W976" t="s">
        <v>80</v>
      </c>
    </row>
    <row r="977" spans="2:23" x14ac:dyDescent="0.2">
      <c r="B977">
        <f t="shared" ca="1" si="15"/>
        <v>0</v>
      </c>
      <c r="E977">
        <v>1</v>
      </c>
      <c r="F977" t="s">
        <v>32</v>
      </c>
      <c r="I977" t="s">
        <v>39</v>
      </c>
      <c r="J977" t="s">
        <v>44</v>
      </c>
      <c r="M977" t="s">
        <v>54</v>
      </c>
      <c r="N97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7" t="s">
        <v>57</v>
      </c>
      <c r="Q977" t="s">
        <v>59</v>
      </c>
      <c r="R977" t="s">
        <v>59</v>
      </c>
      <c r="S977" t="s">
        <v>59</v>
      </c>
      <c r="T977" t="s">
        <v>59</v>
      </c>
      <c r="V977" t="s">
        <v>59</v>
      </c>
      <c r="W977" t="s">
        <v>80</v>
      </c>
    </row>
    <row r="978" spans="2:23" x14ac:dyDescent="0.2">
      <c r="B978">
        <f t="shared" ca="1" si="15"/>
        <v>0</v>
      </c>
      <c r="E978">
        <v>1</v>
      </c>
      <c r="F978" t="s">
        <v>32</v>
      </c>
      <c r="I978" t="s">
        <v>39</v>
      </c>
      <c r="J978" t="s">
        <v>44</v>
      </c>
      <c r="M978" t="s">
        <v>54</v>
      </c>
      <c r="N97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8" t="s">
        <v>57</v>
      </c>
      <c r="Q978" t="s">
        <v>59</v>
      </c>
      <c r="R978" t="s">
        <v>59</v>
      </c>
      <c r="S978" t="s">
        <v>59</v>
      </c>
      <c r="T978" t="s">
        <v>59</v>
      </c>
      <c r="V978" t="s">
        <v>59</v>
      </c>
      <c r="W978" t="s">
        <v>80</v>
      </c>
    </row>
    <row r="979" spans="2:23" x14ac:dyDescent="0.2">
      <c r="B979">
        <f t="shared" ca="1" si="15"/>
        <v>0</v>
      </c>
      <c r="E979">
        <v>1</v>
      </c>
      <c r="F979" t="s">
        <v>32</v>
      </c>
      <c r="I979" t="s">
        <v>39</v>
      </c>
      <c r="J979" t="s">
        <v>44</v>
      </c>
      <c r="M979" t="s">
        <v>54</v>
      </c>
      <c r="N97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7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79" t="s">
        <v>57</v>
      </c>
      <c r="Q979" t="s">
        <v>59</v>
      </c>
      <c r="R979" t="s">
        <v>59</v>
      </c>
      <c r="S979" t="s">
        <v>59</v>
      </c>
      <c r="T979" t="s">
        <v>59</v>
      </c>
      <c r="V979" t="s">
        <v>59</v>
      </c>
      <c r="W979" t="s">
        <v>80</v>
      </c>
    </row>
    <row r="980" spans="2:23" x14ac:dyDescent="0.2">
      <c r="B980">
        <f t="shared" ca="1" si="15"/>
        <v>0</v>
      </c>
      <c r="E980">
        <v>1</v>
      </c>
      <c r="F980" t="s">
        <v>32</v>
      </c>
      <c r="I980" t="s">
        <v>39</v>
      </c>
      <c r="J980" t="s">
        <v>44</v>
      </c>
      <c r="M980" t="s">
        <v>54</v>
      </c>
      <c r="N98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0" t="s">
        <v>57</v>
      </c>
      <c r="Q980" t="s">
        <v>59</v>
      </c>
      <c r="R980" t="s">
        <v>59</v>
      </c>
      <c r="S980" t="s">
        <v>59</v>
      </c>
      <c r="T980" t="s">
        <v>59</v>
      </c>
      <c r="V980" t="s">
        <v>59</v>
      </c>
      <c r="W980" t="s">
        <v>80</v>
      </c>
    </row>
    <row r="981" spans="2:23" x14ac:dyDescent="0.2">
      <c r="B981">
        <f t="shared" ca="1" si="15"/>
        <v>0</v>
      </c>
      <c r="E981">
        <v>1</v>
      </c>
      <c r="F981" t="s">
        <v>32</v>
      </c>
      <c r="I981" t="s">
        <v>39</v>
      </c>
      <c r="J981" t="s">
        <v>44</v>
      </c>
      <c r="M981" t="s">
        <v>54</v>
      </c>
      <c r="N98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1" t="s">
        <v>57</v>
      </c>
      <c r="Q981" t="s">
        <v>59</v>
      </c>
      <c r="R981" t="s">
        <v>59</v>
      </c>
      <c r="S981" t="s">
        <v>59</v>
      </c>
      <c r="T981" t="s">
        <v>59</v>
      </c>
      <c r="V981" t="s">
        <v>59</v>
      </c>
      <c r="W981" t="s">
        <v>80</v>
      </c>
    </row>
    <row r="982" spans="2:23" x14ac:dyDescent="0.2">
      <c r="B982">
        <f t="shared" ca="1" si="15"/>
        <v>0</v>
      </c>
      <c r="E982">
        <v>1</v>
      </c>
      <c r="F982" t="s">
        <v>32</v>
      </c>
      <c r="I982" t="s">
        <v>39</v>
      </c>
      <c r="J982" t="s">
        <v>44</v>
      </c>
      <c r="M982" t="s">
        <v>54</v>
      </c>
      <c r="N98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2" t="s">
        <v>57</v>
      </c>
      <c r="Q982" t="s">
        <v>59</v>
      </c>
      <c r="R982" t="s">
        <v>59</v>
      </c>
      <c r="S982" t="s">
        <v>59</v>
      </c>
      <c r="T982" t="s">
        <v>59</v>
      </c>
      <c r="V982" t="s">
        <v>59</v>
      </c>
      <c r="W982" t="s">
        <v>80</v>
      </c>
    </row>
    <row r="983" spans="2:23" x14ac:dyDescent="0.2">
      <c r="B983">
        <f t="shared" ca="1" si="15"/>
        <v>0</v>
      </c>
      <c r="E983">
        <v>1</v>
      </c>
      <c r="F983" t="s">
        <v>32</v>
      </c>
      <c r="I983" t="s">
        <v>39</v>
      </c>
      <c r="J983" t="s">
        <v>44</v>
      </c>
      <c r="M983" t="s">
        <v>54</v>
      </c>
      <c r="N98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3" t="s">
        <v>57</v>
      </c>
      <c r="Q983" t="s">
        <v>59</v>
      </c>
      <c r="R983" t="s">
        <v>59</v>
      </c>
      <c r="S983" t="s">
        <v>59</v>
      </c>
      <c r="T983" t="s">
        <v>59</v>
      </c>
      <c r="V983" t="s">
        <v>59</v>
      </c>
      <c r="W983" t="s">
        <v>80</v>
      </c>
    </row>
    <row r="984" spans="2:23" x14ac:dyDescent="0.2">
      <c r="B984">
        <f t="shared" ca="1" si="15"/>
        <v>0</v>
      </c>
      <c r="E984">
        <v>1</v>
      </c>
      <c r="F984" t="s">
        <v>32</v>
      </c>
      <c r="I984" t="s">
        <v>39</v>
      </c>
      <c r="J984" t="s">
        <v>44</v>
      </c>
      <c r="M984" t="s">
        <v>54</v>
      </c>
      <c r="N98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4" t="s">
        <v>57</v>
      </c>
      <c r="Q984" t="s">
        <v>59</v>
      </c>
      <c r="R984" t="s">
        <v>59</v>
      </c>
      <c r="S984" t="s">
        <v>59</v>
      </c>
      <c r="T984" t="s">
        <v>59</v>
      </c>
      <c r="V984" t="s">
        <v>59</v>
      </c>
      <c r="W984" t="s">
        <v>80</v>
      </c>
    </row>
    <row r="985" spans="2:23" x14ac:dyDescent="0.2">
      <c r="B985">
        <f t="shared" ca="1" si="15"/>
        <v>0</v>
      </c>
      <c r="E985">
        <v>1</v>
      </c>
      <c r="F985" t="s">
        <v>32</v>
      </c>
      <c r="I985" t="s">
        <v>39</v>
      </c>
      <c r="J985" t="s">
        <v>44</v>
      </c>
      <c r="M985" t="s">
        <v>54</v>
      </c>
      <c r="N98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5" t="s">
        <v>57</v>
      </c>
      <c r="Q985" t="s">
        <v>59</v>
      </c>
      <c r="R985" t="s">
        <v>59</v>
      </c>
      <c r="S985" t="s">
        <v>59</v>
      </c>
      <c r="T985" t="s">
        <v>59</v>
      </c>
      <c r="V985" t="s">
        <v>59</v>
      </c>
      <c r="W985" t="s">
        <v>80</v>
      </c>
    </row>
    <row r="986" spans="2:23" x14ac:dyDescent="0.2">
      <c r="B986">
        <f t="shared" ca="1" si="15"/>
        <v>0</v>
      </c>
      <c r="E986">
        <v>1</v>
      </c>
      <c r="F986" t="s">
        <v>32</v>
      </c>
      <c r="I986" t="s">
        <v>39</v>
      </c>
      <c r="J986" t="s">
        <v>44</v>
      </c>
      <c r="M986" t="s">
        <v>54</v>
      </c>
      <c r="N98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6" t="s">
        <v>57</v>
      </c>
      <c r="Q986" t="s">
        <v>59</v>
      </c>
      <c r="R986" t="s">
        <v>59</v>
      </c>
      <c r="S986" t="s">
        <v>59</v>
      </c>
      <c r="T986" t="s">
        <v>59</v>
      </c>
      <c r="V986" t="s">
        <v>59</v>
      </c>
      <c r="W986" t="s">
        <v>80</v>
      </c>
    </row>
    <row r="987" spans="2:23" x14ac:dyDescent="0.2">
      <c r="B987">
        <f t="shared" ca="1" si="15"/>
        <v>0</v>
      </c>
      <c r="E987">
        <v>1</v>
      </c>
      <c r="F987" t="s">
        <v>32</v>
      </c>
      <c r="I987" t="s">
        <v>39</v>
      </c>
      <c r="J987" t="s">
        <v>44</v>
      </c>
      <c r="M987" t="s">
        <v>54</v>
      </c>
      <c r="N98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7" t="s">
        <v>57</v>
      </c>
      <c r="Q987" t="s">
        <v>59</v>
      </c>
      <c r="R987" t="s">
        <v>59</v>
      </c>
      <c r="S987" t="s">
        <v>59</v>
      </c>
      <c r="T987" t="s">
        <v>59</v>
      </c>
      <c r="V987" t="s">
        <v>59</v>
      </c>
      <c r="W987" t="s">
        <v>80</v>
      </c>
    </row>
    <row r="988" spans="2:23" x14ac:dyDescent="0.2">
      <c r="B988">
        <f t="shared" ca="1" si="15"/>
        <v>0</v>
      </c>
      <c r="E988">
        <v>1</v>
      </c>
      <c r="F988" t="s">
        <v>32</v>
      </c>
      <c r="I988" t="s">
        <v>39</v>
      </c>
      <c r="J988" t="s">
        <v>44</v>
      </c>
      <c r="M988" t="s">
        <v>54</v>
      </c>
      <c r="N98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8" t="s">
        <v>57</v>
      </c>
      <c r="Q988" t="s">
        <v>59</v>
      </c>
      <c r="R988" t="s">
        <v>59</v>
      </c>
      <c r="S988" t="s">
        <v>59</v>
      </c>
      <c r="T988" t="s">
        <v>59</v>
      </c>
      <c r="V988" t="s">
        <v>59</v>
      </c>
      <c r="W988" t="s">
        <v>80</v>
      </c>
    </row>
    <row r="989" spans="2:23" x14ac:dyDescent="0.2">
      <c r="B989">
        <f t="shared" ca="1" si="15"/>
        <v>0</v>
      </c>
      <c r="E989">
        <v>1</v>
      </c>
      <c r="F989" t="s">
        <v>32</v>
      </c>
      <c r="I989" t="s">
        <v>39</v>
      </c>
      <c r="J989" t="s">
        <v>44</v>
      </c>
      <c r="M989" t="s">
        <v>54</v>
      </c>
      <c r="N98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8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89" t="s">
        <v>57</v>
      </c>
      <c r="Q989" t="s">
        <v>59</v>
      </c>
      <c r="R989" t="s">
        <v>59</v>
      </c>
      <c r="S989" t="s">
        <v>59</v>
      </c>
      <c r="T989" t="s">
        <v>59</v>
      </c>
      <c r="V989" t="s">
        <v>59</v>
      </c>
      <c r="W989" t="s">
        <v>80</v>
      </c>
    </row>
    <row r="990" spans="2:23" x14ac:dyDescent="0.2">
      <c r="B990">
        <f t="shared" ca="1" si="15"/>
        <v>0</v>
      </c>
      <c r="E990">
        <v>1</v>
      </c>
      <c r="F990" t="s">
        <v>32</v>
      </c>
      <c r="I990" t="s">
        <v>39</v>
      </c>
      <c r="J990" t="s">
        <v>44</v>
      </c>
      <c r="M990" t="s">
        <v>54</v>
      </c>
      <c r="N99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0" t="s">
        <v>57</v>
      </c>
      <c r="Q990" t="s">
        <v>59</v>
      </c>
      <c r="R990" t="s">
        <v>59</v>
      </c>
      <c r="S990" t="s">
        <v>59</v>
      </c>
      <c r="T990" t="s">
        <v>59</v>
      </c>
      <c r="V990" t="s">
        <v>59</v>
      </c>
      <c r="W990" t="s">
        <v>80</v>
      </c>
    </row>
    <row r="991" spans="2:23" x14ac:dyDescent="0.2">
      <c r="B991">
        <f t="shared" ca="1" si="15"/>
        <v>0</v>
      </c>
      <c r="E991">
        <v>1</v>
      </c>
      <c r="F991" t="s">
        <v>32</v>
      </c>
      <c r="I991" t="s">
        <v>39</v>
      </c>
      <c r="J991" t="s">
        <v>44</v>
      </c>
      <c r="M991" t="s">
        <v>54</v>
      </c>
      <c r="N99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1" t="s">
        <v>57</v>
      </c>
      <c r="Q991" t="s">
        <v>59</v>
      </c>
      <c r="R991" t="s">
        <v>59</v>
      </c>
      <c r="S991" t="s">
        <v>59</v>
      </c>
      <c r="T991" t="s">
        <v>59</v>
      </c>
      <c r="V991" t="s">
        <v>59</v>
      </c>
      <c r="W991" t="s">
        <v>80</v>
      </c>
    </row>
    <row r="992" spans="2:23" x14ac:dyDescent="0.2">
      <c r="B992">
        <f t="shared" ca="1" si="15"/>
        <v>0</v>
      </c>
      <c r="E992">
        <v>1</v>
      </c>
      <c r="F992" t="s">
        <v>32</v>
      </c>
      <c r="I992" t="s">
        <v>39</v>
      </c>
      <c r="J992" t="s">
        <v>44</v>
      </c>
      <c r="M992" t="s">
        <v>54</v>
      </c>
      <c r="N992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2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2" t="s">
        <v>57</v>
      </c>
      <c r="Q992" t="s">
        <v>59</v>
      </c>
      <c r="R992" t="s">
        <v>59</v>
      </c>
      <c r="S992" t="s">
        <v>59</v>
      </c>
      <c r="T992" t="s">
        <v>59</v>
      </c>
      <c r="V992" t="s">
        <v>59</v>
      </c>
      <c r="W992" t="s">
        <v>80</v>
      </c>
    </row>
    <row r="993" spans="2:23" x14ac:dyDescent="0.2">
      <c r="B993">
        <f t="shared" ca="1" si="15"/>
        <v>0</v>
      </c>
      <c r="E993">
        <v>1</v>
      </c>
      <c r="F993" t="s">
        <v>32</v>
      </c>
      <c r="I993" t="s">
        <v>39</v>
      </c>
      <c r="J993" t="s">
        <v>44</v>
      </c>
      <c r="M993" t="s">
        <v>54</v>
      </c>
      <c r="N993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3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3" t="s">
        <v>57</v>
      </c>
      <c r="Q993" t="s">
        <v>59</v>
      </c>
      <c r="R993" t="s">
        <v>59</v>
      </c>
      <c r="S993" t="s">
        <v>59</v>
      </c>
      <c r="T993" t="s">
        <v>59</v>
      </c>
      <c r="V993" t="s">
        <v>59</v>
      </c>
      <c r="W993" t="s">
        <v>80</v>
      </c>
    </row>
    <row r="994" spans="2:23" x14ac:dyDescent="0.2">
      <c r="B994">
        <f t="shared" ca="1" si="15"/>
        <v>0</v>
      </c>
      <c r="E994">
        <v>1</v>
      </c>
      <c r="F994" t="s">
        <v>32</v>
      </c>
      <c r="I994" t="s">
        <v>39</v>
      </c>
      <c r="J994" t="s">
        <v>44</v>
      </c>
      <c r="M994" t="s">
        <v>54</v>
      </c>
      <c r="N994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4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4" t="s">
        <v>57</v>
      </c>
      <c r="Q994" t="s">
        <v>59</v>
      </c>
      <c r="R994" t="s">
        <v>59</v>
      </c>
      <c r="S994" t="s">
        <v>59</v>
      </c>
      <c r="T994" t="s">
        <v>59</v>
      </c>
      <c r="V994" t="s">
        <v>59</v>
      </c>
      <c r="W994" t="s">
        <v>80</v>
      </c>
    </row>
    <row r="995" spans="2:23" x14ac:dyDescent="0.2">
      <c r="B995">
        <f t="shared" ca="1" si="15"/>
        <v>0</v>
      </c>
      <c r="E995">
        <v>1</v>
      </c>
      <c r="F995" t="s">
        <v>32</v>
      </c>
      <c r="I995" t="s">
        <v>39</v>
      </c>
      <c r="J995" t="s">
        <v>44</v>
      </c>
      <c r="M995" t="s">
        <v>54</v>
      </c>
      <c r="N995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5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5" t="s">
        <v>57</v>
      </c>
      <c r="Q995" t="s">
        <v>59</v>
      </c>
      <c r="R995" t="s">
        <v>59</v>
      </c>
      <c r="S995" t="s">
        <v>59</v>
      </c>
      <c r="T995" t="s">
        <v>59</v>
      </c>
      <c r="V995" t="s">
        <v>59</v>
      </c>
      <c r="W995" t="s">
        <v>80</v>
      </c>
    </row>
    <row r="996" spans="2:23" x14ac:dyDescent="0.2">
      <c r="B996">
        <f t="shared" ca="1" si="15"/>
        <v>0</v>
      </c>
      <c r="E996">
        <v>1</v>
      </c>
      <c r="F996" t="s">
        <v>32</v>
      </c>
      <c r="I996" t="s">
        <v>39</v>
      </c>
      <c r="J996" t="s">
        <v>44</v>
      </c>
      <c r="M996" t="s">
        <v>54</v>
      </c>
      <c r="N996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6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6" t="s">
        <v>57</v>
      </c>
      <c r="Q996" t="s">
        <v>59</v>
      </c>
      <c r="R996" t="s">
        <v>59</v>
      </c>
      <c r="S996" t="s">
        <v>59</v>
      </c>
      <c r="T996" t="s">
        <v>59</v>
      </c>
      <c r="V996" t="s">
        <v>59</v>
      </c>
      <c r="W996" t="s">
        <v>80</v>
      </c>
    </row>
    <row r="997" spans="2:23" x14ac:dyDescent="0.2">
      <c r="B997">
        <f t="shared" ca="1" si="15"/>
        <v>0</v>
      </c>
      <c r="E997">
        <v>1</v>
      </c>
      <c r="F997" t="s">
        <v>32</v>
      </c>
      <c r="I997" t="s">
        <v>39</v>
      </c>
      <c r="J997" t="s">
        <v>44</v>
      </c>
      <c r="M997" t="s">
        <v>54</v>
      </c>
      <c r="N997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7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7" t="s">
        <v>57</v>
      </c>
      <c r="Q997" t="s">
        <v>59</v>
      </c>
      <c r="R997" t="s">
        <v>59</v>
      </c>
      <c r="S997" t="s">
        <v>59</v>
      </c>
      <c r="T997" t="s">
        <v>59</v>
      </c>
      <c r="V997" t="s">
        <v>59</v>
      </c>
      <c r="W997" t="s">
        <v>80</v>
      </c>
    </row>
    <row r="998" spans="2:23" x14ac:dyDescent="0.2">
      <c r="B998">
        <f t="shared" ca="1" si="15"/>
        <v>0</v>
      </c>
      <c r="E998">
        <v>1</v>
      </c>
      <c r="F998" t="s">
        <v>32</v>
      </c>
      <c r="I998" t="s">
        <v>39</v>
      </c>
      <c r="J998" t="s">
        <v>44</v>
      </c>
      <c r="M998" t="s">
        <v>54</v>
      </c>
      <c r="N998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8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8" t="s">
        <v>57</v>
      </c>
      <c r="Q998" t="s">
        <v>59</v>
      </c>
      <c r="R998" t="s">
        <v>59</v>
      </c>
      <c r="S998" t="s">
        <v>59</v>
      </c>
      <c r="T998" t="s">
        <v>59</v>
      </c>
      <c r="V998" t="s">
        <v>59</v>
      </c>
      <c r="W998" t="s">
        <v>80</v>
      </c>
    </row>
    <row r="999" spans="2:23" x14ac:dyDescent="0.2">
      <c r="B999">
        <f t="shared" ca="1" si="15"/>
        <v>0</v>
      </c>
      <c r="E999">
        <v>1</v>
      </c>
      <c r="F999" t="s">
        <v>32</v>
      </c>
      <c r="I999" t="s">
        <v>39</v>
      </c>
      <c r="J999" t="s">
        <v>44</v>
      </c>
      <c r="M999" t="s">
        <v>54</v>
      </c>
      <c r="N999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999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999" t="s">
        <v>57</v>
      </c>
      <c r="Q999" t="s">
        <v>59</v>
      </c>
      <c r="R999" t="s">
        <v>59</v>
      </c>
      <c r="S999" t="s">
        <v>59</v>
      </c>
      <c r="T999" t="s">
        <v>59</v>
      </c>
      <c r="V999" t="s">
        <v>59</v>
      </c>
      <c r="W999" t="s">
        <v>80</v>
      </c>
    </row>
    <row r="1000" spans="2:23" x14ac:dyDescent="0.2">
      <c r="B1000">
        <f t="shared" ca="1" si="15"/>
        <v>0</v>
      </c>
      <c r="E1000">
        <v>1</v>
      </c>
      <c r="F1000" t="s">
        <v>32</v>
      </c>
      <c r="I1000" t="s">
        <v>39</v>
      </c>
      <c r="J1000" t="s">
        <v>44</v>
      </c>
      <c r="M1000" t="s">
        <v>54</v>
      </c>
      <c r="N1000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00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00" t="s">
        <v>57</v>
      </c>
      <c r="Q1000" t="s">
        <v>59</v>
      </c>
      <c r="R1000" t="s">
        <v>59</v>
      </c>
      <c r="S1000" t="s">
        <v>59</v>
      </c>
      <c r="T1000" t="s">
        <v>59</v>
      </c>
      <c r="V1000" t="s">
        <v>59</v>
      </c>
      <c r="W1000" t="s">
        <v>80</v>
      </c>
    </row>
    <row r="1001" spans="2:23" x14ac:dyDescent="0.2">
      <c r="B1001">
        <f t="shared" ca="1" si="15"/>
        <v>0</v>
      </c>
      <c r="E1001">
        <v>1</v>
      </c>
      <c r="F1001" t="s">
        <v>32</v>
      </c>
      <c r="I1001" t="s">
        <v>39</v>
      </c>
      <c r="J1001" t="s">
        <v>44</v>
      </c>
      <c r="M1001" t="s">
        <v>54</v>
      </c>
      <c r="N1001" t="str">
        <f ca="1">IF(AND(INDIRECT(ADDRESS(ROW() + (0),COLUMN() + (-1)))="Premium", COUNTIF(INDIRECT(ADDRESS(ROW() + (0),1)):INDIRECT(ADDRESS(ROW() + (0),COLUMN() + (-1))), "*Mercado Libre*")), "18%", IF(AND(INDIRECT(ADDRESS(ROW() + (0),COLUMN() + (-1)))="Clásica", COUNTIF(INDIRECT(ADDRESS(ROW() + (0),1)):INDIRECT(ADDRESS(ROW() + (0),COLUMN() + (-1))), "*Mercado Libre*")), "14%", "-"))</f>
        <v>14%</v>
      </c>
      <c r="O1001" t="str">
        <f ca="1">IF(AND(INDIRECT(ADDRESS(ROW() + (0),COLUMN() + (-2)))="Premium", COUNTIF(INDIRECT(ADDRESS(ROW() + (0),1)):INDIRECT(ADDRESS(ROW() + (0),COLUMN() + (-2))), "*Mercado Shops*")), "14.3%", IF(AND(INDIRECT(ADDRESS(ROW() + (0),COLUMN() + (-2)))="Clásica", COUNTIF(INDIRECT(ADDRESS(ROW() + (0),1)):INDIRECT(ADDRESS(ROW() + (0),COLUMN() + (-2))), "*Mercado Shops*")), "2%", "-"))</f>
        <v>2%</v>
      </c>
      <c r="P1001" t="s">
        <v>57</v>
      </c>
      <c r="Q1001" t="s">
        <v>59</v>
      </c>
      <c r="R1001" t="s">
        <v>59</v>
      </c>
      <c r="S1001" t="s">
        <v>59</v>
      </c>
      <c r="T1001" t="s">
        <v>59</v>
      </c>
      <c r="V1001" t="s">
        <v>59</v>
      </c>
      <c r="W1001" t="s">
        <v>80</v>
      </c>
    </row>
  </sheetData>
  <mergeCells count="19">
    <mergeCell ref="A1:B1"/>
    <mergeCell ref="A2:B2"/>
    <mergeCell ref="A4:B5"/>
    <mergeCell ref="C1:E2"/>
    <mergeCell ref="C4:C5"/>
    <mergeCell ref="W1:X2"/>
    <mergeCell ref="W4:W5"/>
    <mergeCell ref="G6:H6"/>
    <mergeCell ref="M1:V2"/>
    <mergeCell ref="U4:U5"/>
    <mergeCell ref="V4:V5"/>
    <mergeCell ref="N3:O3"/>
    <mergeCell ref="Q3:R3"/>
    <mergeCell ref="Q5:R5"/>
    <mergeCell ref="F1:L2"/>
    <mergeCell ref="J4:J5"/>
    <mergeCell ref="K4:K5"/>
    <mergeCell ref="G3:I3"/>
    <mergeCell ref="G5:H5"/>
  </mergeCells>
  <conditionalFormatting sqref="A7:A1001">
    <cfRule type="expression" dxfId="21" priority="1">
      <formula>LEN(INDIRECT(ADDRESS(ROW(),COLUMN()))) &gt; 60</formula>
    </cfRule>
  </conditionalFormatting>
  <conditionalFormatting sqref="B7:B1001">
    <cfRule type="expression" dxfId="20" priority="2">
      <formula>LEN(INDIRECT(ADDRESS(ROW() + (0),COLUMN() + (-1)))) &gt; 60</formula>
    </cfRule>
  </conditionalFormatting>
  <conditionalFormatting sqref="F7:F1001">
    <cfRule type="expression" dxfId="19" priority="3">
      <formula>LEN(INDIRECT(ADDRESS(ROW(),COLUMN()))) &lt; 1</formula>
    </cfRule>
  </conditionalFormatting>
  <conditionalFormatting sqref="G7:G1001">
    <cfRule type="expression" dxfId="18" priority="4">
      <formula>LEN(INDIRECT(ADDRESS((ROW()),(1)))) = 0</formula>
    </cfRule>
  </conditionalFormatting>
  <conditionalFormatting sqref="G7:G1001">
    <cfRule type="expression" dxfId="17" priority="5">
      <formula>COUNTIF(INDIRECT(ADDRESS(ROW()+(0),COLUMN()+(-1))),"*Mercado Libre*")=0</formula>
    </cfRule>
  </conditionalFormatting>
  <conditionalFormatting sqref="G7:G1001">
    <cfRule type="expression" dxfId="16" priority="6">
      <formula>LEN(INDIRECT(ADDRESS(ROW(),COLUMN()))) = 0</formula>
    </cfRule>
  </conditionalFormatting>
  <conditionalFormatting sqref="H7:H1001">
    <cfRule type="expression" dxfId="15" priority="7">
      <formula>LEN(INDIRECT(ADDRESS((ROW()),(1)))) = 0</formula>
    </cfRule>
  </conditionalFormatting>
  <conditionalFormatting sqref="H7:H1001">
    <cfRule type="expression" dxfId="14" priority="8">
      <formula>COUNTIF(INDIRECT(ADDRESS(ROW()+(0),COLUMN()+(-2))),"*Mercado Shops*")=0</formula>
    </cfRule>
  </conditionalFormatting>
  <conditionalFormatting sqref="H7:H1001">
    <cfRule type="expression" dxfId="13" priority="9">
      <formula>AND(COUNTIF(INDIRECT(ADDRESS(ROW()+(0),COLUMN()+(-2))),"Mercado Libre y Mercado Shops")=1,COUNTIF(INDIRECT(ADDRESS(ROW()+(0),COLUMN()+(1))),"Vincular")=1)</formula>
    </cfRule>
  </conditionalFormatting>
  <conditionalFormatting sqref="H7:H1001">
    <cfRule type="expression" dxfId="12" priority="10">
      <formula>LEN(INDIRECT(ADDRESS(ROW(),COLUMN()))) = 0</formula>
    </cfRule>
  </conditionalFormatting>
  <conditionalFormatting sqref="I7:I1001">
    <cfRule type="expression" dxfId="11" priority="11">
      <formula>LEN(INDIRECT(ADDRESS((ROW()),(1)))) = 0</formula>
    </cfRule>
  </conditionalFormatting>
  <conditionalFormatting sqref="I7:I1001">
    <cfRule type="expression" dxfId="10" priority="12">
      <formula>COUNTIF(INDIRECT(ADDRESS(ROW()+(0),COLUMN()+(-3))),"Mercado Libre y Mercado Shops")=0</formula>
    </cfRule>
  </conditionalFormatting>
  <conditionalFormatting sqref="J7:J1001">
    <cfRule type="expression" dxfId="9" priority="13">
      <formula>LEN(INDIRECT(ADDRESS(ROW(),COLUMN()))) &lt; 1</formula>
    </cfRule>
  </conditionalFormatting>
  <conditionalFormatting sqref="N7:N1001">
    <cfRule type="expression" dxfId="8" priority="14">
      <formula>TRUE</formula>
    </cfRule>
  </conditionalFormatting>
  <conditionalFormatting sqref="O7:O1001">
    <cfRule type="expression" dxfId="7" priority="15">
      <formula>TRUE</formula>
    </cfRule>
  </conditionalFormatting>
  <conditionalFormatting sqref="Q7:Q10001">
    <cfRule type="cellIs" dxfId="6" priority="16" operator="equal">
      <formula>"Seleccionar"</formula>
    </cfRule>
  </conditionalFormatting>
  <conditionalFormatting sqref="R7:R10001">
    <cfRule type="cellIs" dxfId="5" priority="17" operator="equal">
      <formula>"Seleccionar"</formula>
    </cfRule>
  </conditionalFormatting>
  <conditionalFormatting sqref="S7:S10001">
    <cfRule type="cellIs" dxfId="4" priority="18" operator="equal">
      <formula>"Seleccionar"</formula>
    </cfRule>
  </conditionalFormatting>
  <conditionalFormatting sqref="T7:T10001">
    <cfRule type="cellIs" dxfId="3" priority="19" operator="equal">
      <formula>"Seleccionar"</formula>
    </cfRule>
  </conditionalFormatting>
  <conditionalFormatting sqref="U7:U1001">
    <cfRule type="expression" dxfId="2" priority="20">
      <formula>ISTEXT(INDIRECT(ADDRESS(ROW(),COLUMN())))</formula>
    </cfRule>
  </conditionalFormatting>
  <conditionalFormatting sqref="V7:V10001">
    <cfRule type="cellIs" dxfId="1" priority="21" operator="equal">
      <formula>"Seleccionar"</formula>
    </cfRule>
  </conditionalFormatting>
  <conditionalFormatting sqref="W7:W10001">
    <cfRule type="cellIs" dxfId="0" priority="22" operator="equal">
      <formula>"Escribe o elige un valor"</formula>
    </cfRule>
  </conditionalFormatting>
  <dataValidations count="6">
    <dataValidation type="textLength" operator="lessThanOrEqual" allowBlank="1" showInputMessage="1" sqref="A7:A10001" xr:uid="{00000000-0002-0000-0200-000000000000}">
      <formula1>60</formula1>
    </dataValidation>
    <dataValidation type="textLength" operator="lessThanOrEqual" allowBlank="1" showInputMessage="1" sqref="D7:D10001 X7:X10001" xr:uid="{00000000-0002-0000-0200-000001000000}">
      <formula1>255</formula1>
    </dataValidation>
    <dataValidation type="decimal" allowBlank="1" showInputMessage="1" sqref="E7:E10001" xr:uid="{00000000-0002-0000-0200-000002000000}">
      <formula1>0</formula1>
      <formula2>99999</formula2>
    </dataValidation>
    <dataValidation type="decimal" operator="greaterThan" allowBlank="1" showInputMessage="1" sqref="G7:H10001" xr:uid="{00000000-0002-0000-0200-000004000000}">
      <formula1>0</formula1>
    </dataValidation>
    <dataValidation type="textLength" operator="lessThanOrEqual" allowBlank="1" showInputMessage="1" sqref="K7:K10001" xr:uid="{00000000-0002-0000-0200-000008000000}">
      <formula1>50000</formula1>
    </dataValidation>
    <dataValidation type="decimal" allowBlank="1" showInputMessage="1" sqref="U7:U10001" xr:uid="{00000000-0002-0000-0200-00000F000000}">
      <formula1>-2147483648</formula1>
      <formula2>2147483647</formula2>
    </dataValidation>
  </dataValidations>
  <hyperlinks>
    <hyperlink ref="C6" r:id="rId1" xr:uid="{00000000-0004-0000-0200-000000000000}"/>
    <hyperlink ref="J6" r:id="rId2" xr:uid="{00000000-0004-0000-0200-000001000000}"/>
  </hyperlinks>
  <pageMargins left="0.7" right="0.7" top="0.75" bottom="0.75" header="0.3" footer="0.3"/>
  <ignoredErrors>
    <ignoredError sqref="A367:A10001 B7:B10001 C366:C10001 D366:D10001 F7:F10001 I8:I10001 J366:J10001 K366:K10001 L7:L10001 M7:M10001 N7:N10001 O7:O10001 P7:P10001 Q366:Q10001 R366:R10001 S366:S10001 T366:T10001 V366:V10001 W366:W10001 X366:X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200-000003000000}">
          <x14:formula1>
            <xm:f>'extra info'!$A$2:$C$2</xm:f>
          </x14:formula1>
          <xm:sqref>F7:F10001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I7:I10001</xm:sqref>
        </x14:dataValidation>
        <x14:dataValidation type="list" allowBlank="1" showInputMessage="1" showErrorMessage="1" xr:uid="{00000000-0002-0000-0200-000007000000}">
          <x14:formula1>
            <xm:f>'extra info'!$A$4:$C$4</xm:f>
          </x14:formula1>
          <xm:sqref>J7:J10001</xm:sqref>
        </x14:dataValidation>
        <x14:dataValidation type="list" allowBlank="1" showInputMessage="1" showErrorMessage="1" xr:uid="{00000000-0002-0000-0200-000009000000}">
          <x14:formula1>
            <xm:f>'extra info'!$A$5:$B$5</xm:f>
          </x14:formula1>
          <xm:sqref>M7:M10001</xm:sqref>
        </x14:dataValidation>
        <x14:dataValidation type="list" allowBlank="1" showInputMessage="1" showErrorMessage="1" xr:uid="{00000000-0002-0000-0200-00000A000000}">
          <x14:formula1>
            <xm:f>'extra info'!$A$6:$A$6</xm:f>
          </x14:formula1>
          <xm:sqref>P7:P10001</xm:sqref>
        </x14:dataValidation>
        <x14:dataValidation type="list" allowBlank="1" showInputMessage="1" showErrorMessage="1" xr:uid="{00000000-0002-0000-0200-00000B000000}">
          <x14:formula1>
            <xm:f>'extra info'!$A$7:$C$7</xm:f>
          </x14:formula1>
          <xm:sqref>Q7:Q10001</xm:sqref>
        </x14:dataValidation>
        <x14:dataValidation type="list" allowBlank="1" showInputMessage="1" showErrorMessage="1" xr:uid="{00000000-0002-0000-0200-00000C000000}">
          <x14:formula1>
            <xm:f>'extra info'!$A$8:$C$8</xm:f>
          </x14:formula1>
          <xm:sqref>R7:R10001</xm:sqref>
        </x14:dataValidation>
        <x14:dataValidation type="list" allowBlank="1" showInputMessage="1" showErrorMessage="1" xr:uid="{00000000-0002-0000-0200-00000D000000}">
          <x14:formula1>
            <xm:f>'extra info'!$A$9:$C$9</xm:f>
          </x14:formula1>
          <xm:sqref>S7:S10001</xm:sqref>
        </x14:dataValidation>
        <x14:dataValidation type="list" allowBlank="1" showInputMessage="1" showErrorMessage="1" xr:uid="{00000000-0002-0000-0200-00000E000000}">
          <x14:formula1>
            <xm:f>'extra info'!$A$10:$D$10</xm:f>
          </x14:formula1>
          <xm:sqref>T7:T10001</xm:sqref>
        </x14:dataValidation>
        <x14:dataValidation type="list" allowBlank="1" showInputMessage="1" showErrorMessage="1" xr:uid="{00000000-0002-0000-0200-000010000000}">
          <x14:formula1>
            <xm:f>'extra info'!$A$11:$D$11</xm:f>
          </x14:formula1>
          <xm:sqref>V7:V10001</xm:sqref>
        </x14:dataValidation>
        <x14:dataValidation type="list" allowBlank="1" showInputMessage="1" xr:uid="{00000000-0002-0000-0200-000011000000}">
          <x14:formula1>
            <xm:f>'extra info'!$A$12:$F$12</xm:f>
          </x14:formula1>
          <xm:sqref>W7:W10001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2BF5-983A-488F-8900-001EA06AAD8F}">
  <sheetPr codeName="Hoja4"/>
  <dimension ref="A1:AA360"/>
  <sheetViews>
    <sheetView topLeftCell="A341" workbookViewId="0">
      <selection activeCell="C360" sqref="C360"/>
    </sheetView>
  </sheetViews>
  <sheetFormatPr baseColWidth="10" defaultRowHeight="12.75" x14ac:dyDescent="0.2"/>
  <sheetData>
    <row r="1" spans="1:27" x14ac:dyDescent="0.2">
      <c r="A1" t="s">
        <v>89</v>
      </c>
      <c r="B1" t="s">
        <v>90</v>
      </c>
      <c r="C1" t="s">
        <v>91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105</v>
      </c>
      <c r="R1" t="s">
        <v>106</v>
      </c>
      <c r="S1" t="s">
        <v>107</v>
      </c>
      <c r="T1" t="s">
        <v>108</v>
      </c>
      <c r="U1" t="s">
        <v>109</v>
      </c>
      <c r="V1" t="s">
        <v>110</v>
      </c>
      <c r="W1" t="s">
        <v>111</v>
      </c>
      <c r="X1" t="s">
        <v>112</v>
      </c>
      <c r="Y1" t="s">
        <v>113</v>
      </c>
      <c r="Z1" t="s">
        <v>114</v>
      </c>
      <c r="AA1" t="s">
        <v>115</v>
      </c>
    </row>
    <row r="2" spans="1:27" x14ac:dyDescent="0.2">
      <c r="A2" t="s">
        <v>116</v>
      </c>
      <c r="B2" t="s">
        <v>117</v>
      </c>
      <c r="C2" t="s">
        <v>118</v>
      </c>
      <c r="D2" t="s">
        <v>119</v>
      </c>
      <c r="E2" t="s">
        <v>119</v>
      </c>
      <c r="G2" t="s">
        <v>118</v>
      </c>
      <c r="I2" t="s">
        <v>120</v>
      </c>
      <c r="K2" t="s">
        <v>121</v>
      </c>
      <c r="L2" t="s">
        <v>122</v>
      </c>
      <c r="M2" t="s">
        <v>123</v>
      </c>
      <c r="N2" t="s">
        <v>124</v>
      </c>
      <c r="O2" t="s">
        <v>124</v>
      </c>
      <c r="P2" t="s">
        <v>125</v>
      </c>
      <c r="Q2" t="s">
        <v>126</v>
      </c>
      <c r="R2" t="s">
        <v>126</v>
      </c>
      <c r="S2" t="s">
        <v>126</v>
      </c>
      <c r="T2" t="s">
        <v>126</v>
      </c>
      <c r="U2" t="s">
        <v>126</v>
      </c>
      <c r="V2" t="s">
        <v>126</v>
      </c>
      <c r="W2" t="s">
        <v>126</v>
      </c>
      <c r="X2" t="s">
        <v>126</v>
      </c>
      <c r="Y2" t="s">
        <v>126</v>
      </c>
      <c r="Z2" t="s">
        <v>127</v>
      </c>
      <c r="AA2" t="s">
        <v>127</v>
      </c>
    </row>
    <row r="3" spans="1:27" x14ac:dyDescent="0.2">
      <c r="A3" t="s">
        <v>128</v>
      </c>
      <c r="B3" t="s">
        <v>129</v>
      </c>
      <c r="C3" t="s">
        <v>118</v>
      </c>
      <c r="D3" t="s">
        <v>119</v>
      </c>
      <c r="E3" t="s">
        <v>119</v>
      </c>
      <c r="G3" t="s">
        <v>118</v>
      </c>
      <c r="I3" t="s">
        <v>120</v>
      </c>
      <c r="K3" t="s">
        <v>130</v>
      </c>
      <c r="L3" t="s">
        <v>131</v>
      </c>
      <c r="M3" t="s">
        <v>132</v>
      </c>
      <c r="N3" t="s">
        <v>133</v>
      </c>
      <c r="O3" t="s">
        <v>134</v>
      </c>
      <c r="P3" t="s">
        <v>126</v>
      </c>
      <c r="Q3" t="s">
        <v>126</v>
      </c>
      <c r="R3" t="s">
        <v>126</v>
      </c>
      <c r="S3" t="s">
        <v>126</v>
      </c>
      <c r="T3" t="s">
        <v>126</v>
      </c>
      <c r="U3" t="s">
        <v>126</v>
      </c>
      <c r="V3" t="s">
        <v>126</v>
      </c>
      <c r="W3" t="s">
        <v>126</v>
      </c>
      <c r="X3" t="s">
        <v>126</v>
      </c>
      <c r="Y3" t="s">
        <v>126</v>
      </c>
      <c r="Z3" t="s">
        <v>135</v>
      </c>
      <c r="AA3" t="s">
        <v>136</v>
      </c>
    </row>
    <row r="4" spans="1:27" x14ac:dyDescent="0.2">
      <c r="A4" t="s">
        <v>137</v>
      </c>
      <c r="B4" t="s">
        <v>138</v>
      </c>
      <c r="C4" t="s">
        <v>118</v>
      </c>
      <c r="D4" t="s">
        <v>119</v>
      </c>
      <c r="E4" t="s">
        <v>119</v>
      </c>
      <c r="G4" t="s">
        <v>118</v>
      </c>
      <c r="I4" t="s">
        <v>120</v>
      </c>
      <c r="K4" t="s">
        <v>139</v>
      </c>
      <c r="L4" t="s">
        <v>140</v>
      </c>
      <c r="M4" t="s">
        <v>141</v>
      </c>
      <c r="N4" t="s">
        <v>142</v>
      </c>
      <c r="O4" t="s">
        <v>143</v>
      </c>
      <c r="P4" t="s">
        <v>126</v>
      </c>
      <c r="Q4" t="s">
        <v>126</v>
      </c>
      <c r="R4" t="s">
        <v>126</v>
      </c>
      <c r="S4" t="s">
        <v>126</v>
      </c>
      <c r="T4" t="s">
        <v>144</v>
      </c>
      <c r="U4" t="s">
        <v>126</v>
      </c>
      <c r="V4" t="s">
        <v>144</v>
      </c>
      <c r="W4" t="s">
        <v>126</v>
      </c>
      <c r="X4" t="s">
        <v>126</v>
      </c>
      <c r="Y4" t="s">
        <v>126</v>
      </c>
      <c r="Z4" t="s">
        <v>145</v>
      </c>
      <c r="AA4" t="s">
        <v>146</v>
      </c>
    </row>
    <row r="5" spans="1:27" x14ac:dyDescent="0.2">
      <c r="A5" t="s">
        <v>147</v>
      </c>
      <c r="B5" t="s">
        <v>148</v>
      </c>
      <c r="C5" t="s">
        <v>118</v>
      </c>
      <c r="D5" t="s">
        <v>119</v>
      </c>
      <c r="E5" t="s">
        <v>119</v>
      </c>
      <c r="G5" t="s">
        <v>118</v>
      </c>
      <c r="I5" t="s">
        <v>120</v>
      </c>
      <c r="K5" t="s">
        <v>149</v>
      </c>
      <c r="L5" t="s">
        <v>150</v>
      </c>
      <c r="M5" t="s">
        <v>151</v>
      </c>
      <c r="N5" t="s">
        <v>152</v>
      </c>
      <c r="O5" t="s">
        <v>153</v>
      </c>
      <c r="P5" t="s">
        <v>126</v>
      </c>
      <c r="Q5" t="s">
        <v>126</v>
      </c>
      <c r="R5" t="s">
        <v>126</v>
      </c>
      <c r="S5" t="s">
        <v>126</v>
      </c>
      <c r="T5" t="s">
        <v>125</v>
      </c>
      <c r="U5" t="s">
        <v>126</v>
      </c>
      <c r="V5" t="s">
        <v>125</v>
      </c>
      <c r="W5" t="s">
        <v>126</v>
      </c>
      <c r="X5" t="s">
        <v>126</v>
      </c>
      <c r="Y5" t="s">
        <v>126</v>
      </c>
      <c r="Z5" t="s">
        <v>154</v>
      </c>
      <c r="AA5" t="s">
        <v>155</v>
      </c>
    </row>
    <row r="6" spans="1:27" x14ac:dyDescent="0.2">
      <c r="A6" t="s">
        <v>156</v>
      </c>
      <c r="B6" t="s">
        <v>157</v>
      </c>
      <c r="D6" t="s">
        <v>119</v>
      </c>
      <c r="E6" t="s">
        <v>119</v>
      </c>
      <c r="G6" t="s">
        <v>118</v>
      </c>
      <c r="I6" t="s">
        <v>120</v>
      </c>
      <c r="K6" t="s">
        <v>158</v>
      </c>
      <c r="L6" t="s">
        <v>159</v>
      </c>
      <c r="M6" t="s">
        <v>160</v>
      </c>
      <c r="N6" t="s">
        <v>161</v>
      </c>
      <c r="O6" t="s">
        <v>162</v>
      </c>
      <c r="P6" t="s">
        <v>125</v>
      </c>
      <c r="Q6" t="s">
        <v>126</v>
      </c>
      <c r="R6" t="s">
        <v>126</v>
      </c>
      <c r="S6" t="s">
        <v>126</v>
      </c>
      <c r="V6" t="s">
        <v>126</v>
      </c>
      <c r="Y6" t="s">
        <v>126</v>
      </c>
      <c r="Z6" t="s">
        <v>163</v>
      </c>
      <c r="AA6" t="s">
        <v>164</v>
      </c>
    </row>
    <row r="7" spans="1:27" x14ac:dyDescent="0.2">
      <c r="A7" t="s">
        <v>165</v>
      </c>
      <c r="B7" t="s">
        <v>166</v>
      </c>
      <c r="C7" t="s">
        <v>118</v>
      </c>
      <c r="D7" t="s">
        <v>119</v>
      </c>
      <c r="E7" t="s">
        <v>119</v>
      </c>
      <c r="G7" t="s">
        <v>118</v>
      </c>
      <c r="I7" t="s">
        <v>120</v>
      </c>
      <c r="K7" t="s">
        <v>158</v>
      </c>
      <c r="L7" t="s">
        <v>159</v>
      </c>
      <c r="M7" t="s">
        <v>167</v>
      </c>
      <c r="N7" t="s">
        <v>168</v>
      </c>
      <c r="O7" t="s">
        <v>133</v>
      </c>
      <c r="P7" t="s">
        <v>126</v>
      </c>
      <c r="Q7" t="s">
        <v>126</v>
      </c>
      <c r="R7" t="s">
        <v>126</v>
      </c>
      <c r="S7" t="s">
        <v>126</v>
      </c>
      <c r="T7" t="s">
        <v>169</v>
      </c>
      <c r="U7" t="s">
        <v>126</v>
      </c>
      <c r="V7" t="s">
        <v>169</v>
      </c>
      <c r="W7" t="s">
        <v>126</v>
      </c>
      <c r="X7" t="s">
        <v>126</v>
      </c>
      <c r="Y7" t="s">
        <v>126</v>
      </c>
      <c r="Z7" t="s">
        <v>170</v>
      </c>
      <c r="AA7" t="s">
        <v>135</v>
      </c>
    </row>
    <row r="8" spans="1:27" x14ac:dyDescent="0.2">
      <c r="A8" t="s">
        <v>171</v>
      </c>
      <c r="B8" t="s">
        <v>172</v>
      </c>
      <c r="C8" t="s">
        <v>118</v>
      </c>
      <c r="D8" t="s">
        <v>119</v>
      </c>
      <c r="E8" t="s">
        <v>119</v>
      </c>
      <c r="G8" t="s">
        <v>118</v>
      </c>
      <c r="I8" t="s">
        <v>120</v>
      </c>
      <c r="K8" t="s">
        <v>173</v>
      </c>
      <c r="L8" t="s">
        <v>174</v>
      </c>
      <c r="M8" t="s">
        <v>175</v>
      </c>
      <c r="N8" t="s">
        <v>176</v>
      </c>
      <c r="O8" t="s">
        <v>177</v>
      </c>
      <c r="P8" t="s">
        <v>126</v>
      </c>
      <c r="Q8" t="s">
        <v>126</v>
      </c>
      <c r="R8" t="s">
        <v>126</v>
      </c>
      <c r="S8" t="s">
        <v>126</v>
      </c>
      <c r="T8" t="s">
        <v>125</v>
      </c>
      <c r="U8" t="s">
        <v>126</v>
      </c>
      <c r="V8" t="s">
        <v>125</v>
      </c>
      <c r="W8" t="s">
        <v>126</v>
      </c>
      <c r="X8" t="s">
        <v>126</v>
      </c>
      <c r="Y8" t="s">
        <v>126</v>
      </c>
      <c r="Z8" t="s">
        <v>178</v>
      </c>
      <c r="AA8" t="s">
        <v>179</v>
      </c>
    </row>
    <row r="9" spans="1:27" x14ac:dyDescent="0.2">
      <c r="A9" t="s">
        <v>180</v>
      </c>
      <c r="B9" t="s">
        <v>181</v>
      </c>
      <c r="C9" t="s">
        <v>118</v>
      </c>
      <c r="D9" t="s">
        <v>119</v>
      </c>
      <c r="E9" t="s">
        <v>119</v>
      </c>
      <c r="G9" t="s">
        <v>118</v>
      </c>
      <c r="I9" t="s">
        <v>120</v>
      </c>
      <c r="K9" t="s">
        <v>182</v>
      </c>
      <c r="L9" t="s">
        <v>183</v>
      </c>
      <c r="M9" t="s">
        <v>184</v>
      </c>
      <c r="N9" t="s">
        <v>185</v>
      </c>
      <c r="O9" t="s">
        <v>186</v>
      </c>
      <c r="P9" t="s">
        <v>126</v>
      </c>
      <c r="Q9" t="s">
        <v>126</v>
      </c>
      <c r="R9" t="s">
        <v>126</v>
      </c>
      <c r="S9" t="s">
        <v>126</v>
      </c>
      <c r="T9" t="s">
        <v>126</v>
      </c>
      <c r="U9" t="s">
        <v>126</v>
      </c>
      <c r="V9" t="s">
        <v>126</v>
      </c>
      <c r="W9" t="s">
        <v>126</v>
      </c>
      <c r="X9" t="s">
        <v>126</v>
      </c>
      <c r="Y9" t="s">
        <v>126</v>
      </c>
      <c r="Z9" t="s">
        <v>187</v>
      </c>
      <c r="AA9" t="s">
        <v>188</v>
      </c>
    </row>
    <row r="10" spans="1:27" x14ac:dyDescent="0.2">
      <c r="A10" t="s">
        <v>189</v>
      </c>
      <c r="B10" t="s">
        <v>190</v>
      </c>
      <c r="C10" t="s">
        <v>118</v>
      </c>
      <c r="D10" t="s">
        <v>119</v>
      </c>
      <c r="E10" t="s">
        <v>119</v>
      </c>
      <c r="G10" t="s">
        <v>118</v>
      </c>
      <c r="I10" t="s">
        <v>120</v>
      </c>
      <c r="K10" t="s">
        <v>121</v>
      </c>
      <c r="L10" t="s">
        <v>122</v>
      </c>
      <c r="M10" t="s">
        <v>191</v>
      </c>
      <c r="N10" t="s">
        <v>192</v>
      </c>
      <c r="O10" t="s">
        <v>193</v>
      </c>
      <c r="P10" t="s">
        <v>126</v>
      </c>
      <c r="Q10" t="s">
        <v>126</v>
      </c>
      <c r="R10" t="s">
        <v>126</v>
      </c>
      <c r="S10" t="s">
        <v>126</v>
      </c>
      <c r="T10" t="s">
        <v>126</v>
      </c>
      <c r="U10" t="s">
        <v>126</v>
      </c>
      <c r="V10" t="s">
        <v>126</v>
      </c>
      <c r="W10" t="s">
        <v>126</v>
      </c>
      <c r="X10" t="s">
        <v>126</v>
      </c>
      <c r="Y10" t="s">
        <v>126</v>
      </c>
      <c r="Z10" t="s">
        <v>194</v>
      </c>
      <c r="AA10" t="s">
        <v>195</v>
      </c>
    </row>
    <row r="11" spans="1:27" x14ac:dyDescent="0.2">
      <c r="A11" t="s">
        <v>196</v>
      </c>
      <c r="B11" t="s">
        <v>197</v>
      </c>
      <c r="C11" t="s">
        <v>118</v>
      </c>
      <c r="D11" t="s">
        <v>119</v>
      </c>
      <c r="E11" t="s">
        <v>119</v>
      </c>
      <c r="G11" t="s">
        <v>118</v>
      </c>
      <c r="I11" t="s">
        <v>120</v>
      </c>
      <c r="K11" t="s">
        <v>149</v>
      </c>
      <c r="L11" t="s">
        <v>150</v>
      </c>
      <c r="M11" t="s">
        <v>198</v>
      </c>
      <c r="N11" t="s">
        <v>142</v>
      </c>
      <c r="O11" t="s">
        <v>199</v>
      </c>
      <c r="P11" t="s">
        <v>126</v>
      </c>
      <c r="Q11" t="s">
        <v>126</v>
      </c>
      <c r="R11" t="s">
        <v>126</v>
      </c>
      <c r="S11" t="s">
        <v>126</v>
      </c>
      <c r="T11" t="s">
        <v>200</v>
      </c>
      <c r="U11" t="s">
        <v>126</v>
      </c>
      <c r="V11" t="s">
        <v>200</v>
      </c>
      <c r="W11" t="s">
        <v>126</v>
      </c>
      <c r="X11" t="s">
        <v>126</v>
      </c>
      <c r="Y11" t="s">
        <v>126</v>
      </c>
      <c r="Z11" t="s">
        <v>145</v>
      </c>
      <c r="AA11" t="s">
        <v>201</v>
      </c>
    </row>
    <row r="12" spans="1:27" x14ac:dyDescent="0.2">
      <c r="A12" t="s">
        <v>202</v>
      </c>
      <c r="B12" t="s">
        <v>203</v>
      </c>
      <c r="C12" t="s">
        <v>118</v>
      </c>
      <c r="D12" t="s">
        <v>119</v>
      </c>
      <c r="E12" t="s">
        <v>119</v>
      </c>
      <c r="G12" t="s">
        <v>118</v>
      </c>
      <c r="I12" t="s">
        <v>120</v>
      </c>
      <c r="K12" t="s">
        <v>204</v>
      </c>
      <c r="L12" t="s">
        <v>205</v>
      </c>
      <c r="M12" t="s">
        <v>206</v>
      </c>
      <c r="N12" t="s">
        <v>207</v>
      </c>
      <c r="O12" t="s">
        <v>208</v>
      </c>
      <c r="P12" t="s">
        <v>125</v>
      </c>
      <c r="Q12" t="s">
        <v>126</v>
      </c>
      <c r="R12" t="s">
        <v>126</v>
      </c>
      <c r="S12" t="s">
        <v>126</v>
      </c>
      <c r="T12" t="s">
        <v>126</v>
      </c>
      <c r="U12" t="s">
        <v>126</v>
      </c>
      <c r="V12" t="s">
        <v>126</v>
      </c>
      <c r="W12" t="s">
        <v>126</v>
      </c>
      <c r="X12" t="s">
        <v>126</v>
      </c>
      <c r="Y12" t="s">
        <v>126</v>
      </c>
      <c r="Z12" t="s">
        <v>209</v>
      </c>
      <c r="AA12" t="s">
        <v>210</v>
      </c>
    </row>
    <row r="13" spans="1:27" x14ac:dyDescent="0.2">
      <c r="A13" t="s">
        <v>211</v>
      </c>
      <c r="B13" t="s">
        <v>212</v>
      </c>
      <c r="C13" t="s">
        <v>118</v>
      </c>
      <c r="D13" t="s">
        <v>119</v>
      </c>
      <c r="E13" t="s">
        <v>119</v>
      </c>
      <c r="G13" t="s">
        <v>118</v>
      </c>
      <c r="I13" t="s">
        <v>120</v>
      </c>
      <c r="K13" t="s">
        <v>149</v>
      </c>
      <c r="L13" t="s">
        <v>150</v>
      </c>
      <c r="M13" t="s">
        <v>213</v>
      </c>
      <c r="N13" t="s">
        <v>153</v>
      </c>
      <c r="O13" t="s">
        <v>214</v>
      </c>
      <c r="P13" t="s">
        <v>126</v>
      </c>
      <c r="Q13" t="s">
        <v>126</v>
      </c>
      <c r="R13" t="s">
        <v>126</v>
      </c>
      <c r="S13" t="s">
        <v>126</v>
      </c>
      <c r="T13" t="s">
        <v>200</v>
      </c>
      <c r="U13" t="s">
        <v>126</v>
      </c>
      <c r="V13" t="s">
        <v>200</v>
      </c>
      <c r="W13" t="s">
        <v>126</v>
      </c>
      <c r="X13" t="s">
        <v>126</v>
      </c>
      <c r="Y13" t="s">
        <v>126</v>
      </c>
      <c r="Z13" t="s">
        <v>155</v>
      </c>
      <c r="AA13" t="s">
        <v>215</v>
      </c>
    </row>
    <row r="14" spans="1:27" x14ac:dyDescent="0.2">
      <c r="A14" t="s">
        <v>216</v>
      </c>
      <c r="B14" t="s">
        <v>217</v>
      </c>
      <c r="D14" t="s">
        <v>119</v>
      </c>
      <c r="E14" t="s">
        <v>119</v>
      </c>
      <c r="G14" t="s">
        <v>118</v>
      </c>
      <c r="I14" t="s">
        <v>120</v>
      </c>
      <c r="K14" t="s">
        <v>158</v>
      </c>
      <c r="L14" t="s">
        <v>159</v>
      </c>
      <c r="M14" t="s">
        <v>218</v>
      </c>
      <c r="N14" t="s">
        <v>219</v>
      </c>
      <c r="O14" t="s">
        <v>220</v>
      </c>
      <c r="P14" t="s">
        <v>125</v>
      </c>
      <c r="Q14" t="s">
        <v>126</v>
      </c>
      <c r="R14" t="s">
        <v>126</v>
      </c>
      <c r="S14" t="s">
        <v>126</v>
      </c>
      <c r="V14" t="s">
        <v>126</v>
      </c>
      <c r="Y14" t="s">
        <v>126</v>
      </c>
      <c r="Z14" t="s">
        <v>221</v>
      </c>
      <c r="AA14" t="s">
        <v>222</v>
      </c>
    </row>
    <row r="15" spans="1:27" x14ac:dyDescent="0.2">
      <c r="A15" t="s">
        <v>223</v>
      </c>
      <c r="B15" t="s">
        <v>224</v>
      </c>
      <c r="C15" t="s">
        <v>118</v>
      </c>
      <c r="D15" t="s">
        <v>119</v>
      </c>
      <c r="E15" t="s">
        <v>119</v>
      </c>
      <c r="G15" t="s">
        <v>118</v>
      </c>
      <c r="I15" t="s">
        <v>120</v>
      </c>
      <c r="K15" t="s">
        <v>204</v>
      </c>
      <c r="L15" t="s">
        <v>205</v>
      </c>
      <c r="M15" t="s">
        <v>225</v>
      </c>
      <c r="N15" t="s">
        <v>226</v>
      </c>
      <c r="O15" t="s">
        <v>227</v>
      </c>
      <c r="P15" t="s">
        <v>126</v>
      </c>
      <c r="Q15" t="s">
        <v>126</v>
      </c>
      <c r="R15" t="s">
        <v>126</v>
      </c>
      <c r="S15" t="s">
        <v>126</v>
      </c>
      <c r="T15" t="s">
        <v>125</v>
      </c>
      <c r="U15" t="s">
        <v>126</v>
      </c>
      <c r="V15" t="s">
        <v>125</v>
      </c>
      <c r="W15" t="s">
        <v>126</v>
      </c>
      <c r="X15" t="s">
        <v>126</v>
      </c>
      <c r="Y15" t="s">
        <v>126</v>
      </c>
      <c r="Z15" t="s">
        <v>228</v>
      </c>
      <c r="AA15" t="s">
        <v>229</v>
      </c>
    </row>
    <row r="16" spans="1:27" x14ac:dyDescent="0.2">
      <c r="A16" t="s">
        <v>230</v>
      </c>
      <c r="B16" t="s">
        <v>231</v>
      </c>
      <c r="C16" t="s">
        <v>118</v>
      </c>
      <c r="D16" t="s">
        <v>119</v>
      </c>
      <c r="E16" t="s">
        <v>119</v>
      </c>
      <c r="G16" t="s">
        <v>118</v>
      </c>
      <c r="I16" t="s">
        <v>120</v>
      </c>
      <c r="K16" t="s">
        <v>232</v>
      </c>
      <c r="L16" t="s">
        <v>233</v>
      </c>
      <c r="M16" t="s">
        <v>234</v>
      </c>
      <c r="N16" t="s">
        <v>235</v>
      </c>
      <c r="O16" t="s">
        <v>236</v>
      </c>
      <c r="P16" t="s">
        <v>126</v>
      </c>
      <c r="Q16" t="s">
        <v>126</v>
      </c>
      <c r="R16" t="s">
        <v>126</v>
      </c>
      <c r="S16" t="s">
        <v>126</v>
      </c>
      <c r="T16" t="s">
        <v>169</v>
      </c>
      <c r="U16" t="s">
        <v>126</v>
      </c>
      <c r="V16" t="s">
        <v>169</v>
      </c>
      <c r="W16" t="s">
        <v>126</v>
      </c>
      <c r="X16" t="s">
        <v>126</v>
      </c>
      <c r="Y16" t="s">
        <v>126</v>
      </c>
      <c r="Z16" t="s">
        <v>237</v>
      </c>
      <c r="AA16" t="s">
        <v>238</v>
      </c>
    </row>
    <row r="17" spans="1:27" x14ac:dyDescent="0.2">
      <c r="A17" t="s">
        <v>239</v>
      </c>
      <c r="B17" t="s">
        <v>240</v>
      </c>
      <c r="C17" t="s">
        <v>118</v>
      </c>
      <c r="D17" t="s">
        <v>119</v>
      </c>
      <c r="E17" t="s">
        <v>119</v>
      </c>
      <c r="G17" t="s">
        <v>118</v>
      </c>
      <c r="I17" t="s">
        <v>120</v>
      </c>
      <c r="K17" t="s">
        <v>158</v>
      </c>
      <c r="L17" t="s">
        <v>159</v>
      </c>
      <c r="M17" t="s">
        <v>241</v>
      </c>
      <c r="N17" t="s">
        <v>242</v>
      </c>
      <c r="O17" t="s">
        <v>243</v>
      </c>
      <c r="P17" t="s">
        <v>125</v>
      </c>
      <c r="Q17" t="s">
        <v>126</v>
      </c>
      <c r="R17" t="s">
        <v>126</v>
      </c>
      <c r="S17" t="s">
        <v>126</v>
      </c>
      <c r="T17" t="s">
        <v>126</v>
      </c>
      <c r="U17" t="s">
        <v>126</v>
      </c>
      <c r="V17" t="s">
        <v>126</v>
      </c>
      <c r="W17" t="s">
        <v>126</v>
      </c>
      <c r="X17" t="s">
        <v>126</v>
      </c>
      <c r="Y17" t="s">
        <v>126</v>
      </c>
      <c r="Z17" t="s">
        <v>244</v>
      </c>
      <c r="AA17" t="s">
        <v>245</v>
      </c>
    </row>
    <row r="18" spans="1:27" x14ac:dyDescent="0.2">
      <c r="A18" t="s">
        <v>246</v>
      </c>
      <c r="B18" t="s">
        <v>247</v>
      </c>
      <c r="C18" t="s">
        <v>118</v>
      </c>
      <c r="D18" t="s">
        <v>119</v>
      </c>
      <c r="E18" t="s">
        <v>119</v>
      </c>
      <c r="G18" t="s">
        <v>118</v>
      </c>
      <c r="I18" t="s">
        <v>120</v>
      </c>
      <c r="K18" t="s">
        <v>149</v>
      </c>
      <c r="L18" t="s">
        <v>150</v>
      </c>
      <c r="M18" t="s">
        <v>248</v>
      </c>
      <c r="N18" t="s">
        <v>249</v>
      </c>
      <c r="O18" t="s">
        <v>226</v>
      </c>
      <c r="P18" t="s">
        <v>126</v>
      </c>
      <c r="Q18" t="s">
        <v>126</v>
      </c>
      <c r="R18" t="s">
        <v>126</v>
      </c>
      <c r="S18" t="s">
        <v>126</v>
      </c>
      <c r="T18" t="s">
        <v>126</v>
      </c>
      <c r="U18" t="s">
        <v>126</v>
      </c>
      <c r="V18" t="s">
        <v>126</v>
      </c>
      <c r="W18" t="s">
        <v>126</v>
      </c>
      <c r="X18" t="s">
        <v>126</v>
      </c>
      <c r="Y18" t="s">
        <v>126</v>
      </c>
      <c r="Z18" t="s">
        <v>250</v>
      </c>
      <c r="AA18" t="s">
        <v>228</v>
      </c>
    </row>
    <row r="19" spans="1:27" x14ac:dyDescent="0.2">
      <c r="A19" t="s">
        <v>251</v>
      </c>
      <c r="B19" t="s">
        <v>252</v>
      </c>
      <c r="C19" t="s">
        <v>118</v>
      </c>
      <c r="D19" t="s">
        <v>119</v>
      </c>
      <c r="E19" t="s">
        <v>119</v>
      </c>
      <c r="G19" t="s">
        <v>118</v>
      </c>
      <c r="I19" t="s">
        <v>120</v>
      </c>
      <c r="K19" t="s">
        <v>204</v>
      </c>
      <c r="L19" t="s">
        <v>205</v>
      </c>
      <c r="M19" t="s">
        <v>253</v>
      </c>
      <c r="N19" t="s">
        <v>235</v>
      </c>
      <c r="O19" t="s">
        <v>236</v>
      </c>
      <c r="P19" t="s">
        <v>126</v>
      </c>
      <c r="Q19" t="s">
        <v>126</v>
      </c>
      <c r="R19" t="s">
        <v>126</v>
      </c>
      <c r="S19" t="s">
        <v>126</v>
      </c>
      <c r="T19" t="s">
        <v>126</v>
      </c>
      <c r="U19" t="s">
        <v>126</v>
      </c>
      <c r="V19" t="s">
        <v>126</v>
      </c>
      <c r="W19" t="s">
        <v>126</v>
      </c>
      <c r="X19" t="s">
        <v>126</v>
      </c>
      <c r="Y19" t="s">
        <v>126</v>
      </c>
      <c r="Z19" t="s">
        <v>237</v>
      </c>
      <c r="AA19" t="s">
        <v>238</v>
      </c>
    </row>
    <row r="20" spans="1:27" x14ac:dyDescent="0.2">
      <c r="A20" t="s">
        <v>254</v>
      </c>
      <c r="B20" t="s">
        <v>255</v>
      </c>
      <c r="C20" t="s">
        <v>118</v>
      </c>
      <c r="D20" t="s">
        <v>119</v>
      </c>
      <c r="E20" t="s">
        <v>119</v>
      </c>
      <c r="G20" t="s">
        <v>118</v>
      </c>
      <c r="I20" t="s">
        <v>120</v>
      </c>
      <c r="K20" t="s">
        <v>232</v>
      </c>
      <c r="L20" t="s">
        <v>233</v>
      </c>
      <c r="M20" t="s">
        <v>256</v>
      </c>
      <c r="N20" t="s">
        <v>133</v>
      </c>
      <c r="O20" t="s">
        <v>257</v>
      </c>
      <c r="P20" t="s">
        <v>126</v>
      </c>
      <c r="Q20" t="s">
        <v>126</v>
      </c>
      <c r="R20" t="s">
        <v>126</v>
      </c>
      <c r="S20" t="s">
        <v>126</v>
      </c>
      <c r="T20" t="s">
        <v>200</v>
      </c>
      <c r="U20" t="s">
        <v>126</v>
      </c>
      <c r="V20" t="s">
        <v>200</v>
      </c>
      <c r="W20" t="s">
        <v>126</v>
      </c>
      <c r="X20" t="s">
        <v>126</v>
      </c>
      <c r="Y20" t="s">
        <v>126</v>
      </c>
      <c r="Z20" t="s">
        <v>135</v>
      </c>
      <c r="AA20" t="s">
        <v>258</v>
      </c>
    </row>
    <row r="21" spans="1:27" x14ac:dyDescent="0.2">
      <c r="A21" t="s">
        <v>259</v>
      </c>
      <c r="B21" t="s">
        <v>260</v>
      </c>
      <c r="C21" t="s">
        <v>118</v>
      </c>
      <c r="D21" t="s">
        <v>119</v>
      </c>
      <c r="E21" t="s">
        <v>119</v>
      </c>
      <c r="G21" t="s">
        <v>118</v>
      </c>
      <c r="I21" t="s">
        <v>120</v>
      </c>
      <c r="K21" t="s">
        <v>149</v>
      </c>
      <c r="L21" t="s">
        <v>150</v>
      </c>
      <c r="M21" t="s">
        <v>261</v>
      </c>
      <c r="N21" t="s">
        <v>262</v>
      </c>
      <c r="O21" t="s">
        <v>263</v>
      </c>
      <c r="P21" t="s">
        <v>126</v>
      </c>
      <c r="Q21" t="s">
        <v>126</v>
      </c>
      <c r="R21" t="s">
        <v>126</v>
      </c>
      <c r="S21" t="s">
        <v>126</v>
      </c>
      <c r="T21" t="s">
        <v>264</v>
      </c>
      <c r="U21" t="s">
        <v>126</v>
      </c>
      <c r="V21" t="s">
        <v>264</v>
      </c>
      <c r="W21" t="s">
        <v>126</v>
      </c>
      <c r="X21" t="s">
        <v>126</v>
      </c>
      <c r="Y21" t="s">
        <v>126</v>
      </c>
      <c r="Z21" t="s">
        <v>265</v>
      </c>
      <c r="AA21" t="s">
        <v>266</v>
      </c>
    </row>
    <row r="22" spans="1:27" x14ac:dyDescent="0.2">
      <c r="A22" t="s">
        <v>267</v>
      </c>
      <c r="B22" t="s">
        <v>268</v>
      </c>
      <c r="C22" t="s">
        <v>118</v>
      </c>
      <c r="D22" t="s">
        <v>119</v>
      </c>
      <c r="E22" t="s">
        <v>119</v>
      </c>
      <c r="G22" t="s">
        <v>118</v>
      </c>
      <c r="I22" t="s">
        <v>120</v>
      </c>
      <c r="K22" t="s">
        <v>149</v>
      </c>
      <c r="L22" t="s">
        <v>150</v>
      </c>
      <c r="M22" t="s">
        <v>269</v>
      </c>
      <c r="N22" t="s">
        <v>226</v>
      </c>
      <c r="O22" t="s">
        <v>236</v>
      </c>
      <c r="P22" t="s">
        <v>126</v>
      </c>
      <c r="Q22" t="s">
        <v>126</v>
      </c>
      <c r="R22" t="s">
        <v>126</v>
      </c>
      <c r="S22" t="s">
        <v>126</v>
      </c>
      <c r="T22" t="s">
        <v>200</v>
      </c>
      <c r="U22" t="s">
        <v>126</v>
      </c>
      <c r="V22" t="s">
        <v>200</v>
      </c>
      <c r="W22" t="s">
        <v>126</v>
      </c>
      <c r="X22" t="s">
        <v>126</v>
      </c>
      <c r="Y22" t="s">
        <v>126</v>
      </c>
      <c r="Z22" t="s">
        <v>228</v>
      </c>
      <c r="AA22" t="s">
        <v>238</v>
      </c>
    </row>
    <row r="23" spans="1:27" x14ac:dyDescent="0.2">
      <c r="A23" t="s">
        <v>270</v>
      </c>
      <c r="B23" t="s">
        <v>271</v>
      </c>
      <c r="C23" t="s">
        <v>118</v>
      </c>
      <c r="D23" t="s">
        <v>119</v>
      </c>
      <c r="E23" t="s">
        <v>119</v>
      </c>
      <c r="G23" t="s">
        <v>118</v>
      </c>
      <c r="I23" t="s">
        <v>120</v>
      </c>
      <c r="K23" t="s">
        <v>173</v>
      </c>
      <c r="L23" t="s">
        <v>174</v>
      </c>
      <c r="M23" t="s">
        <v>272</v>
      </c>
      <c r="N23" t="s">
        <v>273</v>
      </c>
      <c r="O23" t="s">
        <v>274</v>
      </c>
      <c r="P23" t="s">
        <v>126</v>
      </c>
      <c r="Q23" t="s">
        <v>126</v>
      </c>
      <c r="R23" t="s">
        <v>126</v>
      </c>
      <c r="S23" t="s">
        <v>126</v>
      </c>
      <c r="T23" t="s">
        <v>125</v>
      </c>
      <c r="U23" t="s">
        <v>126</v>
      </c>
      <c r="V23" t="s">
        <v>125</v>
      </c>
      <c r="W23" t="s">
        <v>126</v>
      </c>
      <c r="X23" t="s">
        <v>126</v>
      </c>
      <c r="Y23" t="s">
        <v>126</v>
      </c>
      <c r="Z23" t="s">
        <v>275</v>
      </c>
      <c r="AA23" t="s">
        <v>276</v>
      </c>
    </row>
    <row r="24" spans="1:27" x14ac:dyDescent="0.2">
      <c r="A24" t="s">
        <v>277</v>
      </c>
      <c r="B24" t="s">
        <v>278</v>
      </c>
      <c r="C24" t="s">
        <v>118</v>
      </c>
      <c r="D24" t="s">
        <v>119</v>
      </c>
      <c r="E24" t="s">
        <v>119</v>
      </c>
      <c r="G24" t="s">
        <v>118</v>
      </c>
      <c r="I24" t="s">
        <v>120</v>
      </c>
      <c r="K24" t="s">
        <v>149</v>
      </c>
      <c r="L24" t="s">
        <v>150</v>
      </c>
      <c r="M24" t="s">
        <v>279</v>
      </c>
      <c r="N24" t="s">
        <v>280</v>
      </c>
      <c r="O24" t="s">
        <v>281</v>
      </c>
      <c r="P24" t="s">
        <v>126</v>
      </c>
      <c r="Q24" t="s">
        <v>126</v>
      </c>
      <c r="R24" t="s">
        <v>126</v>
      </c>
      <c r="S24" t="s">
        <v>126</v>
      </c>
      <c r="T24" t="s">
        <v>200</v>
      </c>
      <c r="U24" t="s">
        <v>126</v>
      </c>
      <c r="V24" t="s">
        <v>200</v>
      </c>
      <c r="W24" t="s">
        <v>126</v>
      </c>
      <c r="X24" t="s">
        <v>126</v>
      </c>
      <c r="Y24" t="s">
        <v>126</v>
      </c>
      <c r="Z24" t="s">
        <v>282</v>
      </c>
      <c r="AA24" t="s">
        <v>283</v>
      </c>
    </row>
    <row r="25" spans="1:27" x14ac:dyDescent="0.2">
      <c r="A25" t="s">
        <v>284</v>
      </c>
      <c r="B25" t="s">
        <v>285</v>
      </c>
      <c r="C25" t="s">
        <v>118</v>
      </c>
      <c r="D25" t="s">
        <v>119</v>
      </c>
      <c r="E25" t="s">
        <v>119</v>
      </c>
      <c r="G25" t="s">
        <v>118</v>
      </c>
      <c r="I25" t="s">
        <v>120</v>
      </c>
      <c r="K25" t="s">
        <v>149</v>
      </c>
      <c r="L25" t="s">
        <v>150</v>
      </c>
      <c r="M25" t="s">
        <v>286</v>
      </c>
      <c r="N25" t="s">
        <v>176</v>
      </c>
      <c r="O25" t="s">
        <v>287</v>
      </c>
      <c r="P25" t="s">
        <v>126</v>
      </c>
      <c r="Q25" t="s">
        <v>126</v>
      </c>
      <c r="R25" t="s">
        <v>126</v>
      </c>
      <c r="S25" t="s">
        <v>126</v>
      </c>
      <c r="T25" t="s">
        <v>125</v>
      </c>
      <c r="U25" t="s">
        <v>126</v>
      </c>
      <c r="V25" t="s">
        <v>125</v>
      </c>
      <c r="W25" t="s">
        <v>126</v>
      </c>
      <c r="X25" t="s">
        <v>126</v>
      </c>
      <c r="Y25" t="s">
        <v>126</v>
      </c>
      <c r="Z25" t="s">
        <v>178</v>
      </c>
      <c r="AA25" t="s">
        <v>288</v>
      </c>
    </row>
    <row r="26" spans="1:27" x14ac:dyDescent="0.2">
      <c r="A26" t="s">
        <v>289</v>
      </c>
      <c r="B26" t="s">
        <v>290</v>
      </c>
      <c r="C26" t="s">
        <v>118</v>
      </c>
      <c r="D26" t="s">
        <v>119</v>
      </c>
      <c r="E26" t="s">
        <v>119</v>
      </c>
      <c r="G26" t="s">
        <v>118</v>
      </c>
      <c r="I26" t="s">
        <v>120</v>
      </c>
      <c r="K26" t="s">
        <v>291</v>
      </c>
      <c r="L26" t="s">
        <v>292</v>
      </c>
      <c r="M26" t="s">
        <v>293</v>
      </c>
      <c r="N26" t="s">
        <v>162</v>
      </c>
      <c r="O26" t="s">
        <v>294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164</v>
      </c>
      <c r="AA26" t="s">
        <v>295</v>
      </c>
    </row>
    <row r="27" spans="1:27" x14ac:dyDescent="0.2">
      <c r="A27" t="s">
        <v>296</v>
      </c>
      <c r="B27" t="s">
        <v>297</v>
      </c>
      <c r="C27" t="s">
        <v>118</v>
      </c>
      <c r="D27" t="s">
        <v>119</v>
      </c>
      <c r="E27" t="s">
        <v>119</v>
      </c>
      <c r="G27" t="s">
        <v>118</v>
      </c>
      <c r="I27" t="s">
        <v>120</v>
      </c>
      <c r="K27" t="s">
        <v>149</v>
      </c>
      <c r="L27" t="s">
        <v>150</v>
      </c>
      <c r="M27" t="s">
        <v>298</v>
      </c>
      <c r="N27" t="s">
        <v>299</v>
      </c>
      <c r="O27" t="s">
        <v>300</v>
      </c>
      <c r="P27" t="s">
        <v>126</v>
      </c>
      <c r="Q27" t="s">
        <v>126</v>
      </c>
      <c r="R27" t="s">
        <v>126</v>
      </c>
      <c r="S27" t="s">
        <v>126</v>
      </c>
      <c r="T27" t="s">
        <v>301</v>
      </c>
      <c r="U27" t="s">
        <v>126</v>
      </c>
      <c r="V27" t="s">
        <v>301</v>
      </c>
      <c r="W27" t="s">
        <v>126</v>
      </c>
      <c r="X27" t="s">
        <v>126</v>
      </c>
      <c r="Y27" t="s">
        <v>126</v>
      </c>
      <c r="Z27" t="s">
        <v>302</v>
      </c>
      <c r="AA27" t="s">
        <v>303</v>
      </c>
    </row>
    <row r="28" spans="1:27" x14ac:dyDescent="0.2">
      <c r="A28" t="s">
        <v>304</v>
      </c>
      <c r="B28" t="s">
        <v>305</v>
      </c>
      <c r="C28" t="s">
        <v>118</v>
      </c>
      <c r="D28" t="s">
        <v>119</v>
      </c>
      <c r="E28" t="s">
        <v>119</v>
      </c>
      <c r="G28" t="s">
        <v>118</v>
      </c>
      <c r="I28" t="s">
        <v>120</v>
      </c>
      <c r="K28" t="s">
        <v>158</v>
      </c>
      <c r="L28" t="s">
        <v>159</v>
      </c>
      <c r="M28" t="s">
        <v>306</v>
      </c>
      <c r="N28" t="s">
        <v>307</v>
      </c>
      <c r="O28" t="s">
        <v>308</v>
      </c>
      <c r="P28" t="s">
        <v>126</v>
      </c>
      <c r="Q28" t="s">
        <v>126</v>
      </c>
      <c r="R28" t="s">
        <v>126</v>
      </c>
      <c r="S28" t="s">
        <v>126</v>
      </c>
      <c r="T28" t="s">
        <v>264</v>
      </c>
      <c r="U28" t="s">
        <v>126</v>
      </c>
      <c r="V28" t="s">
        <v>264</v>
      </c>
      <c r="W28" t="s">
        <v>126</v>
      </c>
      <c r="X28" t="s">
        <v>126</v>
      </c>
      <c r="Y28" t="s">
        <v>126</v>
      </c>
      <c r="Z28" t="s">
        <v>309</v>
      </c>
      <c r="AA28" t="s">
        <v>310</v>
      </c>
    </row>
    <row r="29" spans="1:27" x14ac:dyDescent="0.2">
      <c r="A29" t="s">
        <v>311</v>
      </c>
      <c r="B29" t="s">
        <v>312</v>
      </c>
      <c r="C29" t="s">
        <v>118</v>
      </c>
      <c r="D29" t="s">
        <v>119</v>
      </c>
      <c r="E29" t="s">
        <v>119</v>
      </c>
      <c r="G29" t="s">
        <v>118</v>
      </c>
      <c r="I29" t="s">
        <v>120</v>
      </c>
      <c r="K29" t="s">
        <v>149</v>
      </c>
      <c r="L29" t="s">
        <v>150</v>
      </c>
      <c r="M29" t="s">
        <v>313</v>
      </c>
      <c r="N29" t="s">
        <v>314</v>
      </c>
      <c r="O29" t="s">
        <v>227</v>
      </c>
      <c r="P29" t="s">
        <v>126</v>
      </c>
      <c r="Q29" t="s">
        <v>126</v>
      </c>
      <c r="R29" t="s">
        <v>126</v>
      </c>
      <c r="S29" t="s">
        <v>126</v>
      </c>
      <c r="T29" t="s">
        <v>126</v>
      </c>
      <c r="U29" t="s">
        <v>126</v>
      </c>
      <c r="V29" t="s">
        <v>126</v>
      </c>
      <c r="W29" t="s">
        <v>126</v>
      </c>
      <c r="X29" t="s">
        <v>126</v>
      </c>
      <c r="Y29" t="s">
        <v>126</v>
      </c>
      <c r="Z29" t="s">
        <v>315</v>
      </c>
      <c r="AA29" t="s">
        <v>229</v>
      </c>
    </row>
    <row r="30" spans="1:27" x14ac:dyDescent="0.2">
      <c r="A30" t="s">
        <v>316</v>
      </c>
      <c r="B30" t="s">
        <v>317</v>
      </c>
      <c r="C30" t="s">
        <v>118</v>
      </c>
      <c r="D30" t="s">
        <v>119</v>
      </c>
      <c r="E30" t="s">
        <v>119</v>
      </c>
      <c r="G30" t="s">
        <v>118</v>
      </c>
      <c r="I30" t="s">
        <v>120</v>
      </c>
      <c r="K30" t="s">
        <v>204</v>
      </c>
      <c r="L30" t="s">
        <v>205</v>
      </c>
      <c r="M30" t="s">
        <v>318</v>
      </c>
      <c r="N30" t="s">
        <v>133</v>
      </c>
      <c r="O30" t="s">
        <v>257</v>
      </c>
      <c r="P30" t="s">
        <v>126</v>
      </c>
      <c r="Q30" t="s">
        <v>126</v>
      </c>
      <c r="R30" t="s">
        <v>126</v>
      </c>
      <c r="S30" t="s">
        <v>126</v>
      </c>
      <c r="T30" t="s">
        <v>126</v>
      </c>
      <c r="U30" t="s">
        <v>126</v>
      </c>
      <c r="V30" t="s">
        <v>126</v>
      </c>
      <c r="W30" t="s">
        <v>126</v>
      </c>
      <c r="X30" t="s">
        <v>126</v>
      </c>
      <c r="Y30" t="s">
        <v>126</v>
      </c>
      <c r="Z30" t="s">
        <v>135</v>
      </c>
      <c r="AA30" t="s">
        <v>258</v>
      </c>
    </row>
    <row r="31" spans="1:27" x14ac:dyDescent="0.2">
      <c r="A31" t="s">
        <v>319</v>
      </c>
      <c r="B31" t="s">
        <v>320</v>
      </c>
      <c r="C31" t="s">
        <v>118</v>
      </c>
      <c r="D31" t="s">
        <v>119</v>
      </c>
      <c r="E31" t="s">
        <v>119</v>
      </c>
      <c r="G31" t="s">
        <v>118</v>
      </c>
      <c r="I31" t="s">
        <v>120</v>
      </c>
      <c r="K31" t="s">
        <v>204</v>
      </c>
      <c r="L31" t="s">
        <v>205</v>
      </c>
      <c r="M31" t="s">
        <v>321</v>
      </c>
      <c r="N31" t="s">
        <v>322</v>
      </c>
      <c r="O31" t="s">
        <v>323</v>
      </c>
      <c r="P31" t="s">
        <v>126</v>
      </c>
      <c r="Q31" t="s">
        <v>126</v>
      </c>
      <c r="R31" t="s">
        <v>126</v>
      </c>
      <c r="S31" t="s">
        <v>126</v>
      </c>
      <c r="T31" t="s">
        <v>125</v>
      </c>
      <c r="U31" t="s">
        <v>126</v>
      </c>
      <c r="V31" t="s">
        <v>125</v>
      </c>
      <c r="W31" t="s">
        <v>126</v>
      </c>
      <c r="X31" t="s">
        <v>126</v>
      </c>
      <c r="Y31" t="s">
        <v>126</v>
      </c>
      <c r="Z31" t="s">
        <v>324</v>
      </c>
      <c r="AA31" t="s">
        <v>325</v>
      </c>
    </row>
    <row r="32" spans="1:27" x14ac:dyDescent="0.2">
      <c r="A32" t="s">
        <v>326</v>
      </c>
      <c r="B32" t="s">
        <v>327</v>
      </c>
      <c r="C32" t="s">
        <v>118</v>
      </c>
      <c r="D32" t="s">
        <v>119</v>
      </c>
      <c r="E32" t="s">
        <v>119</v>
      </c>
      <c r="G32" t="s">
        <v>118</v>
      </c>
      <c r="I32" t="s">
        <v>120</v>
      </c>
      <c r="K32" t="s">
        <v>204</v>
      </c>
      <c r="L32" t="s">
        <v>205</v>
      </c>
      <c r="M32" t="s">
        <v>328</v>
      </c>
      <c r="N32" t="s">
        <v>329</v>
      </c>
      <c r="O32" t="s">
        <v>323</v>
      </c>
      <c r="P32" t="s">
        <v>126</v>
      </c>
      <c r="Q32" t="s">
        <v>126</v>
      </c>
      <c r="R32" t="s">
        <v>126</v>
      </c>
      <c r="S32" t="s">
        <v>126</v>
      </c>
      <c r="T32" t="s">
        <v>169</v>
      </c>
      <c r="U32" t="s">
        <v>126</v>
      </c>
      <c r="V32" t="s">
        <v>169</v>
      </c>
      <c r="W32" t="s">
        <v>126</v>
      </c>
      <c r="X32" t="s">
        <v>126</v>
      </c>
      <c r="Y32" t="s">
        <v>126</v>
      </c>
      <c r="Z32" t="s">
        <v>330</v>
      </c>
      <c r="AA32" t="s">
        <v>325</v>
      </c>
    </row>
    <row r="33" spans="1:27" x14ac:dyDescent="0.2">
      <c r="A33" t="s">
        <v>333</v>
      </c>
      <c r="B33" t="s">
        <v>334</v>
      </c>
      <c r="C33" t="s">
        <v>118</v>
      </c>
      <c r="D33" t="s">
        <v>119</v>
      </c>
      <c r="E33" t="s">
        <v>119</v>
      </c>
      <c r="G33" t="s">
        <v>118</v>
      </c>
      <c r="I33" t="s">
        <v>120</v>
      </c>
      <c r="K33" t="s">
        <v>182</v>
      </c>
      <c r="L33" t="s">
        <v>183</v>
      </c>
      <c r="M33" t="s">
        <v>335</v>
      </c>
      <c r="N33" t="s">
        <v>336</v>
      </c>
      <c r="O33" t="s">
        <v>337</v>
      </c>
      <c r="P33" t="s">
        <v>126</v>
      </c>
      <c r="Q33" t="s">
        <v>126</v>
      </c>
      <c r="R33" t="s">
        <v>126</v>
      </c>
      <c r="S33" t="s">
        <v>126</v>
      </c>
      <c r="T33" t="s">
        <v>169</v>
      </c>
      <c r="U33" t="s">
        <v>126</v>
      </c>
      <c r="V33" t="s">
        <v>169</v>
      </c>
      <c r="W33" t="s">
        <v>126</v>
      </c>
      <c r="X33" t="s">
        <v>126</v>
      </c>
      <c r="Y33" t="s">
        <v>126</v>
      </c>
      <c r="Z33" t="s">
        <v>338</v>
      </c>
      <c r="AA33" t="s">
        <v>339</v>
      </c>
    </row>
    <row r="34" spans="1:27" x14ac:dyDescent="0.2">
      <c r="A34" t="s">
        <v>340</v>
      </c>
      <c r="B34" t="s">
        <v>341</v>
      </c>
      <c r="C34" t="s">
        <v>118</v>
      </c>
      <c r="D34" t="s">
        <v>119</v>
      </c>
      <c r="E34" t="s">
        <v>119</v>
      </c>
      <c r="G34" t="s">
        <v>118</v>
      </c>
      <c r="I34" t="s">
        <v>120</v>
      </c>
      <c r="K34" t="s">
        <v>204</v>
      </c>
      <c r="L34" t="s">
        <v>205</v>
      </c>
      <c r="M34" t="s">
        <v>342</v>
      </c>
      <c r="N34" t="s">
        <v>263</v>
      </c>
      <c r="O34" t="s">
        <v>343</v>
      </c>
      <c r="P34" t="s">
        <v>126</v>
      </c>
      <c r="Q34" t="s">
        <v>126</v>
      </c>
      <c r="R34" t="s">
        <v>126</v>
      </c>
      <c r="S34" t="s">
        <v>126</v>
      </c>
      <c r="T34" t="s">
        <v>126</v>
      </c>
      <c r="U34" t="s">
        <v>126</v>
      </c>
      <c r="V34" t="s">
        <v>126</v>
      </c>
      <c r="W34" t="s">
        <v>126</v>
      </c>
      <c r="X34" t="s">
        <v>126</v>
      </c>
      <c r="Y34" t="s">
        <v>126</v>
      </c>
      <c r="Z34" t="s">
        <v>266</v>
      </c>
      <c r="AA34" t="s">
        <v>344</v>
      </c>
    </row>
    <row r="35" spans="1:27" x14ac:dyDescent="0.2">
      <c r="A35" t="s">
        <v>345</v>
      </c>
      <c r="B35" t="s">
        <v>346</v>
      </c>
      <c r="C35" t="s">
        <v>118</v>
      </c>
      <c r="D35" t="s">
        <v>119</v>
      </c>
      <c r="E35" t="s">
        <v>119</v>
      </c>
      <c r="G35" t="s">
        <v>118</v>
      </c>
      <c r="I35" t="s">
        <v>120</v>
      </c>
      <c r="K35" t="s">
        <v>232</v>
      </c>
      <c r="L35" t="s">
        <v>233</v>
      </c>
      <c r="M35" t="s">
        <v>347</v>
      </c>
      <c r="N35" t="s">
        <v>348</v>
      </c>
      <c r="O35" t="s">
        <v>176</v>
      </c>
      <c r="P35" t="s">
        <v>125</v>
      </c>
      <c r="Q35" t="s">
        <v>126</v>
      </c>
      <c r="R35" t="s">
        <v>126</v>
      </c>
      <c r="S35" t="s">
        <v>126</v>
      </c>
      <c r="T35" t="s">
        <v>200</v>
      </c>
      <c r="U35" t="s">
        <v>126</v>
      </c>
      <c r="V35" t="s">
        <v>200</v>
      </c>
      <c r="W35" t="s">
        <v>126</v>
      </c>
      <c r="X35" t="s">
        <v>126</v>
      </c>
      <c r="Y35" t="s">
        <v>126</v>
      </c>
      <c r="Z35" t="s">
        <v>349</v>
      </c>
      <c r="AA35" t="s">
        <v>178</v>
      </c>
    </row>
    <row r="36" spans="1:27" x14ac:dyDescent="0.2">
      <c r="A36" t="s">
        <v>350</v>
      </c>
      <c r="B36" t="s">
        <v>351</v>
      </c>
      <c r="C36" t="s">
        <v>118</v>
      </c>
      <c r="D36" t="s">
        <v>119</v>
      </c>
      <c r="E36" t="s">
        <v>119</v>
      </c>
      <c r="G36" t="s">
        <v>118</v>
      </c>
      <c r="I36" t="s">
        <v>120</v>
      </c>
      <c r="K36" t="s">
        <v>204</v>
      </c>
      <c r="L36" t="s">
        <v>205</v>
      </c>
      <c r="M36" t="s">
        <v>352</v>
      </c>
      <c r="N36" t="s">
        <v>353</v>
      </c>
      <c r="O36" t="s">
        <v>354</v>
      </c>
      <c r="P36" t="s">
        <v>126</v>
      </c>
      <c r="Q36" t="s">
        <v>126</v>
      </c>
      <c r="R36" t="s">
        <v>126</v>
      </c>
      <c r="S36" t="s">
        <v>126</v>
      </c>
      <c r="T36" t="s">
        <v>125</v>
      </c>
      <c r="U36" t="s">
        <v>126</v>
      </c>
      <c r="V36" t="s">
        <v>125</v>
      </c>
      <c r="W36" t="s">
        <v>126</v>
      </c>
      <c r="X36" t="s">
        <v>126</v>
      </c>
      <c r="Y36" t="s">
        <v>126</v>
      </c>
      <c r="Z36" t="s">
        <v>355</v>
      </c>
      <c r="AA36" t="s">
        <v>356</v>
      </c>
    </row>
    <row r="37" spans="1:27" x14ac:dyDescent="0.2">
      <c r="A37" t="s">
        <v>357</v>
      </c>
      <c r="B37" t="s">
        <v>358</v>
      </c>
      <c r="C37" t="s">
        <v>118</v>
      </c>
      <c r="D37" t="s">
        <v>119</v>
      </c>
      <c r="E37" t="s">
        <v>119</v>
      </c>
      <c r="G37" t="s">
        <v>118</v>
      </c>
      <c r="I37" t="s">
        <v>120</v>
      </c>
      <c r="K37" t="s">
        <v>139</v>
      </c>
      <c r="L37" t="s">
        <v>140</v>
      </c>
      <c r="M37" t="s">
        <v>359</v>
      </c>
      <c r="N37" t="s">
        <v>360</v>
      </c>
      <c r="O37" t="s">
        <v>361</v>
      </c>
      <c r="P37" t="s">
        <v>126</v>
      </c>
      <c r="Q37" t="s">
        <v>126</v>
      </c>
      <c r="R37" t="s">
        <v>126</v>
      </c>
      <c r="S37" t="s">
        <v>126</v>
      </c>
      <c r="T37" t="s">
        <v>200</v>
      </c>
      <c r="U37" t="s">
        <v>126</v>
      </c>
      <c r="V37" t="s">
        <v>200</v>
      </c>
      <c r="W37" t="s">
        <v>126</v>
      </c>
      <c r="X37" t="s">
        <v>126</v>
      </c>
      <c r="Y37" t="s">
        <v>126</v>
      </c>
      <c r="Z37" t="s">
        <v>208</v>
      </c>
      <c r="AA37" t="s">
        <v>362</v>
      </c>
    </row>
    <row r="38" spans="1:27" x14ac:dyDescent="0.2">
      <c r="A38" t="s">
        <v>363</v>
      </c>
      <c r="B38" t="s">
        <v>364</v>
      </c>
      <c r="C38" t="s">
        <v>118</v>
      </c>
      <c r="D38" t="s">
        <v>119</v>
      </c>
      <c r="E38" t="s">
        <v>119</v>
      </c>
      <c r="G38" t="s">
        <v>118</v>
      </c>
      <c r="I38" t="s">
        <v>120</v>
      </c>
      <c r="K38" t="s">
        <v>130</v>
      </c>
      <c r="L38" t="s">
        <v>131</v>
      </c>
      <c r="M38" t="s">
        <v>365</v>
      </c>
      <c r="N38" t="s">
        <v>236</v>
      </c>
      <c r="O38" t="s">
        <v>280</v>
      </c>
      <c r="P38" t="s">
        <v>126</v>
      </c>
      <c r="Q38" t="s">
        <v>126</v>
      </c>
      <c r="R38" t="s">
        <v>126</v>
      </c>
      <c r="S38" t="s">
        <v>126</v>
      </c>
      <c r="T38" t="s">
        <v>125</v>
      </c>
      <c r="U38" t="s">
        <v>126</v>
      </c>
      <c r="V38" t="s">
        <v>125</v>
      </c>
      <c r="W38" t="s">
        <v>126</v>
      </c>
      <c r="X38" t="s">
        <v>126</v>
      </c>
      <c r="Y38" t="s">
        <v>126</v>
      </c>
      <c r="Z38" t="s">
        <v>238</v>
      </c>
      <c r="AA38" t="s">
        <v>282</v>
      </c>
    </row>
    <row r="39" spans="1:27" x14ac:dyDescent="0.2">
      <c r="A39" t="s">
        <v>366</v>
      </c>
      <c r="B39" t="s">
        <v>367</v>
      </c>
      <c r="C39" t="s">
        <v>118</v>
      </c>
      <c r="D39" t="s">
        <v>119</v>
      </c>
      <c r="E39" t="s">
        <v>119</v>
      </c>
      <c r="G39" t="s">
        <v>118</v>
      </c>
      <c r="I39" t="s">
        <v>120</v>
      </c>
      <c r="K39" t="s">
        <v>204</v>
      </c>
      <c r="L39" t="s">
        <v>205</v>
      </c>
      <c r="M39" t="s">
        <v>368</v>
      </c>
      <c r="N39" t="s">
        <v>226</v>
      </c>
      <c r="O39" t="s">
        <v>369</v>
      </c>
      <c r="P39" t="s">
        <v>126</v>
      </c>
      <c r="Q39" t="s">
        <v>126</v>
      </c>
      <c r="R39" t="s">
        <v>126</v>
      </c>
      <c r="S39" t="s">
        <v>126</v>
      </c>
      <c r="T39" t="s">
        <v>126</v>
      </c>
      <c r="U39" t="s">
        <v>126</v>
      </c>
      <c r="V39" t="s">
        <v>126</v>
      </c>
      <c r="W39" t="s">
        <v>126</v>
      </c>
      <c r="X39" t="s">
        <v>126</v>
      </c>
      <c r="Y39" t="s">
        <v>126</v>
      </c>
      <c r="Z39" t="s">
        <v>228</v>
      </c>
      <c r="AA39" t="s">
        <v>370</v>
      </c>
    </row>
    <row r="40" spans="1:27" x14ac:dyDescent="0.2">
      <c r="A40" t="s">
        <v>371</v>
      </c>
      <c r="B40" t="s">
        <v>372</v>
      </c>
      <c r="C40" t="s">
        <v>118</v>
      </c>
      <c r="D40" t="s">
        <v>119</v>
      </c>
      <c r="E40" t="s">
        <v>119</v>
      </c>
      <c r="G40" t="s">
        <v>118</v>
      </c>
      <c r="I40" t="s">
        <v>120</v>
      </c>
      <c r="K40" t="s">
        <v>173</v>
      </c>
      <c r="L40" t="s">
        <v>174</v>
      </c>
      <c r="M40" t="s">
        <v>373</v>
      </c>
      <c r="N40" t="s">
        <v>374</v>
      </c>
      <c r="O40" t="s">
        <v>375</v>
      </c>
      <c r="P40" t="s">
        <v>126</v>
      </c>
      <c r="Q40" t="s">
        <v>126</v>
      </c>
      <c r="R40" t="s">
        <v>126</v>
      </c>
      <c r="S40" t="s">
        <v>126</v>
      </c>
      <c r="T40" t="s">
        <v>125</v>
      </c>
      <c r="U40" t="s">
        <v>126</v>
      </c>
      <c r="V40" t="s">
        <v>125</v>
      </c>
      <c r="W40" t="s">
        <v>126</v>
      </c>
      <c r="X40" t="s">
        <v>126</v>
      </c>
      <c r="Y40" t="s">
        <v>126</v>
      </c>
      <c r="Z40" t="s">
        <v>376</v>
      </c>
      <c r="AA40" t="s">
        <v>377</v>
      </c>
    </row>
    <row r="41" spans="1:27" x14ac:dyDescent="0.2">
      <c r="A41" t="s">
        <v>378</v>
      </c>
      <c r="B41" t="s">
        <v>379</v>
      </c>
      <c r="C41" t="s">
        <v>118</v>
      </c>
      <c r="D41" t="s">
        <v>119</v>
      </c>
      <c r="E41" t="s">
        <v>119</v>
      </c>
      <c r="G41" t="s">
        <v>118</v>
      </c>
      <c r="I41" t="s">
        <v>120</v>
      </c>
      <c r="K41" t="s">
        <v>380</v>
      </c>
      <c r="L41" t="s">
        <v>381</v>
      </c>
      <c r="M41" t="s">
        <v>382</v>
      </c>
      <c r="N41" t="s">
        <v>249</v>
      </c>
      <c r="O41" t="s">
        <v>226</v>
      </c>
      <c r="P41" t="s">
        <v>126</v>
      </c>
      <c r="Q41" t="s">
        <v>126</v>
      </c>
      <c r="R41" t="s">
        <v>126</v>
      </c>
      <c r="S41" t="s">
        <v>126</v>
      </c>
      <c r="T41" t="s">
        <v>200</v>
      </c>
      <c r="U41" t="s">
        <v>126</v>
      </c>
      <c r="V41" t="s">
        <v>200</v>
      </c>
      <c r="W41" t="s">
        <v>126</v>
      </c>
      <c r="X41" t="s">
        <v>126</v>
      </c>
      <c r="Y41" t="s">
        <v>126</v>
      </c>
      <c r="Z41" t="s">
        <v>250</v>
      </c>
      <c r="AA41" t="s">
        <v>228</v>
      </c>
    </row>
    <row r="42" spans="1:27" x14ac:dyDescent="0.2">
      <c r="A42" t="s">
        <v>383</v>
      </c>
      <c r="B42" t="s">
        <v>384</v>
      </c>
      <c r="C42" t="s">
        <v>118</v>
      </c>
      <c r="D42" t="s">
        <v>119</v>
      </c>
      <c r="E42" t="s">
        <v>119</v>
      </c>
      <c r="G42" t="s">
        <v>118</v>
      </c>
      <c r="I42" t="s">
        <v>120</v>
      </c>
      <c r="K42" t="s">
        <v>149</v>
      </c>
      <c r="L42" t="s">
        <v>150</v>
      </c>
      <c r="M42" t="s">
        <v>385</v>
      </c>
      <c r="N42" t="s">
        <v>386</v>
      </c>
      <c r="O42" t="s">
        <v>329</v>
      </c>
      <c r="P42" t="s">
        <v>126</v>
      </c>
      <c r="Q42" t="s">
        <v>126</v>
      </c>
      <c r="R42" t="s">
        <v>126</v>
      </c>
      <c r="S42" t="s">
        <v>126</v>
      </c>
      <c r="T42" t="s">
        <v>200</v>
      </c>
      <c r="U42" t="s">
        <v>126</v>
      </c>
      <c r="V42" t="s">
        <v>200</v>
      </c>
      <c r="W42" t="s">
        <v>126</v>
      </c>
      <c r="X42" t="s">
        <v>126</v>
      </c>
      <c r="Y42" t="s">
        <v>126</v>
      </c>
      <c r="Z42" t="s">
        <v>387</v>
      </c>
      <c r="AA42" t="s">
        <v>330</v>
      </c>
    </row>
    <row r="43" spans="1:27" x14ac:dyDescent="0.2">
      <c r="A43" t="s">
        <v>388</v>
      </c>
      <c r="B43" t="s">
        <v>389</v>
      </c>
      <c r="C43" t="s">
        <v>118</v>
      </c>
      <c r="D43" t="s">
        <v>119</v>
      </c>
      <c r="E43" t="s">
        <v>119</v>
      </c>
      <c r="G43" t="s">
        <v>118</v>
      </c>
      <c r="I43" t="s">
        <v>120</v>
      </c>
      <c r="K43" t="s">
        <v>204</v>
      </c>
      <c r="L43" t="s">
        <v>205</v>
      </c>
      <c r="M43" t="s">
        <v>390</v>
      </c>
      <c r="N43" t="s">
        <v>274</v>
      </c>
      <c r="O43" t="s">
        <v>391</v>
      </c>
      <c r="P43" t="s">
        <v>126</v>
      </c>
      <c r="Q43" t="s">
        <v>126</v>
      </c>
      <c r="R43" t="s">
        <v>126</v>
      </c>
      <c r="S43" t="s">
        <v>126</v>
      </c>
      <c r="T43" t="s">
        <v>126</v>
      </c>
      <c r="U43" t="s">
        <v>126</v>
      </c>
      <c r="V43" t="s">
        <v>126</v>
      </c>
      <c r="W43" t="s">
        <v>126</v>
      </c>
      <c r="X43" t="s">
        <v>126</v>
      </c>
      <c r="Y43" t="s">
        <v>126</v>
      </c>
      <c r="Z43" t="s">
        <v>276</v>
      </c>
      <c r="AA43" t="s">
        <v>392</v>
      </c>
    </row>
    <row r="44" spans="1:27" x14ac:dyDescent="0.2">
      <c r="A44" t="s">
        <v>393</v>
      </c>
      <c r="B44" t="s">
        <v>394</v>
      </c>
      <c r="C44" t="s">
        <v>118</v>
      </c>
      <c r="D44" t="s">
        <v>119</v>
      </c>
      <c r="E44" t="s">
        <v>119</v>
      </c>
      <c r="G44" t="s">
        <v>118</v>
      </c>
      <c r="I44" t="s">
        <v>120</v>
      </c>
      <c r="K44" t="s">
        <v>232</v>
      </c>
      <c r="L44" t="s">
        <v>233</v>
      </c>
      <c r="M44" t="s">
        <v>395</v>
      </c>
      <c r="N44" t="s">
        <v>354</v>
      </c>
      <c r="O44" t="s">
        <v>396</v>
      </c>
      <c r="P44" t="s">
        <v>126</v>
      </c>
      <c r="Q44" t="s">
        <v>126</v>
      </c>
      <c r="R44" t="s">
        <v>126</v>
      </c>
      <c r="S44" t="s">
        <v>126</v>
      </c>
      <c r="T44" t="s">
        <v>126</v>
      </c>
      <c r="U44" t="s">
        <v>126</v>
      </c>
      <c r="V44" t="s">
        <v>126</v>
      </c>
      <c r="W44" t="s">
        <v>126</v>
      </c>
      <c r="X44" t="s">
        <v>126</v>
      </c>
      <c r="Y44" t="s">
        <v>126</v>
      </c>
      <c r="Z44" t="s">
        <v>356</v>
      </c>
      <c r="AA44" t="s">
        <v>397</v>
      </c>
    </row>
    <row r="45" spans="1:27" x14ac:dyDescent="0.2">
      <c r="A45" t="s">
        <v>398</v>
      </c>
      <c r="B45" t="s">
        <v>399</v>
      </c>
      <c r="C45" t="s">
        <v>118</v>
      </c>
      <c r="D45" t="s">
        <v>119</v>
      </c>
      <c r="E45" t="s">
        <v>119</v>
      </c>
      <c r="G45" t="s">
        <v>118</v>
      </c>
      <c r="I45" t="s">
        <v>120</v>
      </c>
      <c r="K45" t="s">
        <v>204</v>
      </c>
      <c r="L45" t="s">
        <v>205</v>
      </c>
      <c r="M45" t="s">
        <v>400</v>
      </c>
      <c r="N45" t="s">
        <v>360</v>
      </c>
      <c r="O45" t="s">
        <v>401</v>
      </c>
      <c r="P45" t="s">
        <v>126</v>
      </c>
      <c r="Q45" t="s">
        <v>126</v>
      </c>
      <c r="R45" t="s">
        <v>126</v>
      </c>
      <c r="S45" t="s">
        <v>126</v>
      </c>
      <c r="T45" t="s">
        <v>402</v>
      </c>
      <c r="U45" t="s">
        <v>126</v>
      </c>
      <c r="V45" t="s">
        <v>402</v>
      </c>
      <c r="W45" t="s">
        <v>126</v>
      </c>
      <c r="X45" t="s">
        <v>126</v>
      </c>
      <c r="Y45" t="s">
        <v>126</v>
      </c>
      <c r="Z45" t="s">
        <v>208</v>
      </c>
      <c r="AA45" t="s">
        <v>403</v>
      </c>
    </row>
    <row r="46" spans="1:27" x14ac:dyDescent="0.2">
      <c r="A46" t="s">
        <v>404</v>
      </c>
      <c r="B46" t="s">
        <v>405</v>
      </c>
      <c r="D46" t="s">
        <v>119</v>
      </c>
      <c r="E46" t="s">
        <v>119</v>
      </c>
      <c r="G46" t="s">
        <v>118</v>
      </c>
      <c r="I46" t="s">
        <v>120</v>
      </c>
      <c r="K46" t="s">
        <v>204</v>
      </c>
      <c r="L46" t="s">
        <v>205</v>
      </c>
      <c r="M46" t="s">
        <v>406</v>
      </c>
      <c r="N46" t="s">
        <v>407</v>
      </c>
      <c r="O46" t="s">
        <v>408</v>
      </c>
      <c r="P46" t="s">
        <v>125</v>
      </c>
      <c r="Q46" t="s">
        <v>126</v>
      </c>
      <c r="R46" t="s">
        <v>126</v>
      </c>
      <c r="S46" t="s">
        <v>126</v>
      </c>
      <c r="V46" t="s">
        <v>126</v>
      </c>
      <c r="Y46" t="s">
        <v>126</v>
      </c>
      <c r="Z46" t="s">
        <v>409</v>
      </c>
      <c r="AA46" t="s">
        <v>410</v>
      </c>
    </row>
    <row r="47" spans="1:27" x14ac:dyDescent="0.2">
      <c r="A47" t="s">
        <v>411</v>
      </c>
      <c r="B47" t="s">
        <v>412</v>
      </c>
      <c r="C47" t="s">
        <v>118</v>
      </c>
      <c r="D47" t="s">
        <v>119</v>
      </c>
      <c r="E47" t="s">
        <v>119</v>
      </c>
      <c r="G47" t="s">
        <v>118</v>
      </c>
      <c r="I47" t="s">
        <v>120</v>
      </c>
      <c r="K47" t="s">
        <v>158</v>
      </c>
      <c r="L47" t="s">
        <v>159</v>
      </c>
      <c r="M47" t="s">
        <v>413</v>
      </c>
      <c r="N47" t="s">
        <v>414</v>
      </c>
      <c r="O47" t="s">
        <v>242</v>
      </c>
      <c r="P47" t="s">
        <v>126</v>
      </c>
      <c r="Q47" t="s">
        <v>126</v>
      </c>
      <c r="R47" t="s">
        <v>126</v>
      </c>
      <c r="S47" t="s">
        <v>126</v>
      </c>
      <c r="T47" t="s">
        <v>125</v>
      </c>
      <c r="U47" t="s">
        <v>126</v>
      </c>
      <c r="V47" t="s">
        <v>125</v>
      </c>
      <c r="W47" t="s">
        <v>126</v>
      </c>
      <c r="X47" t="s">
        <v>126</v>
      </c>
      <c r="Y47" t="s">
        <v>126</v>
      </c>
      <c r="Z47" t="s">
        <v>415</v>
      </c>
      <c r="AA47" t="s">
        <v>244</v>
      </c>
    </row>
    <row r="48" spans="1:27" x14ac:dyDescent="0.2">
      <c r="A48" t="s">
        <v>416</v>
      </c>
      <c r="B48" t="s">
        <v>417</v>
      </c>
      <c r="C48" t="s">
        <v>118</v>
      </c>
      <c r="D48" t="s">
        <v>119</v>
      </c>
      <c r="E48" t="s">
        <v>119</v>
      </c>
      <c r="G48" t="s">
        <v>118</v>
      </c>
      <c r="I48" t="s">
        <v>120</v>
      </c>
      <c r="K48" t="s">
        <v>149</v>
      </c>
      <c r="L48" t="s">
        <v>150</v>
      </c>
      <c r="M48" t="s">
        <v>418</v>
      </c>
      <c r="N48" t="s">
        <v>214</v>
      </c>
      <c r="O48" t="s">
        <v>162</v>
      </c>
      <c r="P48" t="s">
        <v>126</v>
      </c>
      <c r="Q48" t="s">
        <v>126</v>
      </c>
      <c r="R48" t="s">
        <v>126</v>
      </c>
      <c r="S48" t="s">
        <v>126</v>
      </c>
      <c r="T48" t="s">
        <v>419</v>
      </c>
      <c r="U48" t="s">
        <v>126</v>
      </c>
      <c r="V48" t="s">
        <v>419</v>
      </c>
      <c r="W48" t="s">
        <v>126</v>
      </c>
      <c r="X48" t="s">
        <v>126</v>
      </c>
      <c r="Y48" t="s">
        <v>126</v>
      </c>
      <c r="Z48" t="s">
        <v>215</v>
      </c>
      <c r="AA48" t="s">
        <v>164</v>
      </c>
    </row>
    <row r="49" spans="1:27" x14ac:dyDescent="0.2">
      <c r="A49" t="s">
        <v>420</v>
      </c>
      <c r="B49" t="s">
        <v>421</v>
      </c>
      <c r="C49" t="s">
        <v>118</v>
      </c>
      <c r="D49" t="s">
        <v>119</v>
      </c>
      <c r="E49" t="s">
        <v>119</v>
      </c>
      <c r="G49" t="s">
        <v>118</v>
      </c>
      <c r="I49" t="s">
        <v>120</v>
      </c>
      <c r="K49" t="s">
        <v>149</v>
      </c>
      <c r="L49" t="s">
        <v>150</v>
      </c>
      <c r="M49" t="s">
        <v>422</v>
      </c>
      <c r="N49" t="s">
        <v>214</v>
      </c>
      <c r="O49" t="s">
        <v>396</v>
      </c>
      <c r="P49" t="s">
        <v>126</v>
      </c>
      <c r="Q49" t="s">
        <v>126</v>
      </c>
      <c r="R49" t="s">
        <v>126</v>
      </c>
      <c r="S49" t="s">
        <v>126</v>
      </c>
      <c r="T49" t="s">
        <v>169</v>
      </c>
      <c r="U49" t="s">
        <v>126</v>
      </c>
      <c r="V49" t="s">
        <v>169</v>
      </c>
      <c r="W49" t="s">
        <v>126</v>
      </c>
      <c r="X49" t="s">
        <v>126</v>
      </c>
      <c r="Y49" t="s">
        <v>126</v>
      </c>
      <c r="Z49" t="s">
        <v>215</v>
      </c>
      <c r="AA49" t="s">
        <v>397</v>
      </c>
    </row>
    <row r="50" spans="1:27" x14ac:dyDescent="0.2">
      <c r="A50" t="s">
        <v>423</v>
      </c>
      <c r="B50" t="s">
        <v>424</v>
      </c>
      <c r="C50" t="s">
        <v>118</v>
      </c>
      <c r="D50" t="s">
        <v>119</v>
      </c>
      <c r="E50" t="s">
        <v>119</v>
      </c>
      <c r="G50" t="s">
        <v>118</v>
      </c>
      <c r="I50" t="s">
        <v>120</v>
      </c>
      <c r="K50" t="s">
        <v>158</v>
      </c>
      <c r="L50" t="s">
        <v>159</v>
      </c>
      <c r="M50" t="s">
        <v>425</v>
      </c>
      <c r="N50" t="s">
        <v>214</v>
      </c>
      <c r="O50" t="s">
        <v>426</v>
      </c>
      <c r="P50" t="s">
        <v>126</v>
      </c>
      <c r="Q50" t="s">
        <v>126</v>
      </c>
      <c r="R50" t="s">
        <v>126</v>
      </c>
      <c r="S50" t="s">
        <v>126</v>
      </c>
      <c r="T50" t="s">
        <v>427</v>
      </c>
      <c r="U50" t="s">
        <v>126</v>
      </c>
      <c r="V50" t="s">
        <v>427</v>
      </c>
      <c r="W50" t="s">
        <v>126</v>
      </c>
      <c r="X50" t="s">
        <v>126</v>
      </c>
      <c r="Y50" t="s">
        <v>126</v>
      </c>
      <c r="Z50" t="s">
        <v>215</v>
      </c>
      <c r="AA50" t="s">
        <v>428</v>
      </c>
    </row>
    <row r="51" spans="1:27" x14ac:dyDescent="0.2">
      <c r="A51" t="s">
        <v>429</v>
      </c>
      <c r="B51" t="s">
        <v>430</v>
      </c>
      <c r="C51" t="s">
        <v>118</v>
      </c>
      <c r="D51" t="s">
        <v>119</v>
      </c>
      <c r="E51" t="s">
        <v>119</v>
      </c>
      <c r="G51" t="s">
        <v>118</v>
      </c>
      <c r="I51" t="s">
        <v>120</v>
      </c>
      <c r="K51" t="s">
        <v>204</v>
      </c>
      <c r="L51" t="s">
        <v>205</v>
      </c>
      <c r="M51" t="s">
        <v>431</v>
      </c>
      <c r="N51" t="s">
        <v>214</v>
      </c>
      <c r="O51" t="s">
        <v>426</v>
      </c>
      <c r="P51" t="s">
        <v>126</v>
      </c>
      <c r="Q51" t="s">
        <v>126</v>
      </c>
      <c r="R51" t="s">
        <v>126</v>
      </c>
      <c r="S51" t="s">
        <v>126</v>
      </c>
      <c r="T51" t="s">
        <v>264</v>
      </c>
      <c r="U51" t="s">
        <v>126</v>
      </c>
      <c r="V51" t="s">
        <v>264</v>
      </c>
      <c r="W51" t="s">
        <v>126</v>
      </c>
      <c r="X51" t="s">
        <v>126</v>
      </c>
      <c r="Y51" t="s">
        <v>126</v>
      </c>
      <c r="Z51" t="s">
        <v>215</v>
      </c>
      <c r="AA51" t="s">
        <v>428</v>
      </c>
    </row>
    <row r="52" spans="1:27" x14ac:dyDescent="0.2">
      <c r="A52" t="s">
        <v>432</v>
      </c>
      <c r="B52" t="s">
        <v>433</v>
      </c>
      <c r="C52" t="s">
        <v>118</v>
      </c>
      <c r="D52" t="s">
        <v>119</v>
      </c>
      <c r="E52" t="s">
        <v>119</v>
      </c>
      <c r="G52" t="s">
        <v>118</v>
      </c>
      <c r="I52" t="s">
        <v>120</v>
      </c>
      <c r="K52" t="s">
        <v>204</v>
      </c>
      <c r="L52" t="s">
        <v>205</v>
      </c>
      <c r="M52" t="s">
        <v>434</v>
      </c>
      <c r="N52" t="s">
        <v>308</v>
      </c>
      <c r="O52" t="s">
        <v>435</v>
      </c>
      <c r="P52" t="s">
        <v>126</v>
      </c>
      <c r="Q52" t="s">
        <v>126</v>
      </c>
      <c r="R52" t="s">
        <v>126</v>
      </c>
      <c r="S52" t="s">
        <v>126</v>
      </c>
      <c r="T52" t="s">
        <v>436</v>
      </c>
      <c r="U52" t="s">
        <v>126</v>
      </c>
      <c r="V52" t="s">
        <v>436</v>
      </c>
      <c r="W52" t="s">
        <v>126</v>
      </c>
      <c r="X52" t="s">
        <v>126</v>
      </c>
      <c r="Y52" t="s">
        <v>126</v>
      </c>
      <c r="Z52" t="s">
        <v>310</v>
      </c>
      <c r="AA52" t="s">
        <v>437</v>
      </c>
    </row>
    <row r="53" spans="1:27" x14ac:dyDescent="0.2">
      <c r="A53" t="s">
        <v>438</v>
      </c>
      <c r="B53" t="s">
        <v>439</v>
      </c>
      <c r="C53" t="s">
        <v>118</v>
      </c>
      <c r="D53" t="s">
        <v>119</v>
      </c>
      <c r="E53" t="s">
        <v>119</v>
      </c>
      <c r="G53" t="s">
        <v>118</v>
      </c>
      <c r="I53" t="s">
        <v>120</v>
      </c>
      <c r="K53" t="s">
        <v>440</v>
      </c>
      <c r="L53" t="s">
        <v>441</v>
      </c>
      <c r="M53" t="s">
        <v>442</v>
      </c>
      <c r="N53" t="s">
        <v>262</v>
      </c>
      <c r="O53" t="s">
        <v>443</v>
      </c>
      <c r="P53" t="s">
        <v>126</v>
      </c>
      <c r="Q53" t="s">
        <v>126</v>
      </c>
      <c r="R53" t="s">
        <v>126</v>
      </c>
      <c r="S53" t="s">
        <v>126</v>
      </c>
      <c r="T53" t="s">
        <v>264</v>
      </c>
      <c r="U53" t="s">
        <v>126</v>
      </c>
      <c r="V53" t="s">
        <v>264</v>
      </c>
      <c r="W53" t="s">
        <v>126</v>
      </c>
      <c r="X53" t="s">
        <v>126</v>
      </c>
      <c r="Y53" t="s">
        <v>126</v>
      </c>
      <c r="Z53" t="s">
        <v>265</v>
      </c>
      <c r="AA53" t="s">
        <v>444</v>
      </c>
    </row>
    <row r="54" spans="1:27" x14ac:dyDescent="0.2">
      <c r="A54" t="s">
        <v>445</v>
      </c>
      <c r="B54" t="s">
        <v>446</v>
      </c>
      <c r="C54" t="s">
        <v>118</v>
      </c>
      <c r="D54" t="s">
        <v>119</v>
      </c>
      <c r="E54" t="s">
        <v>119</v>
      </c>
      <c r="G54" t="s">
        <v>118</v>
      </c>
      <c r="I54" t="s">
        <v>120</v>
      </c>
      <c r="K54" t="s">
        <v>173</v>
      </c>
      <c r="L54" t="s">
        <v>174</v>
      </c>
      <c r="M54" t="s">
        <v>447</v>
      </c>
      <c r="N54" t="s">
        <v>448</v>
      </c>
      <c r="O54" t="s">
        <v>336</v>
      </c>
      <c r="P54" t="s">
        <v>126</v>
      </c>
      <c r="Q54" t="s">
        <v>126</v>
      </c>
      <c r="R54" t="s">
        <v>126</v>
      </c>
      <c r="S54" t="s">
        <v>126</v>
      </c>
      <c r="T54" t="s">
        <v>126</v>
      </c>
      <c r="U54" t="s">
        <v>126</v>
      </c>
      <c r="V54" t="s">
        <v>126</v>
      </c>
      <c r="W54" t="s">
        <v>126</v>
      </c>
      <c r="X54" t="s">
        <v>126</v>
      </c>
      <c r="Y54" t="s">
        <v>126</v>
      </c>
      <c r="Z54" t="s">
        <v>449</v>
      </c>
      <c r="AA54" t="s">
        <v>338</v>
      </c>
    </row>
    <row r="55" spans="1:27" x14ac:dyDescent="0.2">
      <c r="A55" t="s">
        <v>450</v>
      </c>
      <c r="B55" t="s">
        <v>451</v>
      </c>
      <c r="C55" t="s">
        <v>118</v>
      </c>
      <c r="D55" t="s">
        <v>119</v>
      </c>
      <c r="E55" t="s">
        <v>119</v>
      </c>
      <c r="G55" t="s">
        <v>118</v>
      </c>
      <c r="I55" t="s">
        <v>120</v>
      </c>
      <c r="K55" t="s">
        <v>173</v>
      </c>
      <c r="L55" t="s">
        <v>174</v>
      </c>
      <c r="M55" t="s">
        <v>452</v>
      </c>
      <c r="N55" t="s">
        <v>287</v>
      </c>
      <c r="O55" t="s">
        <v>453</v>
      </c>
      <c r="P55" t="s">
        <v>126</v>
      </c>
      <c r="Q55" t="s">
        <v>126</v>
      </c>
      <c r="R55" t="s">
        <v>126</v>
      </c>
      <c r="S55" t="s">
        <v>126</v>
      </c>
      <c r="T55" t="s">
        <v>126</v>
      </c>
      <c r="U55" t="s">
        <v>126</v>
      </c>
      <c r="V55" t="s">
        <v>126</v>
      </c>
      <c r="W55" t="s">
        <v>126</v>
      </c>
      <c r="X55" t="s">
        <v>126</v>
      </c>
      <c r="Y55" t="s">
        <v>126</v>
      </c>
      <c r="Z55" t="s">
        <v>288</v>
      </c>
      <c r="AA55" t="s">
        <v>454</v>
      </c>
    </row>
    <row r="56" spans="1:27" x14ac:dyDescent="0.2">
      <c r="A56" t="s">
        <v>455</v>
      </c>
      <c r="B56" t="s">
        <v>456</v>
      </c>
      <c r="C56" t="s">
        <v>118</v>
      </c>
      <c r="D56" t="s">
        <v>119</v>
      </c>
      <c r="E56" t="s">
        <v>119</v>
      </c>
      <c r="G56" t="s">
        <v>118</v>
      </c>
      <c r="I56" t="s">
        <v>120</v>
      </c>
      <c r="K56" t="s">
        <v>204</v>
      </c>
      <c r="L56" t="s">
        <v>205</v>
      </c>
      <c r="M56" t="s">
        <v>457</v>
      </c>
      <c r="N56" t="s">
        <v>257</v>
      </c>
      <c r="O56" t="s">
        <v>262</v>
      </c>
      <c r="P56" t="s">
        <v>126</v>
      </c>
      <c r="Q56" t="s">
        <v>126</v>
      </c>
      <c r="R56" t="s">
        <v>126</v>
      </c>
      <c r="S56" t="s">
        <v>126</v>
      </c>
      <c r="T56" t="s">
        <v>126</v>
      </c>
      <c r="U56" t="s">
        <v>126</v>
      </c>
      <c r="V56" t="s">
        <v>126</v>
      </c>
      <c r="W56" t="s">
        <v>126</v>
      </c>
      <c r="X56" t="s">
        <v>126</v>
      </c>
      <c r="Y56" t="s">
        <v>126</v>
      </c>
      <c r="Z56" t="s">
        <v>258</v>
      </c>
      <c r="AA56" t="s">
        <v>265</v>
      </c>
    </row>
    <row r="57" spans="1:27" x14ac:dyDescent="0.2">
      <c r="A57" t="s">
        <v>458</v>
      </c>
      <c r="B57" t="s">
        <v>459</v>
      </c>
      <c r="C57" t="s">
        <v>118</v>
      </c>
      <c r="D57" t="s">
        <v>119</v>
      </c>
      <c r="E57" t="s">
        <v>119</v>
      </c>
      <c r="G57" t="s">
        <v>118</v>
      </c>
      <c r="I57" t="s">
        <v>120</v>
      </c>
      <c r="K57" t="s">
        <v>204</v>
      </c>
      <c r="L57" t="s">
        <v>205</v>
      </c>
      <c r="M57" t="s">
        <v>460</v>
      </c>
      <c r="N57" t="s">
        <v>353</v>
      </c>
      <c r="O57" t="s">
        <v>354</v>
      </c>
      <c r="P57" t="s">
        <v>126</v>
      </c>
      <c r="Q57" t="s">
        <v>126</v>
      </c>
      <c r="R57" t="s">
        <v>126</v>
      </c>
      <c r="S57" t="s">
        <v>126</v>
      </c>
      <c r="T57" t="s">
        <v>126</v>
      </c>
      <c r="U57" t="s">
        <v>126</v>
      </c>
      <c r="V57" t="s">
        <v>126</v>
      </c>
      <c r="W57" t="s">
        <v>126</v>
      </c>
      <c r="X57" t="s">
        <v>126</v>
      </c>
      <c r="Y57" t="s">
        <v>126</v>
      </c>
      <c r="Z57" t="s">
        <v>355</v>
      </c>
      <c r="AA57" t="s">
        <v>356</v>
      </c>
    </row>
    <row r="58" spans="1:27" x14ac:dyDescent="0.2">
      <c r="A58" t="s">
        <v>461</v>
      </c>
      <c r="B58" t="s">
        <v>462</v>
      </c>
      <c r="C58" t="s">
        <v>118</v>
      </c>
      <c r="D58" t="s">
        <v>119</v>
      </c>
      <c r="E58" t="s">
        <v>119</v>
      </c>
      <c r="G58" t="s">
        <v>118</v>
      </c>
      <c r="I58" t="s">
        <v>120</v>
      </c>
      <c r="K58" t="s">
        <v>149</v>
      </c>
      <c r="L58" t="s">
        <v>150</v>
      </c>
      <c r="M58" t="s">
        <v>463</v>
      </c>
      <c r="N58" t="s">
        <v>348</v>
      </c>
      <c r="O58" t="s">
        <v>386</v>
      </c>
      <c r="P58" t="s">
        <v>126</v>
      </c>
      <c r="Q58" t="s">
        <v>126</v>
      </c>
      <c r="R58" t="s">
        <v>126</v>
      </c>
      <c r="S58" t="s">
        <v>126</v>
      </c>
      <c r="T58" t="s">
        <v>125</v>
      </c>
      <c r="U58" t="s">
        <v>126</v>
      </c>
      <c r="V58" t="s">
        <v>125</v>
      </c>
      <c r="W58" t="s">
        <v>126</v>
      </c>
      <c r="X58" t="s">
        <v>126</v>
      </c>
      <c r="Y58" t="s">
        <v>126</v>
      </c>
      <c r="Z58" t="s">
        <v>349</v>
      </c>
      <c r="AA58" t="s">
        <v>387</v>
      </c>
    </row>
    <row r="59" spans="1:27" x14ac:dyDescent="0.2">
      <c r="A59" t="s">
        <v>464</v>
      </c>
      <c r="B59" t="s">
        <v>465</v>
      </c>
      <c r="C59" t="s">
        <v>118</v>
      </c>
      <c r="D59" t="s">
        <v>119</v>
      </c>
      <c r="E59" t="s">
        <v>119</v>
      </c>
      <c r="G59" t="s">
        <v>118</v>
      </c>
      <c r="I59" t="s">
        <v>120</v>
      </c>
      <c r="K59" t="s">
        <v>130</v>
      </c>
      <c r="L59" t="s">
        <v>131</v>
      </c>
      <c r="M59" t="s">
        <v>466</v>
      </c>
      <c r="N59" t="s">
        <v>401</v>
      </c>
      <c r="O59" t="s">
        <v>235</v>
      </c>
      <c r="P59" t="s">
        <v>126</v>
      </c>
      <c r="Q59" t="s">
        <v>126</v>
      </c>
      <c r="R59" t="s">
        <v>126</v>
      </c>
      <c r="S59" t="s">
        <v>126</v>
      </c>
      <c r="T59" t="s">
        <v>126</v>
      </c>
      <c r="U59" t="s">
        <v>126</v>
      </c>
      <c r="V59" t="s">
        <v>126</v>
      </c>
      <c r="W59" t="s">
        <v>126</v>
      </c>
      <c r="X59" t="s">
        <v>126</v>
      </c>
      <c r="Y59" t="s">
        <v>126</v>
      </c>
      <c r="Z59" t="s">
        <v>403</v>
      </c>
      <c r="AA59" t="s">
        <v>237</v>
      </c>
    </row>
    <row r="60" spans="1:27" x14ac:dyDescent="0.2">
      <c r="A60" t="s">
        <v>467</v>
      </c>
      <c r="B60" t="s">
        <v>468</v>
      </c>
      <c r="C60" t="s">
        <v>118</v>
      </c>
      <c r="D60" t="s">
        <v>119</v>
      </c>
      <c r="E60" t="s">
        <v>119</v>
      </c>
      <c r="G60" t="s">
        <v>118</v>
      </c>
      <c r="I60" t="s">
        <v>120</v>
      </c>
      <c r="K60" t="s">
        <v>204</v>
      </c>
      <c r="L60" t="s">
        <v>205</v>
      </c>
      <c r="M60" t="s">
        <v>469</v>
      </c>
      <c r="N60" t="s">
        <v>470</v>
      </c>
      <c r="O60" t="s">
        <v>353</v>
      </c>
      <c r="P60" t="s">
        <v>126</v>
      </c>
      <c r="Q60" t="s">
        <v>126</v>
      </c>
      <c r="R60" t="s">
        <v>126</v>
      </c>
      <c r="S60" t="s">
        <v>126</v>
      </c>
      <c r="T60" t="s">
        <v>169</v>
      </c>
      <c r="U60" t="s">
        <v>126</v>
      </c>
      <c r="V60" t="s">
        <v>169</v>
      </c>
      <c r="W60" t="s">
        <v>126</v>
      </c>
      <c r="X60" t="s">
        <v>126</v>
      </c>
      <c r="Y60" t="s">
        <v>126</v>
      </c>
      <c r="Z60" t="s">
        <v>471</v>
      </c>
      <c r="AA60" t="s">
        <v>355</v>
      </c>
    </row>
    <row r="61" spans="1:27" x14ac:dyDescent="0.2">
      <c r="A61" t="s">
        <v>472</v>
      </c>
      <c r="B61" t="s">
        <v>473</v>
      </c>
      <c r="C61" t="s">
        <v>118</v>
      </c>
      <c r="D61" t="s">
        <v>119</v>
      </c>
      <c r="E61" t="s">
        <v>119</v>
      </c>
      <c r="G61" t="s">
        <v>118</v>
      </c>
      <c r="I61" t="s">
        <v>120</v>
      </c>
      <c r="K61" t="s">
        <v>149</v>
      </c>
      <c r="L61" t="s">
        <v>150</v>
      </c>
      <c r="M61" t="s">
        <v>474</v>
      </c>
      <c r="N61" t="s">
        <v>249</v>
      </c>
      <c r="O61" t="s">
        <v>226</v>
      </c>
      <c r="P61" t="s">
        <v>126</v>
      </c>
      <c r="Q61" t="s">
        <v>126</v>
      </c>
      <c r="R61" t="s">
        <v>126</v>
      </c>
      <c r="S61" t="s">
        <v>126</v>
      </c>
      <c r="T61" t="s">
        <v>200</v>
      </c>
      <c r="U61" t="s">
        <v>126</v>
      </c>
      <c r="V61" t="s">
        <v>200</v>
      </c>
      <c r="W61" t="s">
        <v>126</v>
      </c>
      <c r="X61" t="s">
        <v>126</v>
      </c>
      <c r="Y61" t="s">
        <v>126</v>
      </c>
      <c r="Z61" t="s">
        <v>250</v>
      </c>
      <c r="AA61" t="s">
        <v>228</v>
      </c>
    </row>
    <row r="62" spans="1:27" x14ac:dyDescent="0.2">
      <c r="A62" t="s">
        <v>475</v>
      </c>
      <c r="B62" t="s">
        <v>476</v>
      </c>
      <c r="C62" t="s">
        <v>118</v>
      </c>
      <c r="D62" t="s">
        <v>119</v>
      </c>
      <c r="E62" t="s">
        <v>119</v>
      </c>
      <c r="G62" t="s">
        <v>118</v>
      </c>
      <c r="I62" t="s">
        <v>120</v>
      </c>
      <c r="K62" t="s">
        <v>204</v>
      </c>
      <c r="L62" t="s">
        <v>205</v>
      </c>
      <c r="M62" t="s">
        <v>477</v>
      </c>
      <c r="N62" t="s">
        <v>478</v>
      </c>
      <c r="O62" t="s">
        <v>322</v>
      </c>
      <c r="P62" t="s">
        <v>126</v>
      </c>
      <c r="Q62" t="s">
        <v>126</v>
      </c>
      <c r="R62" t="s">
        <v>126</v>
      </c>
      <c r="S62" t="s">
        <v>126</v>
      </c>
      <c r="T62" t="s">
        <v>169</v>
      </c>
      <c r="U62" t="s">
        <v>126</v>
      </c>
      <c r="V62" t="s">
        <v>169</v>
      </c>
      <c r="W62" t="s">
        <v>126</v>
      </c>
      <c r="X62" t="s">
        <v>126</v>
      </c>
      <c r="Y62" t="s">
        <v>126</v>
      </c>
      <c r="Z62" t="s">
        <v>479</v>
      </c>
      <c r="AA62" t="s">
        <v>324</v>
      </c>
    </row>
    <row r="63" spans="1:27" x14ac:dyDescent="0.2">
      <c r="A63" t="s">
        <v>480</v>
      </c>
      <c r="B63" t="s">
        <v>481</v>
      </c>
      <c r="C63" t="s">
        <v>118</v>
      </c>
      <c r="D63" t="s">
        <v>119</v>
      </c>
      <c r="E63" t="s">
        <v>119</v>
      </c>
      <c r="G63" t="s">
        <v>118</v>
      </c>
      <c r="I63" t="s">
        <v>120</v>
      </c>
      <c r="K63" t="s">
        <v>482</v>
      </c>
      <c r="L63" t="s">
        <v>483</v>
      </c>
      <c r="M63" t="s">
        <v>484</v>
      </c>
      <c r="N63" t="s">
        <v>176</v>
      </c>
      <c r="O63" t="s">
        <v>353</v>
      </c>
      <c r="P63" t="s">
        <v>126</v>
      </c>
      <c r="Q63" t="s">
        <v>126</v>
      </c>
      <c r="R63" t="s">
        <v>126</v>
      </c>
      <c r="S63" t="s">
        <v>126</v>
      </c>
      <c r="T63" t="s">
        <v>200</v>
      </c>
      <c r="U63" t="s">
        <v>126</v>
      </c>
      <c r="V63" t="s">
        <v>200</v>
      </c>
      <c r="W63" t="s">
        <v>126</v>
      </c>
      <c r="X63" t="s">
        <v>126</v>
      </c>
      <c r="Y63" t="s">
        <v>126</v>
      </c>
      <c r="Z63" t="s">
        <v>178</v>
      </c>
      <c r="AA63" t="s">
        <v>355</v>
      </c>
    </row>
    <row r="64" spans="1:27" x14ac:dyDescent="0.2">
      <c r="A64" t="s">
        <v>485</v>
      </c>
      <c r="B64" t="s">
        <v>486</v>
      </c>
      <c r="C64" t="s">
        <v>118</v>
      </c>
      <c r="D64" t="s">
        <v>119</v>
      </c>
      <c r="E64" t="s">
        <v>119</v>
      </c>
      <c r="G64" t="s">
        <v>118</v>
      </c>
      <c r="I64" t="s">
        <v>120</v>
      </c>
      <c r="K64" t="s">
        <v>149</v>
      </c>
      <c r="L64" t="s">
        <v>150</v>
      </c>
      <c r="M64" t="s">
        <v>487</v>
      </c>
      <c r="N64" t="s">
        <v>322</v>
      </c>
      <c r="O64" t="s">
        <v>142</v>
      </c>
      <c r="P64" t="s">
        <v>126</v>
      </c>
      <c r="Q64" t="s">
        <v>126</v>
      </c>
      <c r="R64" t="s">
        <v>126</v>
      </c>
      <c r="S64" t="s">
        <v>126</v>
      </c>
      <c r="T64" t="s">
        <v>126</v>
      </c>
      <c r="U64" t="s">
        <v>126</v>
      </c>
      <c r="V64" t="s">
        <v>126</v>
      </c>
      <c r="W64" t="s">
        <v>126</v>
      </c>
      <c r="X64" t="s">
        <v>126</v>
      </c>
      <c r="Y64" t="s">
        <v>126</v>
      </c>
      <c r="Z64" t="s">
        <v>324</v>
      </c>
      <c r="AA64" t="s">
        <v>145</v>
      </c>
    </row>
    <row r="65" spans="1:27" x14ac:dyDescent="0.2">
      <c r="A65" t="s">
        <v>488</v>
      </c>
      <c r="B65" t="s">
        <v>489</v>
      </c>
      <c r="C65" t="s">
        <v>118</v>
      </c>
      <c r="D65" t="s">
        <v>119</v>
      </c>
      <c r="E65" t="s">
        <v>119</v>
      </c>
      <c r="G65" t="s">
        <v>118</v>
      </c>
      <c r="I65" t="s">
        <v>120</v>
      </c>
      <c r="K65" t="s">
        <v>173</v>
      </c>
      <c r="L65" t="s">
        <v>174</v>
      </c>
      <c r="M65" t="s">
        <v>490</v>
      </c>
      <c r="N65" t="s">
        <v>491</v>
      </c>
      <c r="O65" t="s">
        <v>337</v>
      </c>
      <c r="P65" t="s">
        <v>126</v>
      </c>
      <c r="Q65" t="s">
        <v>126</v>
      </c>
      <c r="R65" t="s">
        <v>126</v>
      </c>
      <c r="S65" t="s">
        <v>126</v>
      </c>
      <c r="T65" t="s">
        <v>126</v>
      </c>
      <c r="U65" t="s">
        <v>126</v>
      </c>
      <c r="V65" t="s">
        <v>126</v>
      </c>
      <c r="W65" t="s">
        <v>126</v>
      </c>
      <c r="X65" t="s">
        <v>126</v>
      </c>
      <c r="Y65" t="s">
        <v>126</v>
      </c>
      <c r="Z65" t="s">
        <v>492</v>
      </c>
      <c r="AA65" t="s">
        <v>339</v>
      </c>
    </row>
    <row r="66" spans="1:27" x14ac:dyDescent="0.2">
      <c r="A66" t="s">
        <v>493</v>
      </c>
      <c r="B66" t="s">
        <v>494</v>
      </c>
      <c r="C66" t="s">
        <v>118</v>
      </c>
      <c r="D66" t="s">
        <v>119</v>
      </c>
      <c r="E66" t="s">
        <v>119</v>
      </c>
      <c r="G66" t="s">
        <v>118</v>
      </c>
      <c r="I66" t="s">
        <v>120</v>
      </c>
      <c r="K66" t="s">
        <v>182</v>
      </c>
      <c r="L66" t="s">
        <v>183</v>
      </c>
      <c r="M66" t="s">
        <v>495</v>
      </c>
      <c r="N66" t="s">
        <v>361</v>
      </c>
      <c r="O66" t="s">
        <v>235</v>
      </c>
      <c r="P66" t="s">
        <v>126</v>
      </c>
      <c r="Q66" t="s">
        <v>126</v>
      </c>
      <c r="R66" t="s">
        <v>126</v>
      </c>
      <c r="S66" t="s">
        <v>126</v>
      </c>
      <c r="T66" t="s">
        <v>419</v>
      </c>
      <c r="U66" t="s">
        <v>126</v>
      </c>
      <c r="V66" t="s">
        <v>419</v>
      </c>
      <c r="W66" t="s">
        <v>126</v>
      </c>
      <c r="X66" t="s">
        <v>126</v>
      </c>
      <c r="Y66" t="s">
        <v>126</v>
      </c>
      <c r="Z66" t="s">
        <v>362</v>
      </c>
      <c r="AA66" t="s">
        <v>237</v>
      </c>
    </row>
    <row r="67" spans="1:27" x14ac:dyDescent="0.2">
      <c r="A67" t="s">
        <v>496</v>
      </c>
      <c r="B67" t="s">
        <v>497</v>
      </c>
      <c r="C67" t="s">
        <v>118</v>
      </c>
      <c r="D67" t="s">
        <v>119</v>
      </c>
      <c r="E67" t="s">
        <v>119</v>
      </c>
      <c r="G67" t="s">
        <v>118</v>
      </c>
      <c r="I67" t="s">
        <v>120</v>
      </c>
      <c r="K67" t="s">
        <v>149</v>
      </c>
      <c r="L67" t="s">
        <v>150</v>
      </c>
      <c r="M67" t="s">
        <v>498</v>
      </c>
      <c r="N67" t="s">
        <v>236</v>
      </c>
      <c r="O67" t="s">
        <v>280</v>
      </c>
      <c r="P67" t="s">
        <v>126</v>
      </c>
      <c r="Q67" t="s">
        <v>126</v>
      </c>
      <c r="R67" t="s">
        <v>126</v>
      </c>
      <c r="S67" t="s">
        <v>126</v>
      </c>
      <c r="T67" t="s">
        <v>264</v>
      </c>
      <c r="U67" t="s">
        <v>126</v>
      </c>
      <c r="V67" t="s">
        <v>264</v>
      </c>
      <c r="W67" t="s">
        <v>126</v>
      </c>
      <c r="X67" t="s">
        <v>126</v>
      </c>
      <c r="Y67" t="s">
        <v>126</v>
      </c>
      <c r="Z67" t="s">
        <v>238</v>
      </c>
      <c r="AA67" t="s">
        <v>282</v>
      </c>
    </row>
    <row r="68" spans="1:27" x14ac:dyDescent="0.2">
      <c r="A68" t="s">
        <v>499</v>
      </c>
      <c r="B68" t="s">
        <v>500</v>
      </c>
      <c r="C68" t="s">
        <v>118</v>
      </c>
      <c r="D68" t="s">
        <v>119</v>
      </c>
      <c r="E68" t="s">
        <v>119</v>
      </c>
      <c r="G68" t="s">
        <v>118</v>
      </c>
      <c r="I68" t="s">
        <v>120</v>
      </c>
      <c r="K68" t="s">
        <v>501</v>
      </c>
      <c r="L68" t="s">
        <v>502</v>
      </c>
      <c r="M68" t="s">
        <v>503</v>
      </c>
      <c r="N68" t="s">
        <v>361</v>
      </c>
      <c r="O68" t="s">
        <v>314</v>
      </c>
      <c r="P68" t="s">
        <v>126</v>
      </c>
      <c r="Q68" t="s">
        <v>126</v>
      </c>
      <c r="R68" t="s">
        <v>126</v>
      </c>
      <c r="S68" t="s">
        <v>126</v>
      </c>
      <c r="T68" t="s">
        <v>126</v>
      </c>
      <c r="U68" t="s">
        <v>126</v>
      </c>
      <c r="V68" t="s">
        <v>126</v>
      </c>
      <c r="W68" t="s">
        <v>126</v>
      </c>
      <c r="X68" t="s">
        <v>126</v>
      </c>
      <c r="Y68" t="s">
        <v>126</v>
      </c>
      <c r="Z68" t="s">
        <v>362</v>
      </c>
      <c r="AA68" t="s">
        <v>315</v>
      </c>
    </row>
    <row r="69" spans="1:27" x14ac:dyDescent="0.2">
      <c r="A69" t="s">
        <v>504</v>
      </c>
      <c r="B69" t="s">
        <v>505</v>
      </c>
      <c r="C69" t="s">
        <v>118</v>
      </c>
      <c r="D69" t="s">
        <v>119</v>
      </c>
      <c r="E69" t="s">
        <v>119</v>
      </c>
      <c r="G69" t="s">
        <v>118</v>
      </c>
      <c r="I69" t="s">
        <v>120</v>
      </c>
      <c r="K69" t="s">
        <v>173</v>
      </c>
      <c r="L69" t="s">
        <v>174</v>
      </c>
      <c r="M69" t="s">
        <v>506</v>
      </c>
      <c r="N69" t="s">
        <v>507</v>
      </c>
      <c r="O69" t="s">
        <v>508</v>
      </c>
      <c r="P69" t="s">
        <v>126</v>
      </c>
      <c r="Q69" t="s">
        <v>126</v>
      </c>
      <c r="R69" t="s">
        <v>126</v>
      </c>
      <c r="S69" t="s">
        <v>126</v>
      </c>
      <c r="T69" t="s">
        <v>125</v>
      </c>
      <c r="U69" t="s">
        <v>126</v>
      </c>
      <c r="V69" t="s">
        <v>125</v>
      </c>
      <c r="W69" t="s">
        <v>126</v>
      </c>
      <c r="X69" t="s">
        <v>126</v>
      </c>
      <c r="Y69" t="s">
        <v>126</v>
      </c>
      <c r="Z69" t="s">
        <v>509</v>
      </c>
      <c r="AA69" t="s">
        <v>510</v>
      </c>
    </row>
    <row r="70" spans="1:27" x14ac:dyDescent="0.2">
      <c r="A70" t="s">
        <v>511</v>
      </c>
      <c r="B70" t="s">
        <v>512</v>
      </c>
      <c r="C70" t="s">
        <v>118</v>
      </c>
      <c r="D70" t="s">
        <v>119</v>
      </c>
      <c r="E70" t="s">
        <v>119</v>
      </c>
      <c r="G70" t="s">
        <v>118</v>
      </c>
      <c r="I70" t="s">
        <v>120</v>
      </c>
      <c r="K70" t="s">
        <v>291</v>
      </c>
      <c r="L70" t="s">
        <v>292</v>
      </c>
      <c r="M70" t="s">
        <v>513</v>
      </c>
      <c r="N70" t="s">
        <v>401</v>
      </c>
      <c r="O70" t="s">
        <v>257</v>
      </c>
      <c r="P70" t="s">
        <v>126</v>
      </c>
      <c r="Q70" t="s">
        <v>126</v>
      </c>
      <c r="R70" t="s">
        <v>126</v>
      </c>
      <c r="S70" t="s">
        <v>126</v>
      </c>
      <c r="T70" t="s">
        <v>126</v>
      </c>
      <c r="U70" t="s">
        <v>126</v>
      </c>
      <c r="V70" t="s">
        <v>126</v>
      </c>
      <c r="W70" t="s">
        <v>126</v>
      </c>
      <c r="X70" t="s">
        <v>126</v>
      </c>
      <c r="Y70" t="s">
        <v>126</v>
      </c>
      <c r="Z70" t="s">
        <v>403</v>
      </c>
      <c r="AA70" t="s">
        <v>258</v>
      </c>
    </row>
    <row r="71" spans="1:27" x14ac:dyDescent="0.2">
      <c r="A71" t="s">
        <v>514</v>
      </c>
      <c r="B71" t="s">
        <v>515</v>
      </c>
      <c r="C71" t="s">
        <v>118</v>
      </c>
      <c r="D71" t="s">
        <v>119</v>
      </c>
      <c r="E71" t="s">
        <v>119</v>
      </c>
      <c r="G71" t="s">
        <v>118</v>
      </c>
      <c r="I71" t="s">
        <v>120</v>
      </c>
      <c r="K71" t="s">
        <v>204</v>
      </c>
      <c r="L71" t="s">
        <v>205</v>
      </c>
      <c r="M71" t="s">
        <v>516</v>
      </c>
      <c r="N71" t="s">
        <v>142</v>
      </c>
      <c r="O71" t="s">
        <v>299</v>
      </c>
      <c r="P71" t="s">
        <v>126</v>
      </c>
      <c r="Q71" t="s">
        <v>126</v>
      </c>
      <c r="R71" t="s">
        <v>126</v>
      </c>
      <c r="S71" t="s">
        <v>126</v>
      </c>
      <c r="T71" t="s">
        <v>200</v>
      </c>
      <c r="U71" t="s">
        <v>126</v>
      </c>
      <c r="V71" t="s">
        <v>200</v>
      </c>
      <c r="W71" t="s">
        <v>126</v>
      </c>
      <c r="X71" t="s">
        <v>126</v>
      </c>
      <c r="Y71" t="s">
        <v>126</v>
      </c>
      <c r="Z71" t="s">
        <v>145</v>
      </c>
      <c r="AA71" t="s">
        <v>302</v>
      </c>
    </row>
    <row r="72" spans="1:27" x14ac:dyDescent="0.2">
      <c r="A72" t="s">
        <v>517</v>
      </c>
      <c r="B72" t="s">
        <v>518</v>
      </c>
      <c r="C72" t="s">
        <v>118</v>
      </c>
      <c r="D72" t="s">
        <v>119</v>
      </c>
      <c r="E72" t="s">
        <v>119</v>
      </c>
      <c r="G72" t="s">
        <v>118</v>
      </c>
      <c r="I72" t="s">
        <v>120</v>
      </c>
      <c r="K72" t="s">
        <v>173</v>
      </c>
      <c r="L72" t="s">
        <v>174</v>
      </c>
      <c r="M72" t="s">
        <v>519</v>
      </c>
      <c r="N72" t="s">
        <v>322</v>
      </c>
      <c r="O72" t="s">
        <v>287</v>
      </c>
      <c r="P72" t="s">
        <v>126</v>
      </c>
      <c r="Q72" t="s">
        <v>126</v>
      </c>
      <c r="R72" t="s">
        <v>126</v>
      </c>
      <c r="S72" t="s">
        <v>126</v>
      </c>
      <c r="T72" t="s">
        <v>126</v>
      </c>
      <c r="U72" t="s">
        <v>126</v>
      </c>
      <c r="V72" t="s">
        <v>126</v>
      </c>
      <c r="W72" t="s">
        <v>126</v>
      </c>
      <c r="X72" t="s">
        <v>126</v>
      </c>
      <c r="Y72" t="s">
        <v>126</v>
      </c>
      <c r="Z72" t="s">
        <v>324</v>
      </c>
      <c r="AA72" t="s">
        <v>288</v>
      </c>
    </row>
    <row r="73" spans="1:27" x14ac:dyDescent="0.2">
      <c r="A73" t="s">
        <v>520</v>
      </c>
      <c r="B73" t="s">
        <v>521</v>
      </c>
      <c r="C73" t="s">
        <v>118</v>
      </c>
      <c r="D73" t="s">
        <v>119</v>
      </c>
      <c r="E73" t="s">
        <v>119</v>
      </c>
      <c r="G73" t="s">
        <v>118</v>
      </c>
      <c r="I73" t="s">
        <v>120</v>
      </c>
      <c r="K73" t="s">
        <v>232</v>
      </c>
      <c r="L73" t="s">
        <v>233</v>
      </c>
      <c r="M73" t="s">
        <v>522</v>
      </c>
      <c r="N73" t="s">
        <v>348</v>
      </c>
      <c r="O73" t="s">
        <v>386</v>
      </c>
      <c r="P73" t="s">
        <v>126</v>
      </c>
      <c r="Q73" t="s">
        <v>126</v>
      </c>
      <c r="R73" t="s">
        <v>126</v>
      </c>
      <c r="S73" t="s">
        <v>126</v>
      </c>
      <c r="T73" t="s">
        <v>125</v>
      </c>
      <c r="U73" t="s">
        <v>126</v>
      </c>
      <c r="V73" t="s">
        <v>125</v>
      </c>
      <c r="W73" t="s">
        <v>126</v>
      </c>
      <c r="X73" t="s">
        <v>126</v>
      </c>
      <c r="Y73" t="s">
        <v>126</v>
      </c>
      <c r="Z73" t="s">
        <v>349</v>
      </c>
      <c r="AA73" t="s">
        <v>387</v>
      </c>
    </row>
    <row r="74" spans="1:27" x14ac:dyDescent="0.2">
      <c r="A74" t="s">
        <v>523</v>
      </c>
      <c r="B74" t="s">
        <v>524</v>
      </c>
      <c r="C74" t="s">
        <v>118</v>
      </c>
      <c r="D74" t="s">
        <v>119</v>
      </c>
      <c r="E74" t="s">
        <v>119</v>
      </c>
      <c r="G74" t="s">
        <v>118</v>
      </c>
      <c r="I74" t="s">
        <v>120</v>
      </c>
      <c r="K74" t="s">
        <v>232</v>
      </c>
      <c r="L74" t="s">
        <v>233</v>
      </c>
      <c r="M74" t="s">
        <v>525</v>
      </c>
      <c r="N74" t="s">
        <v>329</v>
      </c>
      <c r="O74" t="s">
        <v>287</v>
      </c>
      <c r="P74" t="s">
        <v>126</v>
      </c>
      <c r="Q74" t="s">
        <v>126</v>
      </c>
      <c r="R74" t="s">
        <v>126</v>
      </c>
      <c r="S74" t="s">
        <v>126</v>
      </c>
      <c r="T74" t="s">
        <v>144</v>
      </c>
      <c r="U74" t="s">
        <v>126</v>
      </c>
      <c r="V74" t="s">
        <v>144</v>
      </c>
      <c r="W74" t="s">
        <v>126</v>
      </c>
      <c r="X74" t="s">
        <v>126</v>
      </c>
      <c r="Y74" t="s">
        <v>126</v>
      </c>
      <c r="Z74" t="s">
        <v>330</v>
      </c>
      <c r="AA74" t="s">
        <v>288</v>
      </c>
    </row>
    <row r="75" spans="1:27" x14ac:dyDescent="0.2">
      <c r="A75" t="s">
        <v>526</v>
      </c>
      <c r="B75" t="s">
        <v>527</v>
      </c>
      <c r="C75" t="s">
        <v>118</v>
      </c>
      <c r="D75" t="s">
        <v>119</v>
      </c>
      <c r="E75" t="s">
        <v>119</v>
      </c>
      <c r="G75" t="s">
        <v>118</v>
      </c>
      <c r="I75" t="s">
        <v>120</v>
      </c>
      <c r="K75" t="s">
        <v>204</v>
      </c>
      <c r="L75" t="s">
        <v>205</v>
      </c>
      <c r="M75" t="s">
        <v>528</v>
      </c>
      <c r="N75" t="s">
        <v>322</v>
      </c>
      <c r="O75" t="s">
        <v>529</v>
      </c>
      <c r="P75" t="s">
        <v>126</v>
      </c>
      <c r="Q75" t="s">
        <v>126</v>
      </c>
      <c r="R75" t="s">
        <v>126</v>
      </c>
      <c r="S75" t="s">
        <v>126</v>
      </c>
      <c r="T75" t="s">
        <v>530</v>
      </c>
      <c r="U75" t="s">
        <v>126</v>
      </c>
      <c r="V75" t="s">
        <v>530</v>
      </c>
      <c r="W75" t="s">
        <v>126</v>
      </c>
      <c r="X75" t="s">
        <v>126</v>
      </c>
      <c r="Y75" t="s">
        <v>126</v>
      </c>
      <c r="Z75" t="s">
        <v>324</v>
      </c>
      <c r="AA75" t="s">
        <v>531</v>
      </c>
    </row>
    <row r="76" spans="1:27" x14ac:dyDescent="0.2">
      <c r="A76" t="s">
        <v>532</v>
      </c>
      <c r="B76" t="s">
        <v>533</v>
      </c>
      <c r="C76" t="s">
        <v>118</v>
      </c>
      <c r="D76" t="s">
        <v>119</v>
      </c>
      <c r="E76" t="s">
        <v>119</v>
      </c>
      <c r="G76" t="s">
        <v>118</v>
      </c>
      <c r="I76" t="s">
        <v>120</v>
      </c>
      <c r="K76" t="s">
        <v>149</v>
      </c>
      <c r="L76" t="s">
        <v>150</v>
      </c>
      <c r="M76" t="s">
        <v>534</v>
      </c>
      <c r="N76" t="s">
        <v>507</v>
      </c>
      <c r="O76" t="s">
        <v>535</v>
      </c>
      <c r="P76" t="s">
        <v>126</v>
      </c>
      <c r="Q76" t="s">
        <v>126</v>
      </c>
      <c r="R76" t="s">
        <v>126</v>
      </c>
      <c r="S76" t="s">
        <v>126</v>
      </c>
      <c r="T76" t="s">
        <v>200</v>
      </c>
      <c r="U76" t="s">
        <v>126</v>
      </c>
      <c r="V76" t="s">
        <v>200</v>
      </c>
      <c r="W76" t="s">
        <v>126</v>
      </c>
      <c r="X76" t="s">
        <v>126</v>
      </c>
      <c r="Y76" t="s">
        <v>126</v>
      </c>
      <c r="Z76" t="s">
        <v>509</v>
      </c>
      <c r="AA76" t="s">
        <v>536</v>
      </c>
    </row>
    <row r="77" spans="1:27" x14ac:dyDescent="0.2">
      <c r="A77" t="s">
        <v>537</v>
      </c>
      <c r="B77" t="s">
        <v>538</v>
      </c>
      <c r="C77" t="s">
        <v>118</v>
      </c>
      <c r="D77" t="s">
        <v>119</v>
      </c>
      <c r="E77" t="s">
        <v>119</v>
      </c>
      <c r="G77" t="s">
        <v>118</v>
      </c>
      <c r="I77" t="s">
        <v>120</v>
      </c>
      <c r="K77" t="s">
        <v>149</v>
      </c>
      <c r="L77" t="s">
        <v>150</v>
      </c>
      <c r="M77" t="s">
        <v>539</v>
      </c>
      <c r="N77" t="s">
        <v>249</v>
      </c>
      <c r="O77" t="s">
        <v>314</v>
      </c>
      <c r="P77" t="s">
        <v>126</v>
      </c>
      <c r="Q77" t="s">
        <v>126</v>
      </c>
      <c r="R77" t="s">
        <v>126</v>
      </c>
      <c r="S77" t="s">
        <v>126</v>
      </c>
      <c r="T77" t="s">
        <v>125</v>
      </c>
      <c r="U77" t="s">
        <v>126</v>
      </c>
      <c r="V77" t="s">
        <v>125</v>
      </c>
      <c r="W77" t="s">
        <v>126</v>
      </c>
      <c r="X77" t="s">
        <v>126</v>
      </c>
      <c r="Y77" t="s">
        <v>126</v>
      </c>
      <c r="Z77" t="s">
        <v>250</v>
      </c>
      <c r="AA77" t="s">
        <v>315</v>
      </c>
    </row>
    <row r="78" spans="1:27" x14ac:dyDescent="0.2">
      <c r="A78" t="s">
        <v>540</v>
      </c>
      <c r="B78" t="s">
        <v>541</v>
      </c>
      <c r="C78" t="s">
        <v>118</v>
      </c>
      <c r="D78" t="s">
        <v>119</v>
      </c>
      <c r="E78" t="s">
        <v>119</v>
      </c>
      <c r="G78" t="s">
        <v>118</v>
      </c>
      <c r="I78" t="s">
        <v>120</v>
      </c>
      <c r="K78" t="s">
        <v>149</v>
      </c>
      <c r="L78" t="s">
        <v>150</v>
      </c>
      <c r="M78" t="s">
        <v>542</v>
      </c>
      <c r="N78" t="s">
        <v>353</v>
      </c>
      <c r="O78" t="s">
        <v>354</v>
      </c>
      <c r="P78" t="s">
        <v>126</v>
      </c>
      <c r="Q78" t="s">
        <v>126</v>
      </c>
      <c r="R78" t="s">
        <v>126</v>
      </c>
      <c r="S78" t="s">
        <v>126</v>
      </c>
      <c r="T78" t="s">
        <v>200</v>
      </c>
      <c r="U78" t="s">
        <v>126</v>
      </c>
      <c r="V78" t="s">
        <v>200</v>
      </c>
      <c r="W78" t="s">
        <v>126</v>
      </c>
      <c r="X78" t="s">
        <v>126</v>
      </c>
      <c r="Y78" t="s">
        <v>126</v>
      </c>
      <c r="Z78" t="s">
        <v>355</v>
      </c>
      <c r="AA78" t="s">
        <v>356</v>
      </c>
    </row>
    <row r="79" spans="1:27" x14ac:dyDescent="0.2">
      <c r="A79" t="s">
        <v>543</v>
      </c>
      <c r="B79" t="s">
        <v>544</v>
      </c>
      <c r="C79" t="s">
        <v>118</v>
      </c>
      <c r="D79" t="s">
        <v>119</v>
      </c>
      <c r="E79" t="s">
        <v>119</v>
      </c>
      <c r="G79" t="s">
        <v>118</v>
      </c>
      <c r="I79" t="s">
        <v>120</v>
      </c>
      <c r="K79" t="s">
        <v>130</v>
      </c>
      <c r="L79" t="s">
        <v>131</v>
      </c>
      <c r="M79" t="s">
        <v>545</v>
      </c>
      <c r="N79" t="s">
        <v>396</v>
      </c>
      <c r="O79" t="s">
        <v>308</v>
      </c>
      <c r="P79" t="s">
        <v>126</v>
      </c>
      <c r="Q79" t="s">
        <v>126</v>
      </c>
      <c r="R79" t="s">
        <v>126</v>
      </c>
      <c r="S79" t="s">
        <v>126</v>
      </c>
      <c r="T79" t="s">
        <v>200</v>
      </c>
      <c r="U79" t="s">
        <v>126</v>
      </c>
      <c r="V79" t="s">
        <v>200</v>
      </c>
      <c r="W79" t="s">
        <v>126</v>
      </c>
      <c r="X79" t="s">
        <v>126</v>
      </c>
      <c r="Y79" t="s">
        <v>126</v>
      </c>
      <c r="Z79" t="s">
        <v>397</v>
      </c>
      <c r="AA79" t="s">
        <v>310</v>
      </c>
    </row>
    <row r="80" spans="1:27" x14ac:dyDescent="0.2">
      <c r="A80" t="s">
        <v>546</v>
      </c>
      <c r="B80" t="s">
        <v>547</v>
      </c>
      <c r="C80" t="s">
        <v>118</v>
      </c>
      <c r="D80" t="s">
        <v>119</v>
      </c>
      <c r="E80" t="s">
        <v>119</v>
      </c>
      <c r="G80" t="s">
        <v>118</v>
      </c>
      <c r="I80" t="s">
        <v>120</v>
      </c>
      <c r="K80" t="s">
        <v>149</v>
      </c>
      <c r="L80" t="s">
        <v>150</v>
      </c>
      <c r="M80" t="s">
        <v>548</v>
      </c>
      <c r="N80" t="s">
        <v>287</v>
      </c>
      <c r="O80" t="s">
        <v>549</v>
      </c>
      <c r="P80" t="s">
        <v>126</v>
      </c>
      <c r="Q80" t="s">
        <v>126</v>
      </c>
      <c r="R80" t="s">
        <v>126</v>
      </c>
      <c r="S80" t="s">
        <v>126</v>
      </c>
      <c r="T80" t="s">
        <v>200</v>
      </c>
      <c r="U80" t="s">
        <v>126</v>
      </c>
      <c r="V80" t="s">
        <v>200</v>
      </c>
      <c r="W80" t="s">
        <v>126</v>
      </c>
      <c r="X80" t="s">
        <v>126</v>
      </c>
      <c r="Y80" t="s">
        <v>126</v>
      </c>
      <c r="Z80" t="s">
        <v>288</v>
      </c>
      <c r="AA80" t="s">
        <v>550</v>
      </c>
    </row>
    <row r="81" spans="1:27" x14ac:dyDescent="0.2">
      <c r="A81" t="s">
        <v>551</v>
      </c>
      <c r="B81" t="s">
        <v>552</v>
      </c>
      <c r="C81" t="s">
        <v>118</v>
      </c>
      <c r="D81" t="s">
        <v>119</v>
      </c>
      <c r="E81" t="s">
        <v>119</v>
      </c>
      <c r="G81" t="s">
        <v>118</v>
      </c>
      <c r="I81" t="s">
        <v>120</v>
      </c>
      <c r="K81" t="s">
        <v>553</v>
      </c>
      <c r="L81" t="s">
        <v>554</v>
      </c>
      <c r="M81" t="s">
        <v>555</v>
      </c>
      <c r="N81" t="s">
        <v>299</v>
      </c>
      <c r="O81" t="s">
        <v>300</v>
      </c>
      <c r="P81" t="s">
        <v>126</v>
      </c>
      <c r="Q81" t="s">
        <v>126</v>
      </c>
      <c r="R81" t="s">
        <v>126</v>
      </c>
      <c r="S81" t="s">
        <v>126</v>
      </c>
      <c r="T81" t="s">
        <v>264</v>
      </c>
      <c r="U81" t="s">
        <v>126</v>
      </c>
      <c r="V81" t="s">
        <v>264</v>
      </c>
      <c r="W81" t="s">
        <v>126</v>
      </c>
      <c r="X81" t="s">
        <v>126</v>
      </c>
      <c r="Y81" t="s">
        <v>126</v>
      </c>
      <c r="Z81" t="s">
        <v>302</v>
      </c>
      <c r="AA81" t="s">
        <v>303</v>
      </c>
    </row>
    <row r="82" spans="1:27" x14ac:dyDescent="0.2">
      <c r="A82" t="s">
        <v>556</v>
      </c>
      <c r="B82" t="s">
        <v>557</v>
      </c>
      <c r="C82" t="s">
        <v>118</v>
      </c>
      <c r="D82" t="s">
        <v>119</v>
      </c>
      <c r="E82" t="s">
        <v>119</v>
      </c>
      <c r="G82" t="s">
        <v>118</v>
      </c>
      <c r="I82" t="s">
        <v>120</v>
      </c>
      <c r="K82" t="s">
        <v>149</v>
      </c>
      <c r="L82" t="s">
        <v>150</v>
      </c>
      <c r="M82" t="s">
        <v>558</v>
      </c>
      <c r="N82" t="s">
        <v>287</v>
      </c>
      <c r="O82" t="s">
        <v>307</v>
      </c>
      <c r="P82" t="s">
        <v>126</v>
      </c>
      <c r="Q82" t="s">
        <v>126</v>
      </c>
      <c r="R82" t="s">
        <v>126</v>
      </c>
      <c r="S82" t="s">
        <v>126</v>
      </c>
      <c r="T82" t="s">
        <v>200</v>
      </c>
      <c r="U82" t="s">
        <v>126</v>
      </c>
      <c r="V82" t="s">
        <v>200</v>
      </c>
      <c r="W82" t="s">
        <v>126</v>
      </c>
      <c r="X82" t="s">
        <v>126</v>
      </c>
      <c r="Y82" t="s">
        <v>126</v>
      </c>
      <c r="Z82" t="s">
        <v>288</v>
      </c>
      <c r="AA82" t="s">
        <v>309</v>
      </c>
    </row>
    <row r="83" spans="1:27" x14ac:dyDescent="0.2">
      <c r="A83" t="s">
        <v>559</v>
      </c>
      <c r="B83" t="s">
        <v>560</v>
      </c>
      <c r="C83" t="s">
        <v>118</v>
      </c>
      <c r="D83" t="s">
        <v>119</v>
      </c>
      <c r="E83" t="s">
        <v>119</v>
      </c>
      <c r="G83" t="s">
        <v>118</v>
      </c>
      <c r="I83" t="s">
        <v>120</v>
      </c>
      <c r="K83" t="s">
        <v>173</v>
      </c>
      <c r="L83" t="s">
        <v>174</v>
      </c>
      <c r="M83" t="s">
        <v>561</v>
      </c>
      <c r="N83" t="s">
        <v>549</v>
      </c>
      <c r="O83" t="s">
        <v>168</v>
      </c>
      <c r="P83" t="s">
        <v>126</v>
      </c>
      <c r="Q83" t="s">
        <v>126</v>
      </c>
      <c r="R83" t="s">
        <v>126</v>
      </c>
      <c r="S83" t="s">
        <v>126</v>
      </c>
      <c r="T83" t="s">
        <v>125</v>
      </c>
      <c r="U83" t="s">
        <v>126</v>
      </c>
      <c r="V83" t="s">
        <v>125</v>
      </c>
      <c r="W83" t="s">
        <v>126</v>
      </c>
      <c r="X83" t="s">
        <v>126</v>
      </c>
      <c r="Y83" t="s">
        <v>126</v>
      </c>
      <c r="Z83" t="s">
        <v>550</v>
      </c>
      <c r="AA83" t="s">
        <v>170</v>
      </c>
    </row>
    <row r="84" spans="1:27" x14ac:dyDescent="0.2">
      <c r="A84" t="s">
        <v>562</v>
      </c>
      <c r="B84" t="s">
        <v>563</v>
      </c>
      <c r="C84" t="s">
        <v>118</v>
      </c>
      <c r="D84" t="s">
        <v>119</v>
      </c>
      <c r="E84" t="s">
        <v>119</v>
      </c>
      <c r="G84" t="s">
        <v>118</v>
      </c>
      <c r="I84" t="s">
        <v>120</v>
      </c>
      <c r="K84" t="s">
        <v>149</v>
      </c>
      <c r="L84" t="s">
        <v>150</v>
      </c>
      <c r="M84" t="s">
        <v>564</v>
      </c>
      <c r="N84" t="s">
        <v>287</v>
      </c>
      <c r="O84" t="s">
        <v>396</v>
      </c>
      <c r="P84" t="s">
        <v>126</v>
      </c>
      <c r="Q84" t="s">
        <v>126</v>
      </c>
      <c r="R84" t="s">
        <v>126</v>
      </c>
      <c r="S84" t="s">
        <v>126</v>
      </c>
      <c r="T84" t="s">
        <v>200</v>
      </c>
      <c r="U84" t="s">
        <v>126</v>
      </c>
      <c r="V84" t="s">
        <v>200</v>
      </c>
      <c r="W84" t="s">
        <v>126</v>
      </c>
      <c r="X84" t="s">
        <v>126</v>
      </c>
      <c r="Y84" t="s">
        <v>126</v>
      </c>
      <c r="Z84" t="s">
        <v>288</v>
      </c>
      <c r="AA84" t="s">
        <v>397</v>
      </c>
    </row>
    <row r="85" spans="1:27" x14ac:dyDescent="0.2">
      <c r="A85" t="s">
        <v>565</v>
      </c>
      <c r="B85" t="s">
        <v>566</v>
      </c>
      <c r="C85" t="s">
        <v>118</v>
      </c>
      <c r="D85" t="s">
        <v>119</v>
      </c>
      <c r="E85" t="s">
        <v>119</v>
      </c>
      <c r="G85" t="s">
        <v>118</v>
      </c>
      <c r="I85" t="s">
        <v>120</v>
      </c>
      <c r="K85" t="s">
        <v>149</v>
      </c>
      <c r="L85" t="s">
        <v>150</v>
      </c>
      <c r="M85" t="s">
        <v>567</v>
      </c>
      <c r="N85" t="s">
        <v>177</v>
      </c>
      <c r="O85" t="s">
        <v>329</v>
      </c>
      <c r="P85" t="s">
        <v>126</v>
      </c>
      <c r="Q85" t="s">
        <v>126</v>
      </c>
      <c r="R85" t="s">
        <v>126</v>
      </c>
      <c r="S85" t="s">
        <v>126</v>
      </c>
      <c r="T85" t="s">
        <v>169</v>
      </c>
      <c r="U85" t="s">
        <v>126</v>
      </c>
      <c r="V85" t="s">
        <v>169</v>
      </c>
      <c r="W85" t="s">
        <v>126</v>
      </c>
      <c r="X85" t="s">
        <v>126</v>
      </c>
      <c r="Y85" t="s">
        <v>126</v>
      </c>
      <c r="Z85" t="s">
        <v>179</v>
      </c>
      <c r="AA85" t="s">
        <v>330</v>
      </c>
    </row>
    <row r="86" spans="1:27" x14ac:dyDescent="0.2">
      <c r="A86" t="s">
        <v>568</v>
      </c>
      <c r="B86" t="s">
        <v>569</v>
      </c>
      <c r="C86" t="s">
        <v>118</v>
      </c>
      <c r="D86" t="s">
        <v>119</v>
      </c>
      <c r="E86" t="s">
        <v>119</v>
      </c>
      <c r="G86" t="s">
        <v>118</v>
      </c>
      <c r="I86" t="s">
        <v>120</v>
      </c>
      <c r="K86" t="s">
        <v>204</v>
      </c>
      <c r="L86" t="s">
        <v>205</v>
      </c>
      <c r="M86" t="s">
        <v>570</v>
      </c>
      <c r="N86" t="s">
        <v>322</v>
      </c>
      <c r="O86" t="s">
        <v>287</v>
      </c>
      <c r="P86" t="s">
        <v>126</v>
      </c>
      <c r="Q86" t="s">
        <v>126</v>
      </c>
      <c r="R86" t="s">
        <v>126</v>
      </c>
      <c r="S86" t="s">
        <v>126</v>
      </c>
      <c r="T86" t="s">
        <v>125</v>
      </c>
      <c r="U86" t="s">
        <v>126</v>
      </c>
      <c r="V86" t="s">
        <v>125</v>
      </c>
      <c r="W86" t="s">
        <v>126</v>
      </c>
      <c r="X86" t="s">
        <v>126</v>
      </c>
      <c r="Y86" t="s">
        <v>126</v>
      </c>
      <c r="Z86" t="s">
        <v>324</v>
      </c>
      <c r="AA86" t="s">
        <v>288</v>
      </c>
    </row>
    <row r="87" spans="1:27" x14ac:dyDescent="0.2">
      <c r="A87" t="s">
        <v>571</v>
      </c>
      <c r="B87" t="s">
        <v>572</v>
      </c>
      <c r="C87" t="s">
        <v>118</v>
      </c>
      <c r="D87" t="s">
        <v>119</v>
      </c>
      <c r="E87" t="s">
        <v>119</v>
      </c>
      <c r="G87" t="s">
        <v>118</v>
      </c>
      <c r="I87" t="s">
        <v>120</v>
      </c>
      <c r="K87" t="s">
        <v>149</v>
      </c>
      <c r="L87" t="s">
        <v>150</v>
      </c>
      <c r="M87" t="s">
        <v>573</v>
      </c>
      <c r="N87" t="s">
        <v>375</v>
      </c>
      <c r="O87" t="s">
        <v>574</v>
      </c>
      <c r="P87" t="s">
        <v>125</v>
      </c>
      <c r="Q87" t="s">
        <v>126</v>
      </c>
      <c r="R87" t="s">
        <v>126</v>
      </c>
      <c r="S87" t="s">
        <v>126</v>
      </c>
      <c r="T87" t="s">
        <v>125</v>
      </c>
      <c r="U87" t="s">
        <v>126</v>
      </c>
      <c r="V87" t="s">
        <v>125</v>
      </c>
      <c r="W87" t="s">
        <v>126</v>
      </c>
      <c r="X87" t="s">
        <v>126</v>
      </c>
      <c r="Y87" t="s">
        <v>126</v>
      </c>
      <c r="Z87" t="s">
        <v>377</v>
      </c>
      <c r="AA87" t="s">
        <v>575</v>
      </c>
    </row>
    <row r="88" spans="1:27" x14ac:dyDescent="0.2">
      <c r="A88" t="s">
        <v>576</v>
      </c>
      <c r="B88" t="s">
        <v>577</v>
      </c>
      <c r="C88" t="s">
        <v>118</v>
      </c>
      <c r="D88" t="s">
        <v>119</v>
      </c>
      <c r="E88" t="s">
        <v>119</v>
      </c>
      <c r="G88" t="s">
        <v>118</v>
      </c>
      <c r="I88" t="s">
        <v>120</v>
      </c>
      <c r="K88" t="s">
        <v>578</v>
      </c>
      <c r="L88" t="s">
        <v>579</v>
      </c>
      <c r="M88" t="s">
        <v>580</v>
      </c>
      <c r="N88" t="s">
        <v>581</v>
      </c>
      <c r="O88" t="s">
        <v>302</v>
      </c>
      <c r="P88" t="s">
        <v>126</v>
      </c>
      <c r="Q88" t="s">
        <v>126</v>
      </c>
      <c r="R88" t="s">
        <v>126</v>
      </c>
      <c r="S88" t="s">
        <v>126</v>
      </c>
      <c r="T88" t="s">
        <v>126</v>
      </c>
      <c r="U88" t="s">
        <v>126</v>
      </c>
      <c r="V88" t="s">
        <v>126</v>
      </c>
      <c r="W88" t="s">
        <v>126</v>
      </c>
      <c r="X88" t="s">
        <v>126</v>
      </c>
      <c r="Y88" t="s">
        <v>126</v>
      </c>
      <c r="Z88" t="s">
        <v>582</v>
      </c>
      <c r="AA88" t="s">
        <v>583</v>
      </c>
    </row>
    <row r="89" spans="1:27" x14ac:dyDescent="0.2">
      <c r="A89" t="s">
        <v>584</v>
      </c>
      <c r="B89" t="s">
        <v>585</v>
      </c>
      <c r="C89" t="s">
        <v>118</v>
      </c>
      <c r="D89" t="s">
        <v>119</v>
      </c>
      <c r="E89" t="s">
        <v>119</v>
      </c>
      <c r="G89" t="s">
        <v>118</v>
      </c>
      <c r="I89" t="s">
        <v>120</v>
      </c>
      <c r="K89" t="s">
        <v>173</v>
      </c>
      <c r="L89" t="s">
        <v>174</v>
      </c>
      <c r="M89" t="s">
        <v>586</v>
      </c>
      <c r="N89" t="s">
        <v>274</v>
      </c>
      <c r="O89" t="s">
        <v>152</v>
      </c>
      <c r="P89" t="s">
        <v>126</v>
      </c>
      <c r="Q89" t="s">
        <v>126</v>
      </c>
      <c r="R89" t="s">
        <v>126</v>
      </c>
      <c r="S89" t="s">
        <v>126</v>
      </c>
      <c r="T89" t="s">
        <v>126</v>
      </c>
      <c r="U89" t="s">
        <v>126</v>
      </c>
      <c r="V89" t="s">
        <v>126</v>
      </c>
      <c r="W89" t="s">
        <v>126</v>
      </c>
      <c r="X89" t="s">
        <v>126</v>
      </c>
      <c r="Y89" t="s">
        <v>126</v>
      </c>
      <c r="Z89" t="s">
        <v>276</v>
      </c>
      <c r="AA89" t="s">
        <v>154</v>
      </c>
    </row>
    <row r="90" spans="1:27" x14ac:dyDescent="0.2">
      <c r="A90" t="s">
        <v>587</v>
      </c>
      <c r="B90" t="s">
        <v>588</v>
      </c>
      <c r="C90" t="s">
        <v>118</v>
      </c>
      <c r="D90" t="s">
        <v>119</v>
      </c>
      <c r="E90" t="s">
        <v>119</v>
      </c>
      <c r="G90" t="s">
        <v>118</v>
      </c>
      <c r="I90" t="s">
        <v>120</v>
      </c>
      <c r="K90" t="s">
        <v>232</v>
      </c>
      <c r="L90" t="s">
        <v>233</v>
      </c>
      <c r="M90" t="s">
        <v>589</v>
      </c>
      <c r="N90" t="s">
        <v>294</v>
      </c>
      <c r="O90" t="s">
        <v>574</v>
      </c>
      <c r="P90" t="s">
        <v>126</v>
      </c>
      <c r="Q90" t="s">
        <v>126</v>
      </c>
      <c r="R90" t="s">
        <v>126</v>
      </c>
      <c r="S90" t="s">
        <v>126</v>
      </c>
      <c r="T90" t="s">
        <v>125</v>
      </c>
      <c r="U90" t="s">
        <v>126</v>
      </c>
      <c r="V90" t="s">
        <v>125</v>
      </c>
      <c r="W90" t="s">
        <v>126</v>
      </c>
      <c r="X90" t="s">
        <v>126</v>
      </c>
      <c r="Y90" t="s">
        <v>126</v>
      </c>
      <c r="Z90" t="s">
        <v>295</v>
      </c>
      <c r="AA90" t="s">
        <v>575</v>
      </c>
    </row>
    <row r="91" spans="1:27" x14ac:dyDescent="0.2">
      <c r="A91" t="s">
        <v>590</v>
      </c>
      <c r="B91" t="s">
        <v>591</v>
      </c>
      <c r="C91" t="s">
        <v>118</v>
      </c>
      <c r="D91" t="s">
        <v>119</v>
      </c>
      <c r="E91" t="s">
        <v>119</v>
      </c>
      <c r="G91" t="s">
        <v>118</v>
      </c>
      <c r="I91" t="s">
        <v>120</v>
      </c>
      <c r="K91" t="s">
        <v>204</v>
      </c>
      <c r="L91" t="s">
        <v>205</v>
      </c>
      <c r="M91" t="s">
        <v>592</v>
      </c>
      <c r="N91" t="s">
        <v>214</v>
      </c>
      <c r="O91" t="s">
        <v>396</v>
      </c>
      <c r="P91" t="s">
        <v>126</v>
      </c>
      <c r="Q91" t="s">
        <v>126</v>
      </c>
      <c r="R91" t="s">
        <v>126</v>
      </c>
      <c r="S91" t="s">
        <v>126</v>
      </c>
      <c r="T91" t="s">
        <v>125</v>
      </c>
      <c r="U91" t="s">
        <v>126</v>
      </c>
      <c r="V91" t="s">
        <v>125</v>
      </c>
      <c r="W91" t="s">
        <v>126</v>
      </c>
      <c r="X91" t="s">
        <v>126</v>
      </c>
      <c r="Y91" t="s">
        <v>126</v>
      </c>
      <c r="Z91" t="s">
        <v>215</v>
      </c>
      <c r="AA91" t="s">
        <v>397</v>
      </c>
    </row>
    <row r="92" spans="1:27" x14ac:dyDescent="0.2">
      <c r="A92" t="s">
        <v>593</v>
      </c>
      <c r="B92" t="s">
        <v>594</v>
      </c>
      <c r="C92" t="s">
        <v>118</v>
      </c>
      <c r="D92" t="s">
        <v>119</v>
      </c>
      <c r="E92" t="s">
        <v>119</v>
      </c>
      <c r="G92" t="s">
        <v>118</v>
      </c>
      <c r="I92" t="s">
        <v>120</v>
      </c>
      <c r="K92" t="s">
        <v>158</v>
      </c>
      <c r="L92" t="s">
        <v>159</v>
      </c>
      <c r="M92" t="s">
        <v>595</v>
      </c>
      <c r="N92" t="s">
        <v>153</v>
      </c>
      <c r="O92" t="s">
        <v>177</v>
      </c>
      <c r="P92" t="s">
        <v>126</v>
      </c>
      <c r="Q92" t="s">
        <v>126</v>
      </c>
      <c r="R92" t="s">
        <v>126</v>
      </c>
      <c r="S92" t="s">
        <v>126</v>
      </c>
      <c r="T92" t="s">
        <v>200</v>
      </c>
      <c r="U92" t="s">
        <v>126</v>
      </c>
      <c r="V92" t="s">
        <v>200</v>
      </c>
      <c r="W92" t="s">
        <v>126</v>
      </c>
      <c r="X92" t="s">
        <v>126</v>
      </c>
      <c r="Y92" t="s">
        <v>126</v>
      </c>
      <c r="Z92" t="s">
        <v>155</v>
      </c>
      <c r="AA92" t="s">
        <v>179</v>
      </c>
    </row>
    <row r="93" spans="1:27" x14ac:dyDescent="0.2">
      <c r="A93" t="s">
        <v>596</v>
      </c>
      <c r="B93" t="s">
        <v>597</v>
      </c>
      <c r="C93" t="s">
        <v>118</v>
      </c>
      <c r="D93" t="s">
        <v>119</v>
      </c>
      <c r="E93" t="s">
        <v>119</v>
      </c>
      <c r="G93" t="s">
        <v>118</v>
      </c>
      <c r="I93" t="s">
        <v>120</v>
      </c>
      <c r="K93" t="s">
        <v>204</v>
      </c>
      <c r="L93" t="s">
        <v>205</v>
      </c>
      <c r="M93" t="s">
        <v>598</v>
      </c>
      <c r="N93" t="s">
        <v>599</v>
      </c>
      <c r="O93" t="s">
        <v>600</v>
      </c>
      <c r="P93" t="s">
        <v>126</v>
      </c>
      <c r="Q93" t="s">
        <v>126</v>
      </c>
      <c r="R93" t="s">
        <v>126</v>
      </c>
      <c r="S93" t="s">
        <v>126</v>
      </c>
      <c r="T93" t="s">
        <v>200</v>
      </c>
      <c r="U93" t="s">
        <v>126</v>
      </c>
      <c r="V93" t="s">
        <v>200</v>
      </c>
      <c r="W93" t="s">
        <v>126</v>
      </c>
      <c r="X93" t="s">
        <v>126</v>
      </c>
      <c r="Y93" t="s">
        <v>126</v>
      </c>
      <c r="Z93" t="s">
        <v>601</v>
      </c>
      <c r="AA93" t="s">
        <v>602</v>
      </c>
    </row>
    <row r="94" spans="1:27" x14ac:dyDescent="0.2">
      <c r="A94" t="s">
        <v>603</v>
      </c>
      <c r="B94" t="s">
        <v>604</v>
      </c>
      <c r="C94" t="s">
        <v>118</v>
      </c>
      <c r="D94" t="s">
        <v>119</v>
      </c>
      <c r="E94" t="s">
        <v>119</v>
      </c>
      <c r="G94" t="s">
        <v>118</v>
      </c>
      <c r="I94" t="s">
        <v>120</v>
      </c>
      <c r="K94" t="s">
        <v>130</v>
      </c>
      <c r="L94" t="s">
        <v>131</v>
      </c>
      <c r="M94" t="s">
        <v>605</v>
      </c>
      <c r="N94" t="s">
        <v>300</v>
      </c>
      <c r="O94" t="s">
        <v>133</v>
      </c>
      <c r="P94" t="s">
        <v>126</v>
      </c>
      <c r="Q94" t="s">
        <v>126</v>
      </c>
      <c r="R94" t="s">
        <v>126</v>
      </c>
      <c r="S94" t="s">
        <v>126</v>
      </c>
      <c r="T94" t="s">
        <v>169</v>
      </c>
      <c r="U94" t="s">
        <v>126</v>
      </c>
      <c r="V94" t="s">
        <v>169</v>
      </c>
      <c r="W94" t="s">
        <v>126</v>
      </c>
      <c r="X94" t="s">
        <v>126</v>
      </c>
      <c r="Y94" t="s">
        <v>126</v>
      </c>
      <c r="Z94" t="s">
        <v>303</v>
      </c>
      <c r="AA94" t="s">
        <v>135</v>
      </c>
    </row>
    <row r="95" spans="1:27" x14ac:dyDescent="0.2">
      <c r="A95" t="s">
        <v>606</v>
      </c>
      <c r="B95" t="s">
        <v>607</v>
      </c>
      <c r="C95" t="s">
        <v>118</v>
      </c>
      <c r="D95" t="s">
        <v>119</v>
      </c>
      <c r="E95" t="s">
        <v>119</v>
      </c>
      <c r="G95" t="s">
        <v>118</v>
      </c>
      <c r="I95" t="s">
        <v>120</v>
      </c>
      <c r="K95" t="s">
        <v>578</v>
      </c>
      <c r="L95" t="s">
        <v>579</v>
      </c>
      <c r="M95" t="s">
        <v>608</v>
      </c>
      <c r="N95" t="s">
        <v>236</v>
      </c>
      <c r="O95" t="s">
        <v>280</v>
      </c>
      <c r="P95" t="s">
        <v>126</v>
      </c>
      <c r="Q95" t="s">
        <v>126</v>
      </c>
      <c r="R95" t="s">
        <v>126</v>
      </c>
      <c r="S95" t="s">
        <v>126</v>
      </c>
      <c r="T95" t="s">
        <v>436</v>
      </c>
      <c r="U95" t="s">
        <v>126</v>
      </c>
      <c r="V95" t="s">
        <v>436</v>
      </c>
      <c r="W95" t="s">
        <v>126</v>
      </c>
      <c r="X95" t="s">
        <v>126</v>
      </c>
      <c r="Y95" t="s">
        <v>126</v>
      </c>
      <c r="Z95" t="s">
        <v>238</v>
      </c>
      <c r="AA95" t="s">
        <v>282</v>
      </c>
    </row>
    <row r="96" spans="1:27" x14ac:dyDescent="0.2">
      <c r="A96" t="s">
        <v>609</v>
      </c>
      <c r="B96" t="s">
        <v>610</v>
      </c>
      <c r="C96" t="s">
        <v>118</v>
      </c>
      <c r="D96" t="s">
        <v>119</v>
      </c>
      <c r="E96" t="s">
        <v>119</v>
      </c>
      <c r="G96" t="s">
        <v>118</v>
      </c>
      <c r="I96" t="s">
        <v>120</v>
      </c>
      <c r="K96" t="s">
        <v>149</v>
      </c>
      <c r="L96" t="s">
        <v>150</v>
      </c>
      <c r="M96" t="s">
        <v>611</v>
      </c>
      <c r="N96" t="s">
        <v>581</v>
      </c>
      <c r="O96" t="s">
        <v>142</v>
      </c>
      <c r="P96" t="s">
        <v>126</v>
      </c>
      <c r="Q96" t="s">
        <v>126</v>
      </c>
      <c r="R96" t="s">
        <v>126</v>
      </c>
      <c r="S96" t="s">
        <v>126</v>
      </c>
      <c r="T96" t="s">
        <v>200</v>
      </c>
      <c r="U96" t="s">
        <v>126</v>
      </c>
      <c r="V96" t="s">
        <v>200</v>
      </c>
      <c r="W96" t="s">
        <v>126</v>
      </c>
      <c r="X96" t="s">
        <v>126</v>
      </c>
      <c r="Y96" t="s">
        <v>126</v>
      </c>
      <c r="Z96" t="s">
        <v>582</v>
      </c>
      <c r="AA96" t="s">
        <v>145</v>
      </c>
    </row>
    <row r="97" spans="1:27" x14ac:dyDescent="0.2">
      <c r="A97" t="s">
        <v>612</v>
      </c>
      <c r="B97" t="s">
        <v>613</v>
      </c>
      <c r="C97" t="s">
        <v>118</v>
      </c>
      <c r="D97" t="s">
        <v>119</v>
      </c>
      <c r="E97" t="s">
        <v>119</v>
      </c>
      <c r="G97" t="s">
        <v>118</v>
      </c>
      <c r="I97" t="s">
        <v>120</v>
      </c>
      <c r="K97" t="s">
        <v>232</v>
      </c>
      <c r="L97" t="s">
        <v>233</v>
      </c>
      <c r="M97" t="s">
        <v>614</v>
      </c>
      <c r="N97" t="s">
        <v>214</v>
      </c>
      <c r="O97" t="s">
        <v>307</v>
      </c>
      <c r="P97" t="s">
        <v>126</v>
      </c>
      <c r="Q97" t="s">
        <v>126</v>
      </c>
      <c r="R97" t="s">
        <v>126</v>
      </c>
      <c r="S97" t="s">
        <v>126</v>
      </c>
      <c r="T97" t="s">
        <v>126</v>
      </c>
      <c r="U97" t="s">
        <v>126</v>
      </c>
      <c r="V97" t="s">
        <v>126</v>
      </c>
      <c r="W97" t="s">
        <v>126</v>
      </c>
      <c r="X97" t="s">
        <v>126</v>
      </c>
      <c r="Y97" t="s">
        <v>126</v>
      </c>
      <c r="Z97" t="s">
        <v>215</v>
      </c>
      <c r="AA97" t="s">
        <v>309</v>
      </c>
    </row>
    <row r="98" spans="1:27" x14ac:dyDescent="0.2">
      <c r="A98" t="s">
        <v>615</v>
      </c>
      <c r="B98" t="s">
        <v>616</v>
      </c>
      <c r="C98" t="s">
        <v>118</v>
      </c>
      <c r="D98" t="s">
        <v>119</v>
      </c>
      <c r="E98" t="s">
        <v>119</v>
      </c>
      <c r="G98" t="s">
        <v>118</v>
      </c>
      <c r="I98" t="s">
        <v>120</v>
      </c>
      <c r="K98" t="s">
        <v>232</v>
      </c>
      <c r="L98" t="s">
        <v>233</v>
      </c>
      <c r="M98" t="s">
        <v>617</v>
      </c>
      <c r="N98" t="s">
        <v>618</v>
      </c>
      <c r="O98" t="s">
        <v>619</v>
      </c>
      <c r="P98" t="s">
        <v>126</v>
      </c>
      <c r="Q98" t="s">
        <v>126</v>
      </c>
      <c r="R98" t="s">
        <v>126</v>
      </c>
      <c r="S98" t="s">
        <v>126</v>
      </c>
      <c r="T98" t="s">
        <v>125</v>
      </c>
      <c r="U98" t="s">
        <v>126</v>
      </c>
      <c r="V98" t="s">
        <v>125</v>
      </c>
      <c r="W98" t="s">
        <v>126</v>
      </c>
      <c r="X98" t="s">
        <v>126</v>
      </c>
      <c r="Y98" t="s">
        <v>126</v>
      </c>
      <c r="Z98" t="s">
        <v>620</v>
      </c>
      <c r="AA98" t="s">
        <v>621</v>
      </c>
    </row>
    <row r="99" spans="1:27" x14ac:dyDescent="0.2">
      <c r="A99" t="s">
        <v>622</v>
      </c>
      <c r="B99" t="s">
        <v>623</v>
      </c>
      <c r="C99" t="s">
        <v>118</v>
      </c>
      <c r="D99" t="s">
        <v>119</v>
      </c>
      <c r="E99" t="s">
        <v>119</v>
      </c>
      <c r="G99" t="s">
        <v>118</v>
      </c>
      <c r="I99" t="s">
        <v>120</v>
      </c>
      <c r="K99" t="s">
        <v>173</v>
      </c>
      <c r="L99" t="s">
        <v>174</v>
      </c>
      <c r="M99" t="s">
        <v>624</v>
      </c>
      <c r="N99" t="s">
        <v>207</v>
      </c>
      <c r="O99" t="s">
        <v>219</v>
      </c>
      <c r="P99" t="s">
        <v>126</v>
      </c>
      <c r="Q99" t="s">
        <v>126</v>
      </c>
      <c r="R99" t="s">
        <v>126</v>
      </c>
      <c r="S99" t="s">
        <v>126</v>
      </c>
      <c r="T99" t="s">
        <v>126</v>
      </c>
      <c r="U99" t="s">
        <v>126</v>
      </c>
      <c r="V99" t="s">
        <v>126</v>
      </c>
      <c r="W99" t="s">
        <v>126</v>
      </c>
      <c r="X99" t="s">
        <v>126</v>
      </c>
      <c r="Y99" t="s">
        <v>126</v>
      </c>
      <c r="Z99" t="s">
        <v>209</v>
      </c>
      <c r="AA99" t="s">
        <v>221</v>
      </c>
    </row>
    <row r="100" spans="1:27" x14ac:dyDescent="0.2">
      <c r="A100" t="s">
        <v>625</v>
      </c>
      <c r="B100" t="s">
        <v>626</v>
      </c>
      <c r="C100" t="s">
        <v>118</v>
      </c>
      <c r="D100" t="s">
        <v>119</v>
      </c>
      <c r="E100" t="s">
        <v>119</v>
      </c>
      <c r="G100" t="s">
        <v>118</v>
      </c>
      <c r="I100" t="s">
        <v>120</v>
      </c>
      <c r="K100" t="s">
        <v>130</v>
      </c>
      <c r="L100" t="s">
        <v>131</v>
      </c>
      <c r="M100" t="s">
        <v>627</v>
      </c>
      <c r="N100" t="s">
        <v>249</v>
      </c>
      <c r="O100" t="s">
        <v>314</v>
      </c>
      <c r="P100" t="s">
        <v>126</v>
      </c>
      <c r="Q100" t="s">
        <v>126</v>
      </c>
      <c r="R100" t="s">
        <v>126</v>
      </c>
      <c r="S100" t="s">
        <v>126</v>
      </c>
      <c r="T100" t="s">
        <v>628</v>
      </c>
      <c r="U100" t="s">
        <v>126</v>
      </c>
      <c r="V100" t="s">
        <v>628</v>
      </c>
      <c r="W100" t="s">
        <v>126</v>
      </c>
      <c r="X100" t="s">
        <v>126</v>
      </c>
      <c r="Y100" t="s">
        <v>126</v>
      </c>
      <c r="Z100" t="s">
        <v>250</v>
      </c>
      <c r="AA100" t="s">
        <v>315</v>
      </c>
    </row>
    <row r="101" spans="1:27" x14ac:dyDescent="0.2">
      <c r="A101" t="s">
        <v>629</v>
      </c>
      <c r="B101" t="s">
        <v>630</v>
      </c>
      <c r="C101" t="s">
        <v>118</v>
      </c>
      <c r="D101" t="s">
        <v>119</v>
      </c>
      <c r="E101" t="s">
        <v>119</v>
      </c>
      <c r="G101" t="s">
        <v>118</v>
      </c>
      <c r="I101" t="s">
        <v>120</v>
      </c>
      <c r="K101" t="s">
        <v>158</v>
      </c>
      <c r="L101" t="s">
        <v>159</v>
      </c>
      <c r="M101" t="s">
        <v>631</v>
      </c>
      <c r="N101" t="s">
        <v>226</v>
      </c>
      <c r="O101" t="s">
        <v>632</v>
      </c>
      <c r="P101" t="s">
        <v>126</v>
      </c>
      <c r="Q101" t="s">
        <v>126</v>
      </c>
      <c r="R101" t="s">
        <v>126</v>
      </c>
      <c r="S101" t="s">
        <v>126</v>
      </c>
      <c r="T101" t="s">
        <v>436</v>
      </c>
      <c r="U101" t="s">
        <v>126</v>
      </c>
      <c r="V101" t="s">
        <v>436</v>
      </c>
      <c r="W101" t="s">
        <v>126</v>
      </c>
      <c r="X101" t="s">
        <v>126</v>
      </c>
      <c r="Y101" t="s">
        <v>126</v>
      </c>
      <c r="Z101" t="s">
        <v>228</v>
      </c>
      <c r="AA101" t="s">
        <v>633</v>
      </c>
    </row>
    <row r="102" spans="1:27" x14ac:dyDescent="0.2">
      <c r="A102" t="s">
        <v>634</v>
      </c>
      <c r="B102" t="s">
        <v>635</v>
      </c>
      <c r="C102" t="s">
        <v>118</v>
      </c>
      <c r="D102" t="s">
        <v>119</v>
      </c>
      <c r="E102" t="s">
        <v>119</v>
      </c>
      <c r="G102" t="s">
        <v>118</v>
      </c>
      <c r="I102" t="s">
        <v>120</v>
      </c>
      <c r="K102" t="s">
        <v>636</v>
      </c>
      <c r="L102" t="s">
        <v>637</v>
      </c>
      <c r="M102" t="s">
        <v>638</v>
      </c>
      <c r="N102" t="s">
        <v>168</v>
      </c>
      <c r="O102" t="s">
        <v>314</v>
      </c>
      <c r="P102" t="s">
        <v>126</v>
      </c>
      <c r="Q102" t="s">
        <v>126</v>
      </c>
      <c r="R102" t="s">
        <v>126</v>
      </c>
      <c r="S102" t="s">
        <v>126</v>
      </c>
      <c r="T102" t="s">
        <v>200</v>
      </c>
      <c r="U102" t="s">
        <v>126</v>
      </c>
      <c r="V102" t="s">
        <v>200</v>
      </c>
      <c r="W102" t="s">
        <v>126</v>
      </c>
      <c r="X102" t="s">
        <v>126</v>
      </c>
      <c r="Y102" t="s">
        <v>126</v>
      </c>
      <c r="Z102" t="s">
        <v>170</v>
      </c>
      <c r="AA102" t="s">
        <v>315</v>
      </c>
    </row>
    <row r="103" spans="1:27" x14ac:dyDescent="0.2">
      <c r="A103" t="s">
        <v>639</v>
      </c>
      <c r="B103" t="s">
        <v>640</v>
      </c>
      <c r="C103" t="s">
        <v>118</v>
      </c>
      <c r="D103" t="s">
        <v>119</v>
      </c>
      <c r="E103" t="s">
        <v>119</v>
      </c>
      <c r="G103" t="s">
        <v>118</v>
      </c>
      <c r="I103" t="s">
        <v>120</v>
      </c>
      <c r="K103" t="s">
        <v>232</v>
      </c>
      <c r="L103" t="s">
        <v>233</v>
      </c>
      <c r="M103" t="s">
        <v>641</v>
      </c>
      <c r="N103" t="s">
        <v>642</v>
      </c>
      <c r="O103" t="s">
        <v>643</v>
      </c>
      <c r="P103" t="s">
        <v>125</v>
      </c>
      <c r="Q103" t="s">
        <v>126</v>
      </c>
      <c r="R103" t="s">
        <v>126</v>
      </c>
      <c r="S103" t="s">
        <v>126</v>
      </c>
      <c r="T103" t="s">
        <v>125</v>
      </c>
      <c r="U103" t="s">
        <v>126</v>
      </c>
      <c r="V103" t="s">
        <v>125</v>
      </c>
      <c r="W103" t="s">
        <v>126</v>
      </c>
      <c r="X103" t="s">
        <v>126</v>
      </c>
      <c r="Y103" t="s">
        <v>126</v>
      </c>
      <c r="Z103" t="s">
        <v>644</v>
      </c>
      <c r="AA103" t="s">
        <v>645</v>
      </c>
    </row>
    <row r="104" spans="1:27" x14ac:dyDescent="0.2">
      <c r="A104" t="s">
        <v>646</v>
      </c>
      <c r="B104" t="s">
        <v>647</v>
      </c>
      <c r="C104" t="s">
        <v>118</v>
      </c>
      <c r="D104" t="s">
        <v>119</v>
      </c>
      <c r="E104" t="s">
        <v>119</v>
      </c>
      <c r="G104" t="s">
        <v>118</v>
      </c>
      <c r="I104" t="s">
        <v>120</v>
      </c>
      <c r="K104" t="s">
        <v>204</v>
      </c>
      <c r="L104" t="s">
        <v>205</v>
      </c>
      <c r="M104" t="s">
        <v>648</v>
      </c>
      <c r="N104" t="s">
        <v>162</v>
      </c>
      <c r="O104" t="s">
        <v>299</v>
      </c>
      <c r="P104" t="s">
        <v>126</v>
      </c>
      <c r="Q104" t="s">
        <v>126</v>
      </c>
      <c r="R104" t="s">
        <v>126</v>
      </c>
      <c r="S104" t="s">
        <v>126</v>
      </c>
      <c r="T104" t="s">
        <v>125</v>
      </c>
      <c r="U104" t="s">
        <v>126</v>
      </c>
      <c r="V104" t="s">
        <v>125</v>
      </c>
      <c r="W104" t="s">
        <v>126</v>
      </c>
      <c r="X104" t="s">
        <v>126</v>
      </c>
      <c r="Y104" t="s">
        <v>126</v>
      </c>
      <c r="Z104" t="s">
        <v>164</v>
      </c>
      <c r="AA104" t="s">
        <v>302</v>
      </c>
    </row>
    <row r="105" spans="1:27" x14ac:dyDescent="0.2">
      <c r="A105" t="s">
        <v>649</v>
      </c>
      <c r="B105" t="s">
        <v>650</v>
      </c>
      <c r="C105" t="s">
        <v>118</v>
      </c>
      <c r="D105" t="s">
        <v>119</v>
      </c>
      <c r="E105" t="s">
        <v>119</v>
      </c>
      <c r="G105" t="s">
        <v>118</v>
      </c>
      <c r="I105" t="s">
        <v>120</v>
      </c>
      <c r="K105" t="s">
        <v>149</v>
      </c>
      <c r="L105" t="s">
        <v>150</v>
      </c>
      <c r="M105" t="s">
        <v>651</v>
      </c>
      <c r="N105" t="s">
        <v>262</v>
      </c>
      <c r="O105" t="s">
        <v>652</v>
      </c>
      <c r="P105" t="s">
        <v>126</v>
      </c>
      <c r="Q105" t="s">
        <v>126</v>
      </c>
      <c r="R105" t="s">
        <v>126</v>
      </c>
      <c r="S105" t="s">
        <v>126</v>
      </c>
      <c r="T105" t="s">
        <v>126</v>
      </c>
      <c r="U105" t="s">
        <v>126</v>
      </c>
      <c r="V105" t="s">
        <v>126</v>
      </c>
      <c r="W105" t="s">
        <v>126</v>
      </c>
      <c r="X105" t="s">
        <v>126</v>
      </c>
      <c r="Y105" t="s">
        <v>126</v>
      </c>
      <c r="Z105" t="s">
        <v>265</v>
      </c>
      <c r="AA105" t="s">
        <v>653</v>
      </c>
    </row>
    <row r="106" spans="1:27" x14ac:dyDescent="0.2">
      <c r="A106" t="s">
        <v>654</v>
      </c>
      <c r="B106" t="s">
        <v>655</v>
      </c>
      <c r="C106" t="s">
        <v>118</v>
      </c>
      <c r="D106" t="s">
        <v>119</v>
      </c>
      <c r="E106" t="s">
        <v>119</v>
      </c>
      <c r="G106" t="s">
        <v>118</v>
      </c>
      <c r="I106" t="s">
        <v>120</v>
      </c>
      <c r="K106" t="s">
        <v>232</v>
      </c>
      <c r="L106" t="s">
        <v>233</v>
      </c>
      <c r="M106" t="s">
        <v>656</v>
      </c>
      <c r="N106" t="s">
        <v>308</v>
      </c>
      <c r="O106" t="s">
        <v>657</v>
      </c>
      <c r="P106" t="s">
        <v>126</v>
      </c>
      <c r="Q106" t="s">
        <v>126</v>
      </c>
      <c r="R106" t="s">
        <v>126</v>
      </c>
      <c r="S106" t="s">
        <v>126</v>
      </c>
      <c r="T106" t="s">
        <v>658</v>
      </c>
      <c r="U106" t="s">
        <v>126</v>
      </c>
      <c r="V106" t="s">
        <v>658</v>
      </c>
      <c r="W106" t="s">
        <v>126</v>
      </c>
      <c r="X106" t="s">
        <v>126</v>
      </c>
      <c r="Y106" t="s">
        <v>126</v>
      </c>
      <c r="Z106" t="s">
        <v>310</v>
      </c>
      <c r="AA106" t="s">
        <v>659</v>
      </c>
    </row>
    <row r="107" spans="1:27" x14ac:dyDescent="0.2">
      <c r="A107" t="s">
        <v>660</v>
      </c>
      <c r="B107" t="s">
        <v>661</v>
      </c>
      <c r="C107" t="s">
        <v>118</v>
      </c>
      <c r="D107" t="s">
        <v>119</v>
      </c>
      <c r="E107" t="s">
        <v>119</v>
      </c>
      <c r="G107" t="s">
        <v>118</v>
      </c>
      <c r="I107" t="s">
        <v>120</v>
      </c>
      <c r="K107" t="s">
        <v>578</v>
      </c>
      <c r="L107" t="s">
        <v>579</v>
      </c>
      <c r="M107" t="s">
        <v>662</v>
      </c>
      <c r="N107" t="s">
        <v>257</v>
      </c>
      <c r="O107" t="s">
        <v>227</v>
      </c>
      <c r="P107" t="s">
        <v>126</v>
      </c>
      <c r="Q107" t="s">
        <v>126</v>
      </c>
      <c r="R107" t="s">
        <v>126</v>
      </c>
      <c r="S107" t="s">
        <v>126</v>
      </c>
      <c r="T107" t="s">
        <v>264</v>
      </c>
      <c r="U107" t="s">
        <v>126</v>
      </c>
      <c r="V107" t="s">
        <v>264</v>
      </c>
      <c r="W107" t="s">
        <v>126</v>
      </c>
      <c r="X107" t="s">
        <v>126</v>
      </c>
      <c r="Y107" t="s">
        <v>126</v>
      </c>
      <c r="Z107" t="s">
        <v>258</v>
      </c>
      <c r="AA107" t="s">
        <v>229</v>
      </c>
    </row>
    <row r="108" spans="1:27" x14ac:dyDescent="0.2">
      <c r="A108" t="s">
        <v>663</v>
      </c>
      <c r="B108" t="s">
        <v>664</v>
      </c>
      <c r="C108" t="s">
        <v>118</v>
      </c>
      <c r="D108" t="s">
        <v>119</v>
      </c>
      <c r="E108" t="s">
        <v>119</v>
      </c>
      <c r="G108" t="s">
        <v>118</v>
      </c>
      <c r="I108" t="s">
        <v>120</v>
      </c>
      <c r="K108" t="s">
        <v>204</v>
      </c>
      <c r="L108" t="s">
        <v>205</v>
      </c>
      <c r="M108" t="s">
        <v>665</v>
      </c>
      <c r="N108" t="s">
        <v>401</v>
      </c>
      <c r="O108" t="s">
        <v>666</v>
      </c>
      <c r="P108" t="s">
        <v>126</v>
      </c>
      <c r="Q108" t="s">
        <v>126</v>
      </c>
      <c r="R108" t="s">
        <v>126</v>
      </c>
      <c r="S108" t="s">
        <v>126</v>
      </c>
      <c r="T108" t="s">
        <v>667</v>
      </c>
      <c r="U108" t="s">
        <v>126</v>
      </c>
      <c r="V108" t="s">
        <v>667</v>
      </c>
      <c r="W108" t="s">
        <v>126</v>
      </c>
      <c r="X108" t="s">
        <v>126</v>
      </c>
      <c r="Y108" t="s">
        <v>126</v>
      </c>
      <c r="Z108" t="s">
        <v>403</v>
      </c>
      <c r="AA108" t="s">
        <v>668</v>
      </c>
    </row>
    <row r="109" spans="1:27" x14ac:dyDescent="0.2">
      <c r="A109" t="s">
        <v>669</v>
      </c>
      <c r="B109" t="s">
        <v>670</v>
      </c>
      <c r="C109" t="s">
        <v>118</v>
      </c>
      <c r="D109" t="s">
        <v>119</v>
      </c>
      <c r="E109" t="s">
        <v>119</v>
      </c>
      <c r="G109" t="s">
        <v>118</v>
      </c>
      <c r="I109" t="s">
        <v>120</v>
      </c>
      <c r="K109" t="s">
        <v>636</v>
      </c>
      <c r="L109" t="s">
        <v>637</v>
      </c>
      <c r="M109" t="s">
        <v>671</v>
      </c>
      <c r="N109" t="s">
        <v>353</v>
      </c>
      <c r="O109" t="s">
        <v>581</v>
      </c>
      <c r="P109" t="s">
        <v>126</v>
      </c>
      <c r="Q109" t="s">
        <v>126</v>
      </c>
      <c r="R109" t="s">
        <v>126</v>
      </c>
      <c r="S109" t="s">
        <v>126</v>
      </c>
      <c r="T109" t="s">
        <v>264</v>
      </c>
      <c r="U109" t="s">
        <v>126</v>
      </c>
      <c r="V109" t="s">
        <v>264</v>
      </c>
      <c r="W109" t="s">
        <v>126</v>
      </c>
      <c r="X109" t="s">
        <v>126</v>
      </c>
      <c r="Y109" t="s">
        <v>126</v>
      </c>
      <c r="Z109" t="s">
        <v>355</v>
      </c>
      <c r="AA109" t="s">
        <v>582</v>
      </c>
    </row>
    <row r="110" spans="1:27" x14ac:dyDescent="0.2">
      <c r="A110" t="s">
        <v>672</v>
      </c>
      <c r="B110" t="s">
        <v>673</v>
      </c>
      <c r="C110" t="s">
        <v>118</v>
      </c>
      <c r="D110" t="s">
        <v>119</v>
      </c>
      <c r="E110" t="s">
        <v>119</v>
      </c>
      <c r="G110" t="s">
        <v>118</v>
      </c>
      <c r="I110" t="s">
        <v>120</v>
      </c>
      <c r="K110" t="s">
        <v>149</v>
      </c>
      <c r="L110" t="s">
        <v>150</v>
      </c>
      <c r="M110" t="s">
        <v>674</v>
      </c>
      <c r="N110" t="s">
        <v>675</v>
      </c>
      <c r="O110" t="s">
        <v>435</v>
      </c>
      <c r="P110" t="s">
        <v>126</v>
      </c>
      <c r="Q110" t="s">
        <v>126</v>
      </c>
      <c r="R110" t="s">
        <v>126</v>
      </c>
      <c r="S110" t="s">
        <v>126</v>
      </c>
      <c r="T110" t="s">
        <v>169</v>
      </c>
      <c r="U110" t="s">
        <v>126</v>
      </c>
      <c r="V110" t="s">
        <v>169</v>
      </c>
      <c r="W110" t="s">
        <v>126</v>
      </c>
      <c r="X110" t="s">
        <v>126</v>
      </c>
      <c r="Y110" t="s">
        <v>126</v>
      </c>
      <c r="Z110" t="s">
        <v>676</v>
      </c>
      <c r="AA110" t="s">
        <v>437</v>
      </c>
    </row>
    <row r="111" spans="1:27" x14ac:dyDescent="0.2">
      <c r="A111" t="s">
        <v>677</v>
      </c>
      <c r="B111" t="s">
        <v>678</v>
      </c>
      <c r="C111" t="s">
        <v>118</v>
      </c>
      <c r="D111" t="s">
        <v>119</v>
      </c>
      <c r="E111" t="s">
        <v>119</v>
      </c>
      <c r="G111" t="s">
        <v>118</v>
      </c>
      <c r="I111" t="s">
        <v>120</v>
      </c>
      <c r="K111" t="s">
        <v>553</v>
      </c>
      <c r="L111" t="s">
        <v>554</v>
      </c>
      <c r="M111" t="s">
        <v>679</v>
      </c>
      <c r="N111" t="s">
        <v>287</v>
      </c>
      <c r="O111" t="s">
        <v>549</v>
      </c>
      <c r="P111" t="s">
        <v>126</v>
      </c>
      <c r="Q111" t="s">
        <v>126</v>
      </c>
      <c r="R111" t="s">
        <v>126</v>
      </c>
      <c r="S111" t="s">
        <v>126</v>
      </c>
      <c r="T111" t="s">
        <v>680</v>
      </c>
      <c r="U111" t="s">
        <v>126</v>
      </c>
      <c r="V111" t="s">
        <v>680</v>
      </c>
      <c r="W111" t="s">
        <v>126</v>
      </c>
      <c r="X111" t="s">
        <v>126</v>
      </c>
      <c r="Y111" t="s">
        <v>126</v>
      </c>
      <c r="Z111" t="s">
        <v>288</v>
      </c>
      <c r="AA111" t="s">
        <v>550</v>
      </c>
    </row>
    <row r="112" spans="1:27" x14ac:dyDescent="0.2">
      <c r="A112" t="s">
        <v>681</v>
      </c>
      <c r="B112" t="s">
        <v>682</v>
      </c>
      <c r="C112" t="s">
        <v>118</v>
      </c>
      <c r="D112" t="s">
        <v>119</v>
      </c>
      <c r="E112" t="s">
        <v>119</v>
      </c>
      <c r="G112" t="s">
        <v>118</v>
      </c>
      <c r="I112" t="s">
        <v>120</v>
      </c>
      <c r="K112" t="s">
        <v>149</v>
      </c>
      <c r="L112" t="s">
        <v>150</v>
      </c>
      <c r="M112" t="s">
        <v>683</v>
      </c>
      <c r="N112" t="s">
        <v>199</v>
      </c>
      <c r="O112" t="s">
        <v>300</v>
      </c>
      <c r="P112" t="s">
        <v>126</v>
      </c>
      <c r="Q112" t="s">
        <v>126</v>
      </c>
      <c r="R112" t="s">
        <v>126</v>
      </c>
      <c r="S112" t="s">
        <v>126</v>
      </c>
      <c r="T112" t="s">
        <v>125</v>
      </c>
      <c r="U112" t="s">
        <v>126</v>
      </c>
      <c r="V112" t="s">
        <v>125</v>
      </c>
      <c r="W112" t="s">
        <v>126</v>
      </c>
      <c r="X112" t="s">
        <v>126</v>
      </c>
      <c r="Y112" t="s">
        <v>126</v>
      </c>
      <c r="Z112" t="s">
        <v>201</v>
      </c>
      <c r="AA112" t="s">
        <v>303</v>
      </c>
    </row>
    <row r="113" spans="1:27" x14ac:dyDescent="0.2">
      <c r="A113" t="s">
        <v>684</v>
      </c>
      <c r="B113" t="s">
        <v>685</v>
      </c>
      <c r="C113" t="s">
        <v>118</v>
      </c>
      <c r="D113" t="s">
        <v>119</v>
      </c>
      <c r="E113" t="s">
        <v>119</v>
      </c>
      <c r="G113" t="s">
        <v>118</v>
      </c>
      <c r="I113" t="s">
        <v>120</v>
      </c>
      <c r="K113" t="s">
        <v>204</v>
      </c>
      <c r="L113" t="s">
        <v>205</v>
      </c>
      <c r="M113" t="s">
        <v>686</v>
      </c>
      <c r="N113" t="s">
        <v>478</v>
      </c>
      <c r="O113" t="s">
        <v>687</v>
      </c>
      <c r="P113" t="s">
        <v>126</v>
      </c>
      <c r="Q113" t="s">
        <v>126</v>
      </c>
      <c r="R113" t="s">
        <v>126</v>
      </c>
      <c r="S113" t="s">
        <v>126</v>
      </c>
      <c r="T113" t="s">
        <v>264</v>
      </c>
      <c r="U113" t="s">
        <v>126</v>
      </c>
      <c r="V113" t="s">
        <v>264</v>
      </c>
      <c r="W113" t="s">
        <v>126</v>
      </c>
      <c r="X113" t="s">
        <v>126</v>
      </c>
      <c r="Y113" t="s">
        <v>126</v>
      </c>
      <c r="Z113" t="s">
        <v>479</v>
      </c>
      <c r="AA113" t="s">
        <v>688</v>
      </c>
    </row>
    <row r="114" spans="1:27" x14ac:dyDescent="0.2">
      <c r="A114" t="s">
        <v>689</v>
      </c>
      <c r="B114" t="s">
        <v>690</v>
      </c>
      <c r="C114" t="s">
        <v>118</v>
      </c>
      <c r="D114" t="s">
        <v>119</v>
      </c>
      <c r="E114" t="s">
        <v>119</v>
      </c>
      <c r="G114" t="s">
        <v>118</v>
      </c>
      <c r="I114" t="s">
        <v>120</v>
      </c>
      <c r="K114" t="s">
        <v>204</v>
      </c>
      <c r="L114" t="s">
        <v>205</v>
      </c>
      <c r="M114" t="s">
        <v>691</v>
      </c>
      <c r="N114" t="s">
        <v>153</v>
      </c>
      <c r="O114" t="s">
        <v>353</v>
      </c>
      <c r="P114" t="s">
        <v>126</v>
      </c>
      <c r="Q114" t="s">
        <v>126</v>
      </c>
      <c r="R114" t="s">
        <v>126</v>
      </c>
      <c r="S114" t="s">
        <v>126</v>
      </c>
      <c r="T114" t="s">
        <v>125</v>
      </c>
      <c r="U114" t="s">
        <v>126</v>
      </c>
      <c r="V114" t="s">
        <v>125</v>
      </c>
      <c r="W114" t="s">
        <v>126</v>
      </c>
      <c r="X114" t="s">
        <v>126</v>
      </c>
      <c r="Y114" t="s">
        <v>126</v>
      </c>
      <c r="Z114" t="s">
        <v>155</v>
      </c>
      <c r="AA114" t="s">
        <v>355</v>
      </c>
    </row>
    <row r="115" spans="1:27" x14ac:dyDescent="0.2">
      <c r="A115" t="s">
        <v>692</v>
      </c>
      <c r="B115" t="s">
        <v>693</v>
      </c>
      <c r="C115" t="s">
        <v>118</v>
      </c>
      <c r="D115" t="s">
        <v>119</v>
      </c>
      <c r="E115" t="s">
        <v>119</v>
      </c>
      <c r="G115" t="s">
        <v>118</v>
      </c>
      <c r="I115" t="s">
        <v>120</v>
      </c>
      <c r="K115" t="s">
        <v>158</v>
      </c>
      <c r="L115" t="s">
        <v>159</v>
      </c>
      <c r="M115" t="s">
        <v>694</v>
      </c>
      <c r="N115" t="s">
        <v>214</v>
      </c>
      <c r="O115" t="s">
        <v>396</v>
      </c>
      <c r="P115" t="s">
        <v>126</v>
      </c>
      <c r="Q115" t="s">
        <v>126</v>
      </c>
      <c r="R115" t="s">
        <v>126</v>
      </c>
      <c r="S115" t="s">
        <v>126</v>
      </c>
      <c r="T115" t="s">
        <v>125</v>
      </c>
      <c r="U115" t="s">
        <v>126</v>
      </c>
      <c r="V115" t="s">
        <v>125</v>
      </c>
      <c r="W115" t="s">
        <v>126</v>
      </c>
      <c r="X115" t="s">
        <v>126</v>
      </c>
      <c r="Y115" t="s">
        <v>126</v>
      </c>
      <c r="Z115" t="s">
        <v>215</v>
      </c>
      <c r="AA115" t="s">
        <v>397</v>
      </c>
    </row>
    <row r="116" spans="1:27" x14ac:dyDescent="0.2">
      <c r="A116" t="s">
        <v>695</v>
      </c>
      <c r="B116" t="s">
        <v>696</v>
      </c>
      <c r="C116" t="s">
        <v>118</v>
      </c>
      <c r="D116" t="s">
        <v>119</v>
      </c>
      <c r="E116" t="s">
        <v>119</v>
      </c>
      <c r="G116" t="s">
        <v>118</v>
      </c>
      <c r="I116" t="s">
        <v>120</v>
      </c>
      <c r="K116" t="s">
        <v>636</v>
      </c>
      <c r="L116" t="s">
        <v>637</v>
      </c>
      <c r="M116" t="s">
        <v>697</v>
      </c>
      <c r="N116" t="s">
        <v>698</v>
      </c>
      <c r="O116" t="s">
        <v>375</v>
      </c>
      <c r="P116" t="s">
        <v>125</v>
      </c>
      <c r="Q116" t="s">
        <v>126</v>
      </c>
      <c r="R116" t="s">
        <v>126</v>
      </c>
      <c r="S116" t="s">
        <v>126</v>
      </c>
      <c r="T116" t="s">
        <v>126</v>
      </c>
      <c r="U116" t="s">
        <v>126</v>
      </c>
      <c r="V116" t="s">
        <v>126</v>
      </c>
      <c r="W116" t="s">
        <v>126</v>
      </c>
      <c r="X116" t="s">
        <v>126</v>
      </c>
      <c r="Y116" t="s">
        <v>126</v>
      </c>
      <c r="Z116" t="s">
        <v>699</v>
      </c>
      <c r="AA116" t="s">
        <v>377</v>
      </c>
    </row>
    <row r="117" spans="1:27" x14ac:dyDescent="0.2">
      <c r="A117" t="s">
        <v>700</v>
      </c>
      <c r="B117" t="s">
        <v>701</v>
      </c>
      <c r="C117" t="s">
        <v>118</v>
      </c>
      <c r="D117" t="s">
        <v>119</v>
      </c>
      <c r="E117" t="s">
        <v>119</v>
      </c>
      <c r="G117" t="s">
        <v>118</v>
      </c>
      <c r="I117" t="s">
        <v>120</v>
      </c>
      <c r="K117" t="s">
        <v>149</v>
      </c>
      <c r="L117" t="s">
        <v>150</v>
      </c>
      <c r="M117" t="s">
        <v>702</v>
      </c>
      <c r="N117" t="s">
        <v>162</v>
      </c>
      <c r="O117" t="s">
        <v>703</v>
      </c>
      <c r="P117" t="s">
        <v>125</v>
      </c>
      <c r="Q117" t="s">
        <v>126</v>
      </c>
      <c r="R117" t="s">
        <v>126</v>
      </c>
      <c r="S117" t="s">
        <v>126</v>
      </c>
      <c r="T117" t="s">
        <v>126</v>
      </c>
      <c r="U117" t="s">
        <v>126</v>
      </c>
      <c r="V117" t="s">
        <v>126</v>
      </c>
      <c r="W117" t="s">
        <v>126</v>
      </c>
      <c r="X117" t="s">
        <v>126</v>
      </c>
      <c r="Y117" t="s">
        <v>126</v>
      </c>
      <c r="Z117" t="s">
        <v>164</v>
      </c>
      <c r="AA117" t="s">
        <v>704</v>
      </c>
    </row>
    <row r="118" spans="1:27" x14ac:dyDescent="0.2">
      <c r="A118" t="s">
        <v>705</v>
      </c>
      <c r="B118" t="s">
        <v>706</v>
      </c>
      <c r="C118" t="s">
        <v>118</v>
      </c>
      <c r="D118" t="s">
        <v>119</v>
      </c>
      <c r="E118" t="s">
        <v>119</v>
      </c>
      <c r="G118" t="s">
        <v>118</v>
      </c>
      <c r="I118" t="s">
        <v>120</v>
      </c>
      <c r="K118" t="s">
        <v>130</v>
      </c>
      <c r="L118" t="s">
        <v>131</v>
      </c>
      <c r="M118" t="s">
        <v>707</v>
      </c>
      <c r="N118" t="s">
        <v>708</v>
      </c>
      <c r="O118" t="s">
        <v>709</v>
      </c>
      <c r="P118" t="s">
        <v>126</v>
      </c>
      <c r="Q118" t="s">
        <v>126</v>
      </c>
      <c r="R118" t="s">
        <v>126</v>
      </c>
      <c r="S118" t="s">
        <v>126</v>
      </c>
      <c r="T118" t="s">
        <v>126</v>
      </c>
      <c r="U118" t="s">
        <v>126</v>
      </c>
      <c r="V118" t="s">
        <v>126</v>
      </c>
      <c r="W118" t="s">
        <v>126</v>
      </c>
      <c r="X118" t="s">
        <v>126</v>
      </c>
      <c r="Y118" t="s">
        <v>126</v>
      </c>
      <c r="Z118" t="s">
        <v>710</v>
      </c>
      <c r="AA118" t="s">
        <v>711</v>
      </c>
    </row>
    <row r="119" spans="1:27" x14ac:dyDescent="0.2">
      <c r="A119" t="s">
        <v>712</v>
      </c>
      <c r="B119" t="s">
        <v>713</v>
      </c>
      <c r="C119" t="s">
        <v>118</v>
      </c>
      <c r="D119" t="s">
        <v>119</v>
      </c>
      <c r="E119" t="s">
        <v>119</v>
      </c>
      <c r="G119" t="s">
        <v>118</v>
      </c>
      <c r="I119" t="s">
        <v>120</v>
      </c>
      <c r="K119" t="s">
        <v>204</v>
      </c>
      <c r="L119" t="s">
        <v>205</v>
      </c>
      <c r="M119" t="s">
        <v>714</v>
      </c>
      <c r="N119" t="s">
        <v>708</v>
      </c>
      <c r="O119" t="s">
        <v>343</v>
      </c>
      <c r="P119" t="s">
        <v>126</v>
      </c>
      <c r="Q119" t="s">
        <v>126</v>
      </c>
      <c r="R119" t="s">
        <v>126</v>
      </c>
      <c r="S119" t="s">
        <v>126</v>
      </c>
      <c r="T119" t="s">
        <v>125</v>
      </c>
      <c r="U119" t="s">
        <v>126</v>
      </c>
      <c r="V119" t="s">
        <v>125</v>
      </c>
      <c r="W119" t="s">
        <v>126</v>
      </c>
      <c r="X119" t="s">
        <v>126</v>
      </c>
      <c r="Y119" t="s">
        <v>126</v>
      </c>
      <c r="Z119" t="s">
        <v>710</v>
      </c>
      <c r="AA119" t="s">
        <v>344</v>
      </c>
    </row>
    <row r="120" spans="1:27" x14ac:dyDescent="0.2">
      <c r="A120" t="s">
        <v>715</v>
      </c>
      <c r="B120" t="s">
        <v>716</v>
      </c>
      <c r="C120" t="s">
        <v>118</v>
      </c>
      <c r="D120" t="s">
        <v>119</v>
      </c>
      <c r="E120" t="s">
        <v>119</v>
      </c>
      <c r="G120" t="s">
        <v>118</v>
      </c>
      <c r="I120" t="s">
        <v>120</v>
      </c>
      <c r="K120" t="s">
        <v>149</v>
      </c>
      <c r="L120" t="s">
        <v>150</v>
      </c>
      <c r="M120" t="s">
        <v>717</v>
      </c>
      <c r="N120" t="s">
        <v>369</v>
      </c>
      <c r="O120" t="s">
        <v>280</v>
      </c>
      <c r="P120" t="s">
        <v>126</v>
      </c>
      <c r="Q120" t="s">
        <v>126</v>
      </c>
      <c r="R120" t="s">
        <v>126</v>
      </c>
      <c r="S120" t="s">
        <v>126</v>
      </c>
      <c r="T120" t="s">
        <v>126</v>
      </c>
      <c r="U120" t="s">
        <v>126</v>
      </c>
      <c r="V120" t="s">
        <v>126</v>
      </c>
      <c r="W120" t="s">
        <v>126</v>
      </c>
      <c r="X120" t="s">
        <v>126</v>
      </c>
      <c r="Y120" t="s">
        <v>126</v>
      </c>
      <c r="Z120" t="s">
        <v>370</v>
      </c>
      <c r="AA120" t="s">
        <v>282</v>
      </c>
    </row>
    <row r="121" spans="1:27" x14ac:dyDescent="0.2">
      <c r="A121" t="s">
        <v>718</v>
      </c>
      <c r="B121" t="s">
        <v>719</v>
      </c>
      <c r="D121" t="s">
        <v>119</v>
      </c>
      <c r="E121" t="s">
        <v>119</v>
      </c>
      <c r="G121" t="s">
        <v>118</v>
      </c>
      <c r="I121" t="s">
        <v>120</v>
      </c>
      <c r="K121" t="s">
        <v>204</v>
      </c>
      <c r="L121" t="s">
        <v>205</v>
      </c>
      <c r="M121" t="s">
        <v>720</v>
      </c>
      <c r="N121" t="s">
        <v>414</v>
      </c>
      <c r="O121" t="s">
        <v>243</v>
      </c>
      <c r="P121" t="s">
        <v>125</v>
      </c>
      <c r="Q121" t="s">
        <v>126</v>
      </c>
      <c r="R121" t="s">
        <v>126</v>
      </c>
      <c r="S121" t="s">
        <v>126</v>
      </c>
      <c r="V121" t="s">
        <v>126</v>
      </c>
      <c r="Y121" t="s">
        <v>126</v>
      </c>
      <c r="Z121" t="s">
        <v>415</v>
      </c>
      <c r="AA121" t="s">
        <v>245</v>
      </c>
    </row>
    <row r="122" spans="1:27" x14ac:dyDescent="0.2">
      <c r="A122" t="s">
        <v>721</v>
      </c>
      <c r="B122" t="s">
        <v>722</v>
      </c>
      <c r="C122" t="s">
        <v>118</v>
      </c>
      <c r="D122" t="s">
        <v>119</v>
      </c>
      <c r="E122" t="s">
        <v>119</v>
      </c>
      <c r="G122" t="s">
        <v>118</v>
      </c>
      <c r="I122" t="s">
        <v>120</v>
      </c>
      <c r="K122" t="s">
        <v>149</v>
      </c>
      <c r="L122" t="s">
        <v>150</v>
      </c>
      <c r="M122" t="s">
        <v>723</v>
      </c>
      <c r="N122" t="s">
        <v>299</v>
      </c>
      <c r="O122" t="s">
        <v>249</v>
      </c>
      <c r="P122" t="s">
        <v>126</v>
      </c>
      <c r="Q122" t="s">
        <v>126</v>
      </c>
      <c r="R122" t="s">
        <v>126</v>
      </c>
      <c r="S122" t="s">
        <v>126</v>
      </c>
      <c r="T122" t="s">
        <v>200</v>
      </c>
      <c r="U122" t="s">
        <v>126</v>
      </c>
      <c r="V122" t="s">
        <v>200</v>
      </c>
      <c r="W122" t="s">
        <v>126</v>
      </c>
      <c r="X122" t="s">
        <v>126</v>
      </c>
      <c r="Y122" t="s">
        <v>126</v>
      </c>
      <c r="Z122" t="s">
        <v>302</v>
      </c>
      <c r="AA122" t="s">
        <v>250</v>
      </c>
    </row>
    <row r="123" spans="1:27" x14ac:dyDescent="0.2">
      <c r="A123" t="s">
        <v>724</v>
      </c>
      <c r="B123" t="s">
        <v>725</v>
      </c>
      <c r="C123" t="s">
        <v>118</v>
      </c>
      <c r="D123" t="s">
        <v>119</v>
      </c>
      <c r="E123" t="s">
        <v>119</v>
      </c>
      <c r="G123" t="s">
        <v>118</v>
      </c>
      <c r="I123" t="s">
        <v>120</v>
      </c>
      <c r="K123" t="s">
        <v>121</v>
      </c>
      <c r="L123" t="s">
        <v>122</v>
      </c>
      <c r="M123" t="s">
        <v>726</v>
      </c>
      <c r="N123" t="s">
        <v>727</v>
      </c>
      <c r="O123" t="s">
        <v>185</v>
      </c>
      <c r="P123" t="s">
        <v>126</v>
      </c>
      <c r="Q123" t="s">
        <v>126</v>
      </c>
      <c r="R123" t="s">
        <v>126</v>
      </c>
      <c r="S123" t="s">
        <v>126</v>
      </c>
      <c r="T123" t="s">
        <v>125</v>
      </c>
      <c r="U123" t="s">
        <v>126</v>
      </c>
      <c r="V123" t="s">
        <v>125</v>
      </c>
      <c r="W123" t="s">
        <v>126</v>
      </c>
      <c r="X123" t="s">
        <v>126</v>
      </c>
      <c r="Y123" t="s">
        <v>126</v>
      </c>
      <c r="Z123" t="s">
        <v>728</v>
      </c>
      <c r="AA123" t="s">
        <v>187</v>
      </c>
    </row>
    <row r="124" spans="1:27" x14ac:dyDescent="0.2">
      <c r="A124" t="s">
        <v>729</v>
      </c>
      <c r="B124" t="s">
        <v>730</v>
      </c>
      <c r="D124" t="s">
        <v>119</v>
      </c>
      <c r="E124" t="s">
        <v>119</v>
      </c>
      <c r="G124" t="s">
        <v>118</v>
      </c>
      <c r="I124" t="s">
        <v>120</v>
      </c>
      <c r="K124" t="s">
        <v>731</v>
      </c>
      <c r="L124" t="s">
        <v>732</v>
      </c>
      <c r="M124" t="s">
        <v>733</v>
      </c>
      <c r="N124" t="s">
        <v>734</v>
      </c>
      <c r="O124" t="s">
        <v>735</v>
      </c>
      <c r="P124" t="s">
        <v>125</v>
      </c>
      <c r="Q124" t="s">
        <v>126</v>
      </c>
      <c r="R124" t="s">
        <v>126</v>
      </c>
      <c r="S124" t="s">
        <v>126</v>
      </c>
      <c r="V124" t="s">
        <v>126</v>
      </c>
      <c r="Y124" t="s">
        <v>126</v>
      </c>
      <c r="Z124" t="s">
        <v>736</v>
      </c>
      <c r="AA124" t="s">
        <v>737</v>
      </c>
    </row>
    <row r="125" spans="1:27" x14ac:dyDescent="0.2">
      <c r="A125" t="s">
        <v>738</v>
      </c>
      <c r="B125" t="s">
        <v>739</v>
      </c>
      <c r="C125" t="s">
        <v>118</v>
      </c>
      <c r="D125" t="s">
        <v>119</v>
      </c>
      <c r="E125" t="s">
        <v>119</v>
      </c>
      <c r="G125" t="s">
        <v>118</v>
      </c>
      <c r="I125" t="s">
        <v>120</v>
      </c>
      <c r="K125" t="s">
        <v>149</v>
      </c>
      <c r="L125" t="s">
        <v>150</v>
      </c>
      <c r="M125" t="s">
        <v>740</v>
      </c>
      <c r="N125" t="s">
        <v>307</v>
      </c>
      <c r="O125" t="s">
        <v>168</v>
      </c>
      <c r="P125" t="s">
        <v>126</v>
      </c>
      <c r="Q125" t="s">
        <v>126</v>
      </c>
      <c r="R125" t="s">
        <v>126</v>
      </c>
      <c r="S125" t="s">
        <v>126</v>
      </c>
      <c r="T125" t="s">
        <v>419</v>
      </c>
      <c r="U125" t="s">
        <v>126</v>
      </c>
      <c r="V125" t="s">
        <v>419</v>
      </c>
      <c r="W125" t="s">
        <v>126</v>
      </c>
      <c r="X125" t="s">
        <v>126</v>
      </c>
      <c r="Y125" t="s">
        <v>126</v>
      </c>
      <c r="Z125" t="s">
        <v>309</v>
      </c>
      <c r="AA125" t="s">
        <v>170</v>
      </c>
    </row>
    <row r="126" spans="1:27" x14ac:dyDescent="0.2">
      <c r="A126" t="s">
        <v>741</v>
      </c>
      <c r="B126" t="s">
        <v>742</v>
      </c>
      <c r="C126" t="s">
        <v>118</v>
      </c>
      <c r="D126" t="s">
        <v>119</v>
      </c>
      <c r="E126" t="s">
        <v>119</v>
      </c>
      <c r="G126" t="s">
        <v>118</v>
      </c>
      <c r="I126" t="s">
        <v>120</v>
      </c>
      <c r="K126" t="s">
        <v>204</v>
      </c>
      <c r="L126" t="s">
        <v>205</v>
      </c>
      <c r="M126" t="s">
        <v>743</v>
      </c>
      <c r="N126" t="s">
        <v>249</v>
      </c>
      <c r="O126" t="s">
        <v>226</v>
      </c>
      <c r="P126" t="s">
        <v>126</v>
      </c>
      <c r="Q126" t="s">
        <v>126</v>
      </c>
      <c r="R126" t="s">
        <v>126</v>
      </c>
      <c r="S126" t="s">
        <v>126</v>
      </c>
      <c r="T126" t="s">
        <v>169</v>
      </c>
      <c r="U126" t="s">
        <v>125</v>
      </c>
      <c r="V126" t="s">
        <v>200</v>
      </c>
      <c r="W126" t="s">
        <v>126</v>
      </c>
      <c r="X126" t="s">
        <v>126</v>
      </c>
      <c r="Y126" t="s">
        <v>126</v>
      </c>
      <c r="Z126" t="s">
        <v>250</v>
      </c>
      <c r="AA126" t="s">
        <v>228</v>
      </c>
    </row>
    <row r="127" spans="1:27" x14ac:dyDescent="0.2">
      <c r="A127" t="s">
        <v>744</v>
      </c>
      <c r="B127" t="s">
        <v>745</v>
      </c>
      <c r="C127" t="s">
        <v>118</v>
      </c>
      <c r="D127" t="s">
        <v>119</v>
      </c>
      <c r="E127" t="s">
        <v>119</v>
      </c>
      <c r="G127" t="s">
        <v>118</v>
      </c>
      <c r="I127" t="s">
        <v>120</v>
      </c>
      <c r="K127" t="s">
        <v>182</v>
      </c>
      <c r="L127" t="s">
        <v>183</v>
      </c>
      <c r="M127" t="s">
        <v>746</v>
      </c>
      <c r="N127" t="s">
        <v>747</v>
      </c>
      <c r="O127" t="s">
        <v>748</v>
      </c>
      <c r="P127" t="s">
        <v>126</v>
      </c>
      <c r="Q127" t="s">
        <v>126</v>
      </c>
      <c r="R127" t="s">
        <v>126</v>
      </c>
      <c r="S127" t="s">
        <v>126</v>
      </c>
      <c r="T127" t="s">
        <v>126</v>
      </c>
      <c r="U127" t="s">
        <v>126</v>
      </c>
      <c r="V127" t="s">
        <v>126</v>
      </c>
      <c r="W127" t="s">
        <v>126</v>
      </c>
      <c r="X127" t="s">
        <v>126</v>
      </c>
      <c r="Y127" t="s">
        <v>126</v>
      </c>
      <c r="Z127" t="s">
        <v>749</v>
      </c>
      <c r="AA127" t="s">
        <v>750</v>
      </c>
    </row>
    <row r="128" spans="1:27" x14ac:dyDescent="0.2">
      <c r="A128" t="s">
        <v>751</v>
      </c>
      <c r="B128" t="s">
        <v>752</v>
      </c>
      <c r="C128" t="s">
        <v>118</v>
      </c>
      <c r="D128" t="s">
        <v>119</v>
      </c>
      <c r="E128" t="s">
        <v>119</v>
      </c>
      <c r="G128" t="s">
        <v>118</v>
      </c>
      <c r="I128" t="s">
        <v>120</v>
      </c>
      <c r="K128" t="s">
        <v>130</v>
      </c>
      <c r="L128" t="s">
        <v>131</v>
      </c>
      <c r="M128" t="s">
        <v>753</v>
      </c>
      <c r="N128" t="s">
        <v>698</v>
      </c>
      <c r="O128" t="s">
        <v>754</v>
      </c>
      <c r="P128" t="s">
        <v>125</v>
      </c>
      <c r="Q128" t="s">
        <v>126</v>
      </c>
      <c r="R128" t="s">
        <v>126</v>
      </c>
      <c r="S128" t="s">
        <v>126</v>
      </c>
      <c r="T128" t="s">
        <v>200</v>
      </c>
      <c r="U128" t="s">
        <v>126</v>
      </c>
      <c r="V128" t="s">
        <v>200</v>
      </c>
      <c r="W128" t="s">
        <v>126</v>
      </c>
      <c r="X128" t="s">
        <v>126</v>
      </c>
      <c r="Y128" t="s">
        <v>126</v>
      </c>
      <c r="Z128" t="s">
        <v>699</v>
      </c>
      <c r="AA128" t="s">
        <v>755</v>
      </c>
    </row>
    <row r="129" spans="1:27" x14ac:dyDescent="0.2">
      <c r="A129" t="s">
        <v>756</v>
      </c>
      <c r="B129" t="s">
        <v>757</v>
      </c>
      <c r="C129" t="s">
        <v>118</v>
      </c>
      <c r="D129" t="s">
        <v>119</v>
      </c>
      <c r="E129" t="s">
        <v>119</v>
      </c>
      <c r="G129" t="s">
        <v>118</v>
      </c>
      <c r="I129" t="s">
        <v>120</v>
      </c>
      <c r="K129" t="s">
        <v>158</v>
      </c>
      <c r="L129" t="s">
        <v>159</v>
      </c>
      <c r="M129" t="s">
        <v>758</v>
      </c>
      <c r="N129" t="s">
        <v>599</v>
      </c>
      <c r="O129" t="s">
        <v>759</v>
      </c>
      <c r="P129" t="s">
        <v>126</v>
      </c>
      <c r="Q129" t="s">
        <v>126</v>
      </c>
      <c r="R129" t="s">
        <v>126</v>
      </c>
      <c r="S129" t="s">
        <v>126</v>
      </c>
      <c r="T129" t="s">
        <v>264</v>
      </c>
      <c r="U129" t="s">
        <v>126</v>
      </c>
      <c r="V129" t="s">
        <v>264</v>
      </c>
      <c r="W129" t="s">
        <v>126</v>
      </c>
      <c r="X129" t="s">
        <v>126</v>
      </c>
      <c r="Y129" t="s">
        <v>126</v>
      </c>
      <c r="Z129" t="s">
        <v>601</v>
      </c>
      <c r="AA129" t="s">
        <v>760</v>
      </c>
    </row>
    <row r="130" spans="1:27" x14ac:dyDescent="0.2">
      <c r="A130" t="s">
        <v>761</v>
      </c>
      <c r="B130" t="s">
        <v>762</v>
      </c>
      <c r="C130" t="s">
        <v>118</v>
      </c>
      <c r="D130" t="s">
        <v>119</v>
      </c>
      <c r="E130" t="s">
        <v>119</v>
      </c>
      <c r="G130" t="s">
        <v>118</v>
      </c>
      <c r="I130" t="s">
        <v>120</v>
      </c>
      <c r="K130" t="s">
        <v>204</v>
      </c>
      <c r="L130" t="s">
        <v>205</v>
      </c>
      <c r="M130" t="s">
        <v>763</v>
      </c>
      <c r="N130" t="s">
        <v>478</v>
      </c>
      <c r="O130" t="s">
        <v>322</v>
      </c>
      <c r="P130" t="s">
        <v>126</v>
      </c>
      <c r="Q130" t="s">
        <v>126</v>
      </c>
      <c r="R130" t="s">
        <v>126</v>
      </c>
      <c r="S130" t="s">
        <v>126</v>
      </c>
      <c r="T130" t="s">
        <v>264</v>
      </c>
      <c r="U130" t="s">
        <v>126</v>
      </c>
      <c r="V130" t="s">
        <v>264</v>
      </c>
      <c r="W130" t="s">
        <v>126</v>
      </c>
      <c r="X130" t="s">
        <v>126</v>
      </c>
      <c r="Y130" t="s">
        <v>126</v>
      </c>
      <c r="Z130" t="s">
        <v>479</v>
      </c>
      <c r="AA130" t="s">
        <v>324</v>
      </c>
    </row>
    <row r="131" spans="1:27" x14ac:dyDescent="0.2">
      <c r="A131" t="s">
        <v>764</v>
      </c>
      <c r="B131" t="s">
        <v>765</v>
      </c>
      <c r="C131" t="s">
        <v>118</v>
      </c>
      <c r="D131" t="s">
        <v>119</v>
      </c>
      <c r="E131" t="s">
        <v>119</v>
      </c>
      <c r="G131" t="s">
        <v>118</v>
      </c>
      <c r="I131" t="s">
        <v>120</v>
      </c>
      <c r="K131" t="s">
        <v>204</v>
      </c>
      <c r="L131" t="s">
        <v>205</v>
      </c>
      <c r="M131" t="s">
        <v>766</v>
      </c>
      <c r="N131" t="s">
        <v>323</v>
      </c>
      <c r="O131" t="s">
        <v>299</v>
      </c>
      <c r="P131" t="s">
        <v>126</v>
      </c>
      <c r="Q131" t="s">
        <v>126</v>
      </c>
      <c r="R131" t="s">
        <v>126</v>
      </c>
      <c r="S131" t="s">
        <v>126</v>
      </c>
      <c r="T131" t="s">
        <v>767</v>
      </c>
      <c r="U131" t="s">
        <v>126</v>
      </c>
      <c r="V131" t="s">
        <v>767</v>
      </c>
      <c r="W131" t="s">
        <v>126</v>
      </c>
      <c r="X131" t="s">
        <v>126</v>
      </c>
      <c r="Y131" t="s">
        <v>126</v>
      </c>
      <c r="Z131" t="s">
        <v>325</v>
      </c>
      <c r="AA131" t="s">
        <v>302</v>
      </c>
    </row>
    <row r="132" spans="1:27" x14ac:dyDescent="0.2">
      <c r="A132" t="s">
        <v>768</v>
      </c>
      <c r="B132" t="s">
        <v>769</v>
      </c>
      <c r="C132" t="s">
        <v>118</v>
      </c>
      <c r="D132" t="s">
        <v>119</v>
      </c>
      <c r="E132" t="s">
        <v>119</v>
      </c>
      <c r="G132" t="s">
        <v>118</v>
      </c>
      <c r="I132" t="s">
        <v>120</v>
      </c>
      <c r="K132" t="s">
        <v>130</v>
      </c>
      <c r="L132" t="s">
        <v>131</v>
      </c>
      <c r="M132" t="s">
        <v>770</v>
      </c>
      <c r="N132" t="s">
        <v>329</v>
      </c>
      <c r="O132" t="s">
        <v>771</v>
      </c>
      <c r="P132" t="s">
        <v>126</v>
      </c>
      <c r="Q132" t="s">
        <v>126</v>
      </c>
      <c r="R132" t="s">
        <v>126</v>
      </c>
      <c r="S132" t="s">
        <v>126</v>
      </c>
      <c r="T132" t="s">
        <v>427</v>
      </c>
      <c r="U132" t="s">
        <v>126</v>
      </c>
      <c r="V132" t="s">
        <v>427</v>
      </c>
      <c r="W132" t="s">
        <v>126</v>
      </c>
      <c r="X132" t="s">
        <v>126</v>
      </c>
      <c r="Y132" t="s">
        <v>126</v>
      </c>
      <c r="Z132" t="s">
        <v>330</v>
      </c>
      <c r="AA132" t="s">
        <v>772</v>
      </c>
    </row>
    <row r="133" spans="1:27" x14ac:dyDescent="0.2">
      <c r="A133" t="s">
        <v>773</v>
      </c>
      <c r="B133" t="s">
        <v>774</v>
      </c>
      <c r="C133" t="s">
        <v>118</v>
      </c>
      <c r="D133" t="s">
        <v>119</v>
      </c>
      <c r="E133" t="s">
        <v>119</v>
      </c>
      <c r="G133" t="s">
        <v>118</v>
      </c>
      <c r="I133" t="s">
        <v>120</v>
      </c>
      <c r="K133" t="s">
        <v>578</v>
      </c>
      <c r="L133" t="s">
        <v>579</v>
      </c>
      <c r="M133" t="s">
        <v>775</v>
      </c>
      <c r="N133" t="s">
        <v>299</v>
      </c>
      <c r="O133" t="s">
        <v>249</v>
      </c>
      <c r="P133" t="s">
        <v>126</v>
      </c>
      <c r="Q133" t="s">
        <v>126</v>
      </c>
      <c r="R133" t="s">
        <v>126</v>
      </c>
      <c r="S133" t="s">
        <v>126</v>
      </c>
      <c r="T133" t="s">
        <v>200</v>
      </c>
      <c r="U133" t="s">
        <v>126</v>
      </c>
      <c r="V133" t="s">
        <v>200</v>
      </c>
      <c r="W133" t="s">
        <v>126</v>
      </c>
      <c r="X133" t="s">
        <v>126</v>
      </c>
      <c r="Y133" t="s">
        <v>126</v>
      </c>
      <c r="Z133" t="s">
        <v>302</v>
      </c>
      <c r="AA133" t="s">
        <v>250</v>
      </c>
    </row>
    <row r="134" spans="1:27" x14ac:dyDescent="0.2">
      <c r="A134" t="s">
        <v>776</v>
      </c>
      <c r="B134" t="s">
        <v>777</v>
      </c>
      <c r="C134" t="s">
        <v>118</v>
      </c>
      <c r="D134" t="s">
        <v>119</v>
      </c>
      <c r="E134" t="s">
        <v>119</v>
      </c>
      <c r="G134" t="s">
        <v>118</v>
      </c>
      <c r="I134" t="s">
        <v>120</v>
      </c>
      <c r="K134" t="s">
        <v>232</v>
      </c>
      <c r="L134" t="s">
        <v>233</v>
      </c>
      <c r="M134" t="s">
        <v>778</v>
      </c>
      <c r="N134" t="s">
        <v>161</v>
      </c>
      <c r="O134" t="s">
        <v>374</v>
      </c>
      <c r="P134" t="s">
        <v>126</v>
      </c>
      <c r="Q134" t="s">
        <v>126</v>
      </c>
      <c r="R134" t="s">
        <v>126</v>
      </c>
      <c r="S134" t="s">
        <v>126</v>
      </c>
      <c r="T134" t="s">
        <v>126</v>
      </c>
      <c r="U134" t="s">
        <v>126</v>
      </c>
      <c r="V134" t="s">
        <v>126</v>
      </c>
      <c r="W134" t="s">
        <v>126</v>
      </c>
      <c r="X134" t="s">
        <v>126</v>
      </c>
      <c r="Y134" t="s">
        <v>126</v>
      </c>
      <c r="Z134" t="s">
        <v>163</v>
      </c>
      <c r="AA134" t="s">
        <v>376</v>
      </c>
    </row>
    <row r="135" spans="1:27" x14ac:dyDescent="0.2">
      <c r="A135" t="s">
        <v>779</v>
      </c>
      <c r="B135" t="s">
        <v>780</v>
      </c>
      <c r="C135" t="s">
        <v>118</v>
      </c>
      <c r="D135" t="s">
        <v>119</v>
      </c>
      <c r="E135" t="s">
        <v>119</v>
      </c>
      <c r="G135" t="s">
        <v>118</v>
      </c>
      <c r="I135" t="s">
        <v>120</v>
      </c>
      <c r="K135" t="s">
        <v>149</v>
      </c>
      <c r="L135" t="s">
        <v>150</v>
      </c>
      <c r="M135" t="s">
        <v>781</v>
      </c>
      <c r="N135" t="s">
        <v>323</v>
      </c>
      <c r="O135" t="s">
        <v>782</v>
      </c>
      <c r="P135" t="s">
        <v>126</v>
      </c>
      <c r="Q135" t="s">
        <v>126</v>
      </c>
      <c r="R135" t="s">
        <v>126</v>
      </c>
      <c r="S135" t="s">
        <v>126</v>
      </c>
      <c r="T135" t="s">
        <v>169</v>
      </c>
      <c r="U135" t="s">
        <v>126</v>
      </c>
      <c r="V135" t="s">
        <v>169</v>
      </c>
      <c r="W135" t="s">
        <v>126</v>
      </c>
      <c r="X135" t="s">
        <v>126</v>
      </c>
      <c r="Y135" t="s">
        <v>126</v>
      </c>
      <c r="Z135" t="s">
        <v>325</v>
      </c>
      <c r="AA135" t="s">
        <v>783</v>
      </c>
    </row>
    <row r="136" spans="1:27" x14ac:dyDescent="0.2">
      <c r="A136" t="s">
        <v>784</v>
      </c>
      <c r="B136" t="s">
        <v>785</v>
      </c>
      <c r="D136" t="s">
        <v>119</v>
      </c>
      <c r="E136" t="s">
        <v>119</v>
      </c>
      <c r="G136" t="s">
        <v>118</v>
      </c>
      <c r="I136" t="s">
        <v>120</v>
      </c>
      <c r="K136" t="s">
        <v>130</v>
      </c>
      <c r="L136" t="s">
        <v>131</v>
      </c>
      <c r="M136" t="s">
        <v>786</v>
      </c>
      <c r="N136" t="s">
        <v>294</v>
      </c>
      <c r="O136" t="s">
        <v>787</v>
      </c>
      <c r="P136" t="s">
        <v>125</v>
      </c>
      <c r="Q136" t="s">
        <v>126</v>
      </c>
      <c r="R136" t="s">
        <v>126</v>
      </c>
      <c r="S136" t="s">
        <v>126</v>
      </c>
      <c r="V136" t="s">
        <v>126</v>
      </c>
      <c r="Y136" t="s">
        <v>126</v>
      </c>
      <c r="Z136" t="s">
        <v>295</v>
      </c>
      <c r="AA136" t="s">
        <v>788</v>
      </c>
    </row>
    <row r="137" spans="1:27" x14ac:dyDescent="0.2">
      <c r="A137" t="s">
        <v>789</v>
      </c>
      <c r="B137" t="s">
        <v>790</v>
      </c>
      <c r="C137" t="s">
        <v>118</v>
      </c>
      <c r="D137" t="s">
        <v>119</v>
      </c>
      <c r="E137" t="s">
        <v>119</v>
      </c>
      <c r="G137" t="s">
        <v>118</v>
      </c>
      <c r="I137" t="s">
        <v>120</v>
      </c>
      <c r="K137" t="s">
        <v>204</v>
      </c>
      <c r="L137" t="s">
        <v>205</v>
      </c>
      <c r="M137" t="s">
        <v>791</v>
      </c>
      <c r="N137" t="s">
        <v>262</v>
      </c>
      <c r="O137" t="s">
        <v>792</v>
      </c>
      <c r="P137" t="s">
        <v>126</v>
      </c>
      <c r="Q137" t="s">
        <v>126</v>
      </c>
      <c r="R137" t="s">
        <v>126</v>
      </c>
      <c r="S137" t="s">
        <v>126</v>
      </c>
      <c r="T137" t="s">
        <v>126</v>
      </c>
      <c r="U137" t="s">
        <v>126</v>
      </c>
      <c r="V137" t="s">
        <v>126</v>
      </c>
      <c r="W137" t="s">
        <v>126</v>
      </c>
      <c r="X137" t="s">
        <v>126</v>
      </c>
      <c r="Y137" t="s">
        <v>126</v>
      </c>
      <c r="Z137" t="s">
        <v>265</v>
      </c>
      <c r="AA137" t="s">
        <v>793</v>
      </c>
    </row>
    <row r="138" spans="1:27" x14ac:dyDescent="0.2">
      <c r="A138" t="s">
        <v>794</v>
      </c>
      <c r="B138" t="s">
        <v>795</v>
      </c>
      <c r="C138" t="s">
        <v>118</v>
      </c>
      <c r="D138" t="s">
        <v>119</v>
      </c>
      <c r="E138" t="s">
        <v>119</v>
      </c>
      <c r="G138" t="s">
        <v>118</v>
      </c>
      <c r="I138" t="s">
        <v>120</v>
      </c>
      <c r="K138" t="s">
        <v>173</v>
      </c>
      <c r="L138" t="s">
        <v>174</v>
      </c>
      <c r="M138" t="s">
        <v>796</v>
      </c>
      <c r="N138" t="s">
        <v>323</v>
      </c>
      <c r="O138" t="s">
        <v>782</v>
      </c>
      <c r="P138" t="s">
        <v>126</v>
      </c>
      <c r="Q138" t="s">
        <v>126</v>
      </c>
      <c r="R138" t="s">
        <v>126</v>
      </c>
      <c r="S138" t="s">
        <v>126</v>
      </c>
      <c r="T138" t="s">
        <v>200</v>
      </c>
      <c r="U138" t="s">
        <v>126</v>
      </c>
      <c r="V138" t="s">
        <v>200</v>
      </c>
      <c r="W138" t="s">
        <v>126</v>
      </c>
      <c r="X138" t="s">
        <v>126</v>
      </c>
      <c r="Y138" t="s">
        <v>126</v>
      </c>
      <c r="Z138" t="s">
        <v>325</v>
      </c>
      <c r="AA138" t="s">
        <v>783</v>
      </c>
    </row>
    <row r="139" spans="1:27" x14ac:dyDescent="0.2">
      <c r="A139" t="s">
        <v>797</v>
      </c>
      <c r="B139" t="s">
        <v>798</v>
      </c>
      <c r="C139" t="s">
        <v>118</v>
      </c>
      <c r="D139" t="s">
        <v>119</v>
      </c>
      <c r="E139" t="s">
        <v>119</v>
      </c>
      <c r="G139" t="s">
        <v>118</v>
      </c>
      <c r="I139" t="s">
        <v>120</v>
      </c>
      <c r="K139" t="s">
        <v>232</v>
      </c>
      <c r="L139" t="s">
        <v>233</v>
      </c>
      <c r="M139" t="s">
        <v>799</v>
      </c>
      <c r="N139" t="s">
        <v>207</v>
      </c>
      <c r="O139" t="s">
        <v>219</v>
      </c>
      <c r="P139" t="s">
        <v>125</v>
      </c>
      <c r="Q139" t="s">
        <v>126</v>
      </c>
      <c r="R139" t="s">
        <v>126</v>
      </c>
      <c r="S139" t="s">
        <v>126</v>
      </c>
      <c r="T139" t="s">
        <v>125</v>
      </c>
      <c r="U139" t="s">
        <v>126</v>
      </c>
      <c r="V139" t="s">
        <v>125</v>
      </c>
      <c r="W139" t="s">
        <v>126</v>
      </c>
      <c r="X139" t="s">
        <v>126</v>
      </c>
      <c r="Y139" t="s">
        <v>126</v>
      </c>
      <c r="Z139" t="s">
        <v>209</v>
      </c>
      <c r="AA139" t="s">
        <v>221</v>
      </c>
    </row>
    <row r="140" spans="1:27" x14ac:dyDescent="0.2">
      <c r="A140" t="s">
        <v>800</v>
      </c>
      <c r="B140" t="s">
        <v>801</v>
      </c>
      <c r="C140" t="s">
        <v>118</v>
      </c>
      <c r="D140" t="s">
        <v>119</v>
      </c>
      <c r="E140" t="s">
        <v>119</v>
      </c>
      <c r="G140" t="s">
        <v>118</v>
      </c>
      <c r="I140" t="s">
        <v>120</v>
      </c>
      <c r="K140" t="s">
        <v>331</v>
      </c>
      <c r="L140" t="s">
        <v>332</v>
      </c>
      <c r="M140" t="s">
        <v>802</v>
      </c>
      <c r="N140" t="s">
        <v>214</v>
      </c>
      <c r="O140" t="s">
        <v>396</v>
      </c>
      <c r="P140" t="s">
        <v>126</v>
      </c>
      <c r="Q140" t="s">
        <v>126</v>
      </c>
      <c r="R140" t="s">
        <v>126</v>
      </c>
      <c r="S140" t="s">
        <v>126</v>
      </c>
      <c r="T140" t="s">
        <v>125</v>
      </c>
      <c r="U140" t="s">
        <v>126</v>
      </c>
      <c r="V140" t="s">
        <v>125</v>
      </c>
      <c r="W140" t="s">
        <v>126</v>
      </c>
      <c r="X140" t="s">
        <v>126</v>
      </c>
      <c r="Y140" t="s">
        <v>126</v>
      </c>
      <c r="Z140" t="s">
        <v>215</v>
      </c>
      <c r="AA140" t="s">
        <v>397</v>
      </c>
    </row>
    <row r="141" spans="1:27" x14ac:dyDescent="0.2">
      <c r="A141" t="s">
        <v>803</v>
      </c>
      <c r="B141" t="s">
        <v>804</v>
      </c>
      <c r="C141" t="s">
        <v>118</v>
      </c>
      <c r="D141" t="s">
        <v>119</v>
      </c>
      <c r="E141" t="s">
        <v>119</v>
      </c>
      <c r="G141" t="s">
        <v>118</v>
      </c>
      <c r="I141" t="s">
        <v>120</v>
      </c>
      <c r="K141" t="s">
        <v>204</v>
      </c>
      <c r="L141" t="s">
        <v>205</v>
      </c>
      <c r="M141" t="s">
        <v>805</v>
      </c>
      <c r="N141" t="s">
        <v>322</v>
      </c>
      <c r="O141" t="s">
        <v>302</v>
      </c>
      <c r="P141" t="s">
        <v>126</v>
      </c>
      <c r="Q141" t="s">
        <v>126</v>
      </c>
      <c r="R141" t="s">
        <v>126</v>
      </c>
      <c r="S141" t="s">
        <v>126</v>
      </c>
      <c r="T141" t="s">
        <v>169</v>
      </c>
      <c r="U141" t="s">
        <v>126</v>
      </c>
      <c r="V141" t="s">
        <v>169</v>
      </c>
      <c r="W141" t="s">
        <v>126</v>
      </c>
      <c r="X141" t="s">
        <v>126</v>
      </c>
      <c r="Y141" t="s">
        <v>126</v>
      </c>
      <c r="Z141" t="s">
        <v>324</v>
      </c>
      <c r="AA141" t="s">
        <v>583</v>
      </c>
    </row>
    <row r="142" spans="1:27" x14ac:dyDescent="0.2">
      <c r="A142" t="s">
        <v>806</v>
      </c>
      <c r="B142" t="s">
        <v>807</v>
      </c>
      <c r="C142" t="s">
        <v>118</v>
      </c>
      <c r="D142" t="s">
        <v>119</v>
      </c>
      <c r="E142" t="s">
        <v>119</v>
      </c>
      <c r="G142" t="s">
        <v>118</v>
      </c>
      <c r="I142" t="s">
        <v>120</v>
      </c>
      <c r="K142" t="s">
        <v>232</v>
      </c>
      <c r="L142" t="s">
        <v>233</v>
      </c>
      <c r="M142" t="s">
        <v>808</v>
      </c>
      <c r="N142" t="s">
        <v>809</v>
      </c>
      <c r="O142" t="s">
        <v>177</v>
      </c>
      <c r="P142" t="s">
        <v>126</v>
      </c>
      <c r="Q142" t="s">
        <v>126</v>
      </c>
      <c r="R142" t="s">
        <v>126</v>
      </c>
      <c r="S142" t="s">
        <v>126</v>
      </c>
      <c r="T142" t="s">
        <v>125</v>
      </c>
      <c r="U142" t="s">
        <v>126</v>
      </c>
      <c r="V142" t="s">
        <v>125</v>
      </c>
      <c r="W142" t="s">
        <v>126</v>
      </c>
      <c r="X142" t="s">
        <v>126</v>
      </c>
      <c r="Y142" t="s">
        <v>126</v>
      </c>
      <c r="Z142" t="s">
        <v>810</v>
      </c>
      <c r="AA142" t="s">
        <v>179</v>
      </c>
    </row>
    <row r="143" spans="1:27" x14ac:dyDescent="0.2">
      <c r="A143" t="s">
        <v>811</v>
      </c>
      <c r="B143" t="s">
        <v>812</v>
      </c>
      <c r="C143" t="s">
        <v>118</v>
      </c>
      <c r="D143" t="s">
        <v>119</v>
      </c>
      <c r="E143" t="s">
        <v>119</v>
      </c>
      <c r="G143" t="s">
        <v>118</v>
      </c>
      <c r="I143" t="s">
        <v>120</v>
      </c>
      <c r="K143" t="s">
        <v>232</v>
      </c>
      <c r="L143" t="s">
        <v>233</v>
      </c>
      <c r="M143" t="s">
        <v>813</v>
      </c>
      <c r="N143" t="s">
        <v>814</v>
      </c>
      <c r="O143" t="s">
        <v>386</v>
      </c>
      <c r="P143" t="s">
        <v>126</v>
      </c>
      <c r="Q143" t="s">
        <v>126</v>
      </c>
      <c r="R143" t="s">
        <v>126</v>
      </c>
      <c r="S143" t="s">
        <v>126</v>
      </c>
      <c r="T143" t="s">
        <v>200</v>
      </c>
      <c r="U143" t="s">
        <v>126</v>
      </c>
      <c r="V143" t="s">
        <v>200</v>
      </c>
      <c r="W143" t="s">
        <v>126</v>
      </c>
      <c r="X143" t="s">
        <v>126</v>
      </c>
      <c r="Y143" t="s">
        <v>126</v>
      </c>
      <c r="Z143" t="s">
        <v>815</v>
      </c>
      <c r="AA143" t="s">
        <v>387</v>
      </c>
    </row>
    <row r="144" spans="1:27" x14ac:dyDescent="0.2">
      <c r="A144" t="s">
        <v>816</v>
      </c>
      <c r="B144" t="s">
        <v>817</v>
      </c>
      <c r="C144" t="s">
        <v>118</v>
      </c>
      <c r="D144" t="s">
        <v>119</v>
      </c>
      <c r="E144" t="s">
        <v>119</v>
      </c>
      <c r="G144" t="s">
        <v>118</v>
      </c>
      <c r="I144" t="s">
        <v>120</v>
      </c>
      <c r="K144" t="s">
        <v>149</v>
      </c>
      <c r="L144" t="s">
        <v>150</v>
      </c>
      <c r="M144" t="s">
        <v>818</v>
      </c>
      <c r="N144" t="s">
        <v>249</v>
      </c>
      <c r="O144" t="s">
        <v>226</v>
      </c>
      <c r="P144" t="s">
        <v>126</v>
      </c>
      <c r="Q144" t="s">
        <v>126</v>
      </c>
      <c r="R144" t="s">
        <v>126</v>
      </c>
      <c r="S144" t="s">
        <v>126</v>
      </c>
      <c r="T144" t="s">
        <v>169</v>
      </c>
      <c r="U144" t="s">
        <v>126</v>
      </c>
      <c r="V144" t="s">
        <v>169</v>
      </c>
      <c r="W144" t="s">
        <v>126</v>
      </c>
      <c r="X144" t="s">
        <v>126</v>
      </c>
      <c r="Y144" t="s">
        <v>126</v>
      </c>
      <c r="Z144" t="s">
        <v>250</v>
      </c>
      <c r="AA144" t="s">
        <v>228</v>
      </c>
    </row>
    <row r="145" spans="1:27" x14ac:dyDescent="0.2">
      <c r="A145" t="s">
        <v>819</v>
      </c>
      <c r="B145" t="s">
        <v>820</v>
      </c>
      <c r="C145" t="s">
        <v>118</v>
      </c>
      <c r="D145" t="s">
        <v>119</v>
      </c>
      <c r="E145" t="s">
        <v>119</v>
      </c>
      <c r="G145" t="s">
        <v>118</v>
      </c>
      <c r="I145" t="s">
        <v>120</v>
      </c>
      <c r="K145" t="s">
        <v>232</v>
      </c>
      <c r="L145" t="s">
        <v>233</v>
      </c>
      <c r="M145" t="s">
        <v>821</v>
      </c>
      <c r="N145" t="s">
        <v>152</v>
      </c>
      <c r="O145" t="s">
        <v>153</v>
      </c>
      <c r="P145" t="s">
        <v>126</v>
      </c>
      <c r="Q145" t="s">
        <v>126</v>
      </c>
      <c r="R145" t="s">
        <v>126</v>
      </c>
      <c r="S145" t="s">
        <v>126</v>
      </c>
      <c r="T145" t="s">
        <v>126</v>
      </c>
      <c r="U145" t="s">
        <v>126</v>
      </c>
      <c r="V145" t="s">
        <v>126</v>
      </c>
      <c r="W145" t="s">
        <v>126</v>
      </c>
      <c r="X145" t="s">
        <v>126</v>
      </c>
      <c r="Y145" t="s">
        <v>126</v>
      </c>
      <c r="Z145" t="s">
        <v>154</v>
      </c>
      <c r="AA145" t="s">
        <v>155</v>
      </c>
    </row>
    <row r="146" spans="1:27" x14ac:dyDescent="0.2">
      <c r="A146" t="s">
        <v>822</v>
      </c>
      <c r="B146" t="s">
        <v>823</v>
      </c>
      <c r="C146" t="s">
        <v>118</v>
      </c>
      <c r="D146" t="s">
        <v>119</v>
      </c>
      <c r="E146" t="s">
        <v>119</v>
      </c>
      <c r="G146" t="s">
        <v>118</v>
      </c>
      <c r="I146" t="s">
        <v>120</v>
      </c>
      <c r="K146" t="s">
        <v>204</v>
      </c>
      <c r="L146" t="s">
        <v>205</v>
      </c>
      <c r="M146" t="s">
        <v>824</v>
      </c>
      <c r="N146" t="s">
        <v>361</v>
      </c>
      <c r="O146" t="s">
        <v>257</v>
      </c>
      <c r="P146" t="s">
        <v>126</v>
      </c>
      <c r="Q146" t="s">
        <v>126</v>
      </c>
      <c r="R146" t="s">
        <v>126</v>
      </c>
      <c r="S146" t="s">
        <v>126</v>
      </c>
      <c r="T146" t="s">
        <v>169</v>
      </c>
      <c r="U146" t="s">
        <v>126</v>
      </c>
      <c r="V146" t="s">
        <v>169</v>
      </c>
      <c r="W146" t="s">
        <v>126</v>
      </c>
      <c r="X146" t="s">
        <v>126</v>
      </c>
      <c r="Y146" t="s">
        <v>126</v>
      </c>
      <c r="Z146" t="s">
        <v>362</v>
      </c>
      <c r="AA146" t="s">
        <v>258</v>
      </c>
    </row>
    <row r="147" spans="1:27" x14ac:dyDescent="0.2">
      <c r="A147" t="s">
        <v>825</v>
      </c>
      <c r="B147" t="s">
        <v>826</v>
      </c>
      <c r="C147" t="s">
        <v>118</v>
      </c>
      <c r="D147" t="s">
        <v>119</v>
      </c>
      <c r="E147" t="s">
        <v>119</v>
      </c>
      <c r="G147" t="s">
        <v>118</v>
      </c>
      <c r="I147" t="s">
        <v>120</v>
      </c>
      <c r="K147" t="s">
        <v>204</v>
      </c>
      <c r="L147" t="s">
        <v>205</v>
      </c>
      <c r="M147" t="s">
        <v>827</v>
      </c>
      <c r="N147" t="s">
        <v>323</v>
      </c>
      <c r="O147" t="s">
        <v>299</v>
      </c>
      <c r="P147" t="s">
        <v>126</v>
      </c>
      <c r="Q147" t="s">
        <v>126</v>
      </c>
      <c r="R147" t="s">
        <v>126</v>
      </c>
      <c r="S147" t="s">
        <v>126</v>
      </c>
      <c r="T147" t="s">
        <v>126</v>
      </c>
      <c r="U147" t="s">
        <v>126</v>
      </c>
      <c r="V147" t="s">
        <v>126</v>
      </c>
      <c r="W147" t="s">
        <v>126</v>
      </c>
      <c r="X147" t="s">
        <v>126</v>
      </c>
      <c r="Y147" t="s">
        <v>126</v>
      </c>
      <c r="Z147" t="s">
        <v>325</v>
      </c>
      <c r="AA147" t="s">
        <v>302</v>
      </c>
    </row>
    <row r="148" spans="1:27" x14ac:dyDescent="0.2">
      <c r="A148" t="s">
        <v>828</v>
      </c>
      <c r="B148" t="s">
        <v>829</v>
      </c>
      <c r="C148" t="s">
        <v>118</v>
      </c>
      <c r="D148" t="s">
        <v>119</v>
      </c>
      <c r="E148" t="s">
        <v>119</v>
      </c>
      <c r="G148" t="s">
        <v>118</v>
      </c>
      <c r="I148" t="s">
        <v>120</v>
      </c>
      <c r="K148" t="s">
        <v>130</v>
      </c>
      <c r="L148" t="s">
        <v>131</v>
      </c>
      <c r="M148" t="s">
        <v>830</v>
      </c>
      <c r="N148" t="s">
        <v>307</v>
      </c>
      <c r="O148" t="s">
        <v>831</v>
      </c>
      <c r="P148" t="s">
        <v>126</v>
      </c>
      <c r="Q148" t="s">
        <v>126</v>
      </c>
      <c r="R148" t="s">
        <v>126</v>
      </c>
      <c r="S148" t="s">
        <v>126</v>
      </c>
      <c r="T148" t="s">
        <v>169</v>
      </c>
      <c r="U148" t="s">
        <v>126</v>
      </c>
      <c r="V148" t="s">
        <v>169</v>
      </c>
      <c r="W148" t="s">
        <v>126</v>
      </c>
      <c r="X148" t="s">
        <v>126</v>
      </c>
      <c r="Y148" t="s">
        <v>126</v>
      </c>
      <c r="Z148" t="s">
        <v>309</v>
      </c>
      <c r="AA148" t="s">
        <v>832</v>
      </c>
    </row>
    <row r="149" spans="1:27" x14ac:dyDescent="0.2">
      <c r="A149" t="s">
        <v>833</v>
      </c>
      <c r="B149" t="s">
        <v>834</v>
      </c>
      <c r="C149" t="s">
        <v>118</v>
      </c>
      <c r="D149" t="s">
        <v>119</v>
      </c>
      <c r="E149" t="s">
        <v>119</v>
      </c>
      <c r="G149" t="s">
        <v>118</v>
      </c>
      <c r="I149" t="s">
        <v>120</v>
      </c>
      <c r="K149" t="s">
        <v>232</v>
      </c>
      <c r="L149" t="s">
        <v>233</v>
      </c>
      <c r="M149" t="s">
        <v>835</v>
      </c>
      <c r="N149" t="s">
        <v>478</v>
      </c>
      <c r="O149" t="s">
        <v>322</v>
      </c>
      <c r="P149" t="s">
        <v>126</v>
      </c>
      <c r="Q149" t="s">
        <v>126</v>
      </c>
      <c r="R149" t="s">
        <v>126</v>
      </c>
      <c r="S149" t="s">
        <v>126</v>
      </c>
      <c r="T149" t="s">
        <v>125</v>
      </c>
      <c r="U149" t="s">
        <v>126</v>
      </c>
      <c r="V149" t="s">
        <v>125</v>
      </c>
      <c r="W149" t="s">
        <v>126</v>
      </c>
      <c r="X149" t="s">
        <v>126</v>
      </c>
      <c r="Y149" t="s">
        <v>126</v>
      </c>
      <c r="Z149" t="s">
        <v>479</v>
      </c>
      <c r="AA149" t="s">
        <v>324</v>
      </c>
    </row>
    <row r="150" spans="1:27" x14ac:dyDescent="0.2">
      <c r="A150" t="s">
        <v>836</v>
      </c>
      <c r="B150" t="s">
        <v>837</v>
      </c>
      <c r="C150" t="s">
        <v>118</v>
      </c>
      <c r="D150" t="s">
        <v>119</v>
      </c>
      <c r="E150" t="s">
        <v>119</v>
      </c>
      <c r="G150" t="s">
        <v>118</v>
      </c>
      <c r="I150" t="s">
        <v>120</v>
      </c>
      <c r="K150" t="s">
        <v>149</v>
      </c>
      <c r="L150" t="s">
        <v>150</v>
      </c>
      <c r="M150" t="s">
        <v>838</v>
      </c>
      <c r="N150" t="s">
        <v>698</v>
      </c>
      <c r="O150" t="s">
        <v>574</v>
      </c>
      <c r="P150" t="s">
        <v>125</v>
      </c>
      <c r="Q150" t="s">
        <v>126</v>
      </c>
      <c r="R150" t="s">
        <v>126</v>
      </c>
      <c r="S150" t="s">
        <v>126</v>
      </c>
      <c r="T150" t="s">
        <v>126</v>
      </c>
      <c r="U150" t="s">
        <v>126</v>
      </c>
      <c r="V150" t="s">
        <v>126</v>
      </c>
      <c r="W150" t="s">
        <v>126</v>
      </c>
      <c r="X150" t="s">
        <v>126</v>
      </c>
      <c r="Y150" t="s">
        <v>126</v>
      </c>
      <c r="Z150" t="s">
        <v>699</v>
      </c>
      <c r="AA150" t="s">
        <v>575</v>
      </c>
    </row>
    <row r="151" spans="1:27" x14ac:dyDescent="0.2">
      <c r="A151" t="s">
        <v>839</v>
      </c>
      <c r="B151" t="s">
        <v>840</v>
      </c>
      <c r="C151" t="s">
        <v>118</v>
      </c>
      <c r="D151" t="s">
        <v>119</v>
      </c>
      <c r="E151" t="s">
        <v>119</v>
      </c>
      <c r="G151" t="s">
        <v>118</v>
      </c>
      <c r="I151" t="s">
        <v>120</v>
      </c>
      <c r="K151" t="s">
        <v>553</v>
      </c>
      <c r="L151" t="s">
        <v>554</v>
      </c>
      <c r="M151" t="s">
        <v>841</v>
      </c>
      <c r="N151" t="s">
        <v>162</v>
      </c>
      <c r="O151" t="s">
        <v>299</v>
      </c>
      <c r="P151" t="s">
        <v>126</v>
      </c>
      <c r="Q151" t="s">
        <v>126</v>
      </c>
      <c r="R151" t="s">
        <v>126</v>
      </c>
      <c r="S151" t="s">
        <v>126</v>
      </c>
      <c r="T151" t="s">
        <v>169</v>
      </c>
      <c r="U151" t="s">
        <v>126</v>
      </c>
      <c r="V151" t="s">
        <v>169</v>
      </c>
      <c r="W151" t="s">
        <v>126</v>
      </c>
      <c r="X151" t="s">
        <v>126</v>
      </c>
      <c r="Y151" t="s">
        <v>126</v>
      </c>
      <c r="Z151" t="s">
        <v>164</v>
      </c>
      <c r="AA151" t="s">
        <v>302</v>
      </c>
    </row>
    <row r="152" spans="1:27" x14ac:dyDescent="0.2">
      <c r="A152" t="s">
        <v>842</v>
      </c>
      <c r="B152" t="s">
        <v>843</v>
      </c>
      <c r="C152" t="s">
        <v>118</v>
      </c>
      <c r="D152" t="s">
        <v>119</v>
      </c>
      <c r="E152" t="s">
        <v>119</v>
      </c>
      <c r="G152" t="s">
        <v>118</v>
      </c>
      <c r="I152" t="s">
        <v>120</v>
      </c>
      <c r="K152" t="s">
        <v>291</v>
      </c>
      <c r="L152" t="s">
        <v>292</v>
      </c>
      <c r="M152" t="s">
        <v>844</v>
      </c>
      <c r="N152" t="s">
        <v>257</v>
      </c>
      <c r="O152" t="s">
        <v>845</v>
      </c>
      <c r="P152" t="s">
        <v>126</v>
      </c>
      <c r="Q152" t="s">
        <v>126</v>
      </c>
      <c r="R152" t="s">
        <v>126</v>
      </c>
      <c r="S152" t="s">
        <v>126</v>
      </c>
      <c r="T152" t="s">
        <v>200</v>
      </c>
      <c r="U152" t="s">
        <v>126</v>
      </c>
      <c r="V152" t="s">
        <v>200</v>
      </c>
      <c r="W152" t="s">
        <v>126</v>
      </c>
      <c r="X152" t="s">
        <v>126</v>
      </c>
      <c r="Y152" t="s">
        <v>126</v>
      </c>
      <c r="Z152" t="s">
        <v>258</v>
      </c>
      <c r="AA152" t="s">
        <v>846</v>
      </c>
    </row>
    <row r="153" spans="1:27" x14ac:dyDescent="0.2">
      <c r="A153" t="s">
        <v>847</v>
      </c>
      <c r="B153" t="s">
        <v>848</v>
      </c>
      <c r="C153" t="s">
        <v>118</v>
      </c>
      <c r="D153" t="s">
        <v>119</v>
      </c>
      <c r="E153" t="s">
        <v>119</v>
      </c>
      <c r="G153" t="s">
        <v>118</v>
      </c>
      <c r="I153" t="s">
        <v>120</v>
      </c>
      <c r="K153" t="s">
        <v>158</v>
      </c>
      <c r="L153" t="s">
        <v>159</v>
      </c>
      <c r="M153" t="s">
        <v>849</v>
      </c>
      <c r="N153" t="s">
        <v>453</v>
      </c>
      <c r="O153" t="s">
        <v>300</v>
      </c>
      <c r="P153" t="s">
        <v>126</v>
      </c>
      <c r="Q153" t="s">
        <v>126</v>
      </c>
      <c r="R153" t="s">
        <v>126</v>
      </c>
      <c r="S153" t="s">
        <v>126</v>
      </c>
      <c r="T153" t="s">
        <v>169</v>
      </c>
      <c r="U153" t="s">
        <v>126</v>
      </c>
      <c r="V153" t="s">
        <v>169</v>
      </c>
      <c r="W153" t="s">
        <v>126</v>
      </c>
      <c r="X153" t="s">
        <v>126</v>
      </c>
      <c r="Y153" t="s">
        <v>126</v>
      </c>
      <c r="Z153" t="s">
        <v>454</v>
      </c>
      <c r="AA153" t="s">
        <v>303</v>
      </c>
    </row>
    <row r="154" spans="1:27" x14ac:dyDescent="0.2">
      <c r="A154" t="s">
        <v>850</v>
      </c>
      <c r="B154" t="s">
        <v>851</v>
      </c>
      <c r="C154" t="s">
        <v>118</v>
      </c>
      <c r="D154" t="s">
        <v>119</v>
      </c>
      <c r="E154" t="s">
        <v>119</v>
      </c>
      <c r="G154" t="s">
        <v>118</v>
      </c>
      <c r="I154" t="s">
        <v>120</v>
      </c>
      <c r="K154" t="s">
        <v>852</v>
      </c>
      <c r="L154" t="s">
        <v>853</v>
      </c>
      <c r="M154" t="s">
        <v>854</v>
      </c>
      <c r="N154" t="s">
        <v>162</v>
      </c>
      <c r="O154" t="s">
        <v>299</v>
      </c>
      <c r="P154" t="s">
        <v>126</v>
      </c>
      <c r="Q154" t="s">
        <v>126</v>
      </c>
      <c r="R154" t="s">
        <v>126</v>
      </c>
      <c r="S154" t="s">
        <v>126</v>
      </c>
      <c r="T154" t="s">
        <v>264</v>
      </c>
      <c r="U154" t="s">
        <v>126</v>
      </c>
      <c r="V154" t="s">
        <v>264</v>
      </c>
      <c r="W154" t="s">
        <v>126</v>
      </c>
      <c r="X154" t="s">
        <v>126</v>
      </c>
      <c r="Y154" t="s">
        <v>126</v>
      </c>
      <c r="Z154" t="s">
        <v>164</v>
      </c>
      <c r="AA154" t="s">
        <v>302</v>
      </c>
    </row>
    <row r="155" spans="1:27" x14ac:dyDescent="0.2">
      <c r="A155" t="s">
        <v>855</v>
      </c>
      <c r="B155" t="s">
        <v>856</v>
      </c>
      <c r="C155" t="s">
        <v>118</v>
      </c>
      <c r="D155" t="s">
        <v>119</v>
      </c>
      <c r="E155" t="s">
        <v>119</v>
      </c>
      <c r="G155" t="s">
        <v>118</v>
      </c>
      <c r="I155" t="s">
        <v>120</v>
      </c>
      <c r="K155" t="s">
        <v>232</v>
      </c>
      <c r="L155" t="s">
        <v>233</v>
      </c>
      <c r="M155" t="s">
        <v>857</v>
      </c>
      <c r="N155" t="s">
        <v>287</v>
      </c>
      <c r="O155" t="s">
        <v>549</v>
      </c>
      <c r="P155" t="s">
        <v>126</v>
      </c>
      <c r="Q155" t="s">
        <v>126</v>
      </c>
      <c r="R155" t="s">
        <v>126</v>
      </c>
      <c r="S155" t="s">
        <v>126</v>
      </c>
      <c r="T155" t="s">
        <v>126</v>
      </c>
      <c r="U155" t="s">
        <v>126</v>
      </c>
      <c r="V155" t="s">
        <v>126</v>
      </c>
      <c r="W155" t="s">
        <v>126</v>
      </c>
      <c r="X155" t="s">
        <v>126</v>
      </c>
      <c r="Y155" t="s">
        <v>126</v>
      </c>
      <c r="Z155" t="s">
        <v>288</v>
      </c>
      <c r="AA155" t="s">
        <v>550</v>
      </c>
    </row>
    <row r="156" spans="1:27" x14ac:dyDescent="0.2">
      <c r="A156" t="s">
        <v>858</v>
      </c>
      <c r="B156" t="s">
        <v>859</v>
      </c>
      <c r="C156" t="s">
        <v>118</v>
      </c>
      <c r="D156" t="s">
        <v>119</v>
      </c>
      <c r="E156" t="s">
        <v>119</v>
      </c>
      <c r="G156" t="s">
        <v>118</v>
      </c>
      <c r="I156" t="s">
        <v>120</v>
      </c>
      <c r="K156" t="s">
        <v>204</v>
      </c>
      <c r="L156" t="s">
        <v>205</v>
      </c>
      <c r="M156" t="s">
        <v>860</v>
      </c>
      <c r="N156" t="s">
        <v>329</v>
      </c>
      <c r="O156" t="s">
        <v>861</v>
      </c>
      <c r="P156" t="s">
        <v>126</v>
      </c>
      <c r="Q156" t="s">
        <v>126</v>
      </c>
      <c r="R156" t="s">
        <v>126</v>
      </c>
      <c r="S156" t="s">
        <v>126</v>
      </c>
      <c r="T156" t="s">
        <v>427</v>
      </c>
      <c r="U156" t="s">
        <v>126</v>
      </c>
      <c r="V156" t="s">
        <v>427</v>
      </c>
      <c r="W156" t="s">
        <v>126</v>
      </c>
      <c r="X156" t="s">
        <v>126</v>
      </c>
      <c r="Y156" t="s">
        <v>126</v>
      </c>
      <c r="Z156" t="s">
        <v>330</v>
      </c>
      <c r="AA156" t="s">
        <v>862</v>
      </c>
    </row>
    <row r="157" spans="1:27" x14ac:dyDescent="0.2">
      <c r="A157" t="s">
        <v>863</v>
      </c>
      <c r="B157" t="s">
        <v>864</v>
      </c>
      <c r="C157" t="s">
        <v>118</v>
      </c>
      <c r="D157" t="s">
        <v>119</v>
      </c>
      <c r="E157" t="s">
        <v>119</v>
      </c>
      <c r="G157" t="s">
        <v>118</v>
      </c>
      <c r="I157" t="s">
        <v>120</v>
      </c>
      <c r="K157" t="s">
        <v>158</v>
      </c>
      <c r="L157" t="s">
        <v>159</v>
      </c>
      <c r="M157" t="s">
        <v>865</v>
      </c>
      <c r="N157" t="s">
        <v>386</v>
      </c>
      <c r="O157" t="s">
        <v>353</v>
      </c>
      <c r="P157" t="s">
        <v>126</v>
      </c>
      <c r="Q157" t="s">
        <v>126</v>
      </c>
      <c r="R157" t="s">
        <v>126</v>
      </c>
      <c r="S157" t="s">
        <v>126</v>
      </c>
      <c r="T157" t="s">
        <v>126</v>
      </c>
      <c r="U157" t="s">
        <v>126</v>
      </c>
      <c r="V157" t="s">
        <v>126</v>
      </c>
      <c r="W157" t="s">
        <v>126</v>
      </c>
      <c r="X157" t="s">
        <v>126</v>
      </c>
      <c r="Y157" t="s">
        <v>126</v>
      </c>
      <c r="Z157" t="s">
        <v>387</v>
      </c>
      <c r="AA157" t="s">
        <v>355</v>
      </c>
    </row>
    <row r="158" spans="1:27" x14ac:dyDescent="0.2">
      <c r="A158" t="s">
        <v>866</v>
      </c>
      <c r="B158" t="s">
        <v>867</v>
      </c>
      <c r="C158" t="s">
        <v>118</v>
      </c>
      <c r="D158" t="s">
        <v>119</v>
      </c>
      <c r="E158" t="s">
        <v>119</v>
      </c>
      <c r="G158" t="s">
        <v>118</v>
      </c>
      <c r="I158" t="s">
        <v>120</v>
      </c>
      <c r="K158" t="s">
        <v>501</v>
      </c>
      <c r="L158" t="s">
        <v>502</v>
      </c>
      <c r="M158" t="s">
        <v>868</v>
      </c>
      <c r="N158" t="s">
        <v>869</v>
      </c>
      <c r="O158" t="s">
        <v>870</v>
      </c>
      <c r="P158" t="s">
        <v>125</v>
      </c>
      <c r="Q158" t="s">
        <v>126</v>
      </c>
      <c r="R158" t="s">
        <v>126</v>
      </c>
      <c r="S158" t="s">
        <v>126</v>
      </c>
      <c r="T158" t="s">
        <v>126</v>
      </c>
      <c r="U158" t="s">
        <v>126</v>
      </c>
      <c r="V158" t="s">
        <v>126</v>
      </c>
      <c r="W158" t="s">
        <v>126</v>
      </c>
      <c r="X158" t="s">
        <v>126</v>
      </c>
      <c r="Y158" t="s">
        <v>126</v>
      </c>
      <c r="Z158" t="s">
        <v>871</v>
      </c>
      <c r="AA158" t="s">
        <v>872</v>
      </c>
    </row>
    <row r="159" spans="1:27" x14ac:dyDescent="0.2">
      <c r="A159" t="s">
        <v>873</v>
      </c>
      <c r="B159" t="s">
        <v>874</v>
      </c>
      <c r="C159" t="s">
        <v>118</v>
      </c>
      <c r="D159" t="s">
        <v>119</v>
      </c>
      <c r="E159" t="s">
        <v>119</v>
      </c>
      <c r="G159" t="s">
        <v>118</v>
      </c>
      <c r="I159" t="s">
        <v>120</v>
      </c>
      <c r="K159" t="s">
        <v>158</v>
      </c>
      <c r="L159" t="s">
        <v>159</v>
      </c>
      <c r="M159" t="s">
        <v>875</v>
      </c>
      <c r="N159" t="s">
        <v>249</v>
      </c>
      <c r="O159" t="s">
        <v>226</v>
      </c>
      <c r="P159" t="s">
        <v>126</v>
      </c>
      <c r="Q159" t="s">
        <v>126</v>
      </c>
      <c r="R159" t="s">
        <v>126</v>
      </c>
      <c r="S159" t="s">
        <v>126</v>
      </c>
      <c r="T159" t="s">
        <v>658</v>
      </c>
      <c r="U159" t="s">
        <v>126</v>
      </c>
      <c r="V159" t="s">
        <v>658</v>
      </c>
      <c r="W159" t="s">
        <v>126</v>
      </c>
      <c r="X159" t="s">
        <v>126</v>
      </c>
      <c r="Y159" t="s">
        <v>126</v>
      </c>
      <c r="Z159" t="s">
        <v>250</v>
      </c>
      <c r="AA159" t="s">
        <v>228</v>
      </c>
    </row>
    <row r="160" spans="1:27" x14ac:dyDescent="0.2">
      <c r="A160" t="s">
        <v>876</v>
      </c>
      <c r="B160" t="s">
        <v>877</v>
      </c>
      <c r="D160" t="s">
        <v>119</v>
      </c>
      <c r="E160" t="s">
        <v>119</v>
      </c>
      <c r="G160" t="s">
        <v>118</v>
      </c>
      <c r="I160" t="s">
        <v>120</v>
      </c>
      <c r="K160" t="s">
        <v>130</v>
      </c>
      <c r="L160" t="s">
        <v>131</v>
      </c>
      <c r="M160" t="s">
        <v>878</v>
      </c>
      <c r="N160" t="s">
        <v>879</v>
      </c>
      <c r="O160" t="s">
        <v>880</v>
      </c>
      <c r="P160" t="s">
        <v>125</v>
      </c>
      <c r="Q160" t="s">
        <v>126</v>
      </c>
      <c r="R160" t="s">
        <v>126</v>
      </c>
      <c r="S160" t="s">
        <v>126</v>
      </c>
      <c r="V160" t="s">
        <v>126</v>
      </c>
      <c r="Y160" t="s">
        <v>126</v>
      </c>
      <c r="Z160" t="s">
        <v>881</v>
      </c>
      <c r="AA160" t="s">
        <v>882</v>
      </c>
    </row>
    <row r="161" spans="1:27" x14ac:dyDescent="0.2">
      <c r="A161" t="s">
        <v>883</v>
      </c>
      <c r="B161" t="s">
        <v>884</v>
      </c>
      <c r="C161" t="s">
        <v>118</v>
      </c>
      <c r="D161" t="s">
        <v>119</v>
      </c>
      <c r="E161" t="s">
        <v>119</v>
      </c>
      <c r="G161" t="s">
        <v>118</v>
      </c>
      <c r="I161" t="s">
        <v>120</v>
      </c>
      <c r="K161" t="s">
        <v>139</v>
      </c>
      <c r="L161" t="s">
        <v>140</v>
      </c>
      <c r="M161" t="s">
        <v>885</v>
      </c>
      <c r="N161" t="s">
        <v>176</v>
      </c>
      <c r="O161" t="s">
        <v>353</v>
      </c>
      <c r="P161" t="s">
        <v>126</v>
      </c>
      <c r="Q161" t="s">
        <v>126</v>
      </c>
      <c r="R161" t="s">
        <v>126</v>
      </c>
      <c r="S161" t="s">
        <v>126</v>
      </c>
      <c r="T161" t="s">
        <v>200</v>
      </c>
      <c r="U161" t="s">
        <v>126</v>
      </c>
      <c r="V161" t="s">
        <v>200</v>
      </c>
      <c r="W161" t="s">
        <v>126</v>
      </c>
      <c r="X161" t="s">
        <v>126</v>
      </c>
      <c r="Y161" t="s">
        <v>126</v>
      </c>
      <c r="Z161" t="s">
        <v>178</v>
      </c>
      <c r="AA161" t="s">
        <v>355</v>
      </c>
    </row>
    <row r="162" spans="1:27" x14ac:dyDescent="0.2">
      <c r="A162" t="s">
        <v>886</v>
      </c>
      <c r="B162" t="s">
        <v>887</v>
      </c>
      <c r="C162" t="s">
        <v>118</v>
      </c>
      <c r="D162" t="s">
        <v>119</v>
      </c>
      <c r="E162" t="s">
        <v>119</v>
      </c>
      <c r="G162" t="s">
        <v>118</v>
      </c>
      <c r="I162" t="s">
        <v>120</v>
      </c>
      <c r="K162" t="s">
        <v>501</v>
      </c>
      <c r="L162" t="s">
        <v>502</v>
      </c>
      <c r="M162" t="s">
        <v>888</v>
      </c>
      <c r="N162" t="s">
        <v>361</v>
      </c>
      <c r="O162" t="s">
        <v>314</v>
      </c>
      <c r="P162" t="s">
        <v>126</v>
      </c>
      <c r="Q162" t="s">
        <v>126</v>
      </c>
      <c r="R162" t="s">
        <v>126</v>
      </c>
      <c r="S162" t="s">
        <v>126</v>
      </c>
      <c r="T162" t="s">
        <v>126</v>
      </c>
      <c r="U162" t="s">
        <v>126</v>
      </c>
      <c r="V162" t="s">
        <v>126</v>
      </c>
      <c r="W162" t="s">
        <v>126</v>
      </c>
      <c r="X162" t="s">
        <v>126</v>
      </c>
      <c r="Y162" t="s">
        <v>126</v>
      </c>
      <c r="Z162" t="s">
        <v>362</v>
      </c>
      <c r="AA162" t="s">
        <v>315</v>
      </c>
    </row>
    <row r="163" spans="1:27" x14ac:dyDescent="0.2">
      <c r="A163" t="s">
        <v>889</v>
      </c>
      <c r="B163" t="s">
        <v>890</v>
      </c>
      <c r="C163" t="s">
        <v>118</v>
      </c>
      <c r="D163" t="s">
        <v>119</v>
      </c>
      <c r="E163" t="s">
        <v>119</v>
      </c>
      <c r="G163" t="s">
        <v>118</v>
      </c>
      <c r="I163" t="s">
        <v>120</v>
      </c>
      <c r="K163" t="s">
        <v>232</v>
      </c>
      <c r="L163" t="s">
        <v>233</v>
      </c>
      <c r="M163" t="s">
        <v>891</v>
      </c>
      <c r="N163" t="s">
        <v>809</v>
      </c>
      <c r="O163" t="s">
        <v>177</v>
      </c>
      <c r="P163" t="s">
        <v>126</v>
      </c>
      <c r="Q163" t="s">
        <v>126</v>
      </c>
      <c r="R163" t="s">
        <v>126</v>
      </c>
      <c r="S163" t="s">
        <v>126</v>
      </c>
      <c r="T163" t="s">
        <v>125</v>
      </c>
      <c r="U163" t="s">
        <v>126</v>
      </c>
      <c r="V163" t="s">
        <v>125</v>
      </c>
      <c r="W163" t="s">
        <v>126</v>
      </c>
      <c r="X163" t="s">
        <v>126</v>
      </c>
      <c r="Y163" t="s">
        <v>126</v>
      </c>
      <c r="Z163" t="s">
        <v>810</v>
      </c>
      <c r="AA163" t="s">
        <v>179</v>
      </c>
    </row>
    <row r="164" spans="1:27" x14ac:dyDescent="0.2">
      <c r="A164" t="s">
        <v>892</v>
      </c>
      <c r="B164" t="s">
        <v>893</v>
      </c>
      <c r="C164" t="s">
        <v>118</v>
      </c>
      <c r="D164" t="s">
        <v>119</v>
      </c>
      <c r="E164" t="s">
        <v>119</v>
      </c>
      <c r="G164" t="s">
        <v>118</v>
      </c>
      <c r="I164" t="s">
        <v>120</v>
      </c>
      <c r="K164" t="s">
        <v>232</v>
      </c>
      <c r="L164" t="s">
        <v>233</v>
      </c>
      <c r="M164" t="s">
        <v>894</v>
      </c>
      <c r="N164" t="s">
        <v>168</v>
      </c>
      <c r="O164" t="s">
        <v>133</v>
      </c>
      <c r="P164" t="s">
        <v>126</v>
      </c>
      <c r="Q164" t="s">
        <v>126</v>
      </c>
      <c r="R164" t="s">
        <v>126</v>
      </c>
      <c r="S164" t="s">
        <v>126</v>
      </c>
      <c r="T164" t="s">
        <v>126</v>
      </c>
      <c r="U164" t="s">
        <v>126</v>
      </c>
      <c r="V164" t="s">
        <v>126</v>
      </c>
      <c r="W164" t="s">
        <v>126</v>
      </c>
      <c r="X164" t="s">
        <v>126</v>
      </c>
      <c r="Y164" t="s">
        <v>126</v>
      </c>
      <c r="Z164" t="s">
        <v>170</v>
      </c>
      <c r="AA164" t="s">
        <v>135</v>
      </c>
    </row>
    <row r="165" spans="1:27" x14ac:dyDescent="0.2">
      <c r="A165" t="s">
        <v>895</v>
      </c>
      <c r="B165" t="s">
        <v>896</v>
      </c>
      <c r="C165" t="s">
        <v>118</v>
      </c>
      <c r="D165" t="s">
        <v>119</v>
      </c>
      <c r="E165" t="s">
        <v>119</v>
      </c>
      <c r="G165" t="s">
        <v>118</v>
      </c>
      <c r="I165" t="s">
        <v>120</v>
      </c>
      <c r="K165" t="s">
        <v>158</v>
      </c>
      <c r="L165" t="s">
        <v>159</v>
      </c>
      <c r="M165" t="s">
        <v>897</v>
      </c>
      <c r="N165" t="s">
        <v>396</v>
      </c>
      <c r="O165" t="s">
        <v>299</v>
      </c>
      <c r="P165" t="s">
        <v>126</v>
      </c>
      <c r="Q165" t="s">
        <v>126</v>
      </c>
      <c r="R165" t="s">
        <v>126</v>
      </c>
      <c r="S165" t="s">
        <v>126</v>
      </c>
      <c r="T165" t="s">
        <v>419</v>
      </c>
      <c r="U165" t="s">
        <v>126</v>
      </c>
      <c r="V165" t="s">
        <v>419</v>
      </c>
      <c r="W165" t="s">
        <v>126</v>
      </c>
      <c r="X165" t="s">
        <v>126</v>
      </c>
      <c r="Y165" t="s">
        <v>126</v>
      </c>
      <c r="Z165" t="s">
        <v>397</v>
      </c>
      <c r="AA165" t="s">
        <v>302</v>
      </c>
    </row>
    <row r="166" spans="1:27" x14ac:dyDescent="0.2">
      <c r="A166" t="s">
        <v>898</v>
      </c>
      <c r="B166" t="s">
        <v>899</v>
      </c>
      <c r="C166" t="s">
        <v>118</v>
      </c>
      <c r="D166" t="s">
        <v>119</v>
      </c>
      <c r="E166" t="s">
        <v>119</v>
      </c>
      <c r="G166" t="s">
        <v>118</v>
      </c>
      <c r="I166" t="s">
        <v>120</v>
      </c>
      <c r="K166" t="s">
        <v>232</v>
      </c>
      <c r="L166" t="s">
        <v>233</v>
      </c>
      <c r="M166" t="s">
        <v>900</v>
      </c>
      <c r="N166" t="s">
        <v>901</v>
      </c>
      <c r="O166" t="s">
        <v>386</v>
      </c>
      <c r="P166" t="s">
        <v>126</v>
      </c>
      <c r="Q166" t="s">
        <v>126</v>
      </c>
      <c r="R166" t="s">
        <v>126</v>
      </c>
      <c r="S166" t="s">
        <v>126</v>
      </c>
      <c r="T166" t="s">
        <v>169</v>
      </c>
      <c r="U166" t="s">
        <v>126</v>
      </c>
      <c r="V166" t="s">
        <v>169</v>
      </c>
      <c r="W166" t="s">
        <v>126</v>
      </c>
      <c r="X166" t="s">
        <v>126</v>
      </c>
      <c r="Y166" t="s">
        <v>126</v>
      </c>
      <c r="Z166" t="s">
        <v>902</v>
      </c>
      <c r="AA166" t="s">
        <v>387</v>
      </c>
    </row>
    <row r="167" spans="1:27" x14ac:dyDescent="0.2">
      <c r="A167" t="s">
        <v>903</v>
      </c>
      <c r="B167" t="s">
        <v>904</v>
      </c>
      <c r="C167" t="s">
        <v>118</v>
      </c>
      <c r="D167" t="s">
        <v>119</v>
      </c>
      <c r="E167" t="s">
        <v>119</v>
      </c>
      <c r="G167" t="s">
        <v>118</v>
      </c>
      <c r="I167" t="s">
        <v>120</v>
      </c>
      <c r="K167" t="s">
        <v>291</v>
      </c>
      <c r="L167" t="s">
        <v>292</v>
      </c>
      <c r="M167" t="s">
        <v>905</v>
      </c>
      <c r="N167" t="s">
        <v>386</v>
      </c>
      <c r="O167" t="s">
        <v>329</v>
      </c>
      <c r="P167" t="s">
        <v>126</v>
      </c>
      <c r="Q167" t="s">
        <v>126</v>
      </c>
      <c r="R167" t="s">
        <v>126</v>
      </c>
      <c r="S167" t="s">
        <v>126</v>
      </c>
      <c r="T167" t="s">
        <v>200</v>
      </c>
      <c r="U167" t="s">
        <v>126</v>
      </c>
      <c r="V167" t="s">
        <v>200</v>
      </c>
      <c r="W167" t="s">
        <v>126</v>
      </c>
      <c r="X167" t="s">
        <v>126</v>
      </c>
      <c r="Y167" t="s">
        <v>126</v>
      </c>
      <c r="Z167" t="s">
        <v>387</v>
      </c>
      <c r="AA167" t="s">
        <v>330</v>
      </c>
    </row>
    <row r="168" spans="1:27" x14ac:dyDescent="0.2">
      <c r="A168" t="s">
        <v>906</v>
      </c>
      <c r="B168" t="s">
        <v>907</v>
      </c>
      <c r="C168" t="s">
        <v>118</v>
      </c>
      <c r="D168" t="s">
        <v>119</v>
      </c>
      <c r="E168" t="s">
        <v>119</v>
      </c>
      <c r="G168" t="s">
        <v>118</v>
      </c>
      <c r="I168" t="s">
        <v>120</v>
      </c>
      <c r="K168" t="s">
        <v>158</v>
      </c>
      <c r="L168" t="s">
        <v>159</v>
      </c>
      <c r="M168" t="s">
        <v>908</v>
      </c>
      <c r="N168" t="s">
        <v>909</v>
      </c>
      <c r="O168" t="s">
        <v>287</v>
      </c>
      <c r="P168" t="s">
        <v>126</v>
      </c>
      <c r="Q168" t="s">
        <v>126</v>
      </c>
      <c r="R168" t="s">
        <v>126</v>
      </c>
      <c r="S168" t="s">
        <v>126</v>
      </c>
      <c r="T168" t="s">
        <v>200</v>
      </c>
      <c r="U168" t="s">
        <v>126</v>
      </c>
      <c r="V168" t="s">
        <v>200</v>
      </c>
      <c r="W168" t="s">
        <v>126</v>
      </c>
      <c r="X168" t="s">
        <v>126</v>
      </c>
      <c r="Y168" t="s">
        <v>126</v>
      </c>
      <c r="Z168" t="s">
        <v>910</v>
      </c>
      <c r="AA168" t="s">
        <v>288</v>
      </c>
    </row>
    <row r="169" spans="1:27" x14ac:dyDescent="0.2">
      <c r="A169" t="s">
        <v>911</v>
      </c>
      <c r="B169" t="s">
        <v>912</v>
      </c>
      <c r="C169" t="s">
        <v>118</v>
      </c>
      <c r="D169" t="s">
        <v>119</v>
      </c>
      <c r="E169" t="s">
        <v>119</v>
      </c>
      <c r="G169" t="s">
        <v>118</v>
      </c>
      <c r="I169" t="s">
        <v>120</v>
      </c>
      <c r="K169" t="s">
        <v>291</v>
      </c>
      <c r="L169" t="s">
        <v>292</v>
      </c>
      <c r="M169" t="s">
        <v>913</v>
      </c>
      <c r="N169" t="s">
        <v>914</v>
      </c>
      <c r="O169" t="s">
        <v>915</v>
      </c>
      <c r="P169" t="s">
        <v>126</v>
      </c>
      <c r="Q169" t="s">
        <v>126</v>
      </c>
      <c r="R169" t="s">
        <v>126</v>
      </c>
      <c r="S169" t="s">
        <v>126</v>
      </c>
      <c r="T169" t="s">
        <v>427</v>
      </c>
      <c r="U169" t="s">
        <v>126</v>
      </c>
      <c r="V169" t="s">
        <v>427</v>
      </c>
      <c r="W169" t="s">
        <v>126</v>
      </c>
      <c r="X169" t="s">
        <v>126</v>
      </c>
      <c r="Y169" t="s">
        <v>126</v>
      </c>
      <c r="Z169" t="s">
        <v>916</v>
      </c>
      <c r="AA169" t="s">
        <v>917</v>
      </c>
    </row>
    <row r="170" spans="1:27" x14ac:dyDescent="0.2">
      <c r="A170" t="s">
        <v>918</v>
      </c>
      <c r="B170" t="s">
        <v>919</v>
      </c>
      <c r="D170" t="s">
        <v>119</v>
      </c>
      <c r="E170" t="s">
        <v>119</v>
      </c>
      <c r="G170" t="s">
        <v>118</v>
      </c>
      <c r="I170" t="s">
        <v>120</v>
      </c>
      <c r="K170" t="s">
        <v>158</v>
      </c>
      <c r="L170" t="s">
        <v>159</v>
      </c>
      <c r="M170" t="s">
        <v>920</v>
      </c>
      <c r="N170" t="s">
        <v>921</v>
      </c>
      <c r="O170" t="s">
        <v>161</v>
      </c>
      <c r="P170" t="s">
        <v>125</v>
      </c>
      <c r="Q170" t="s">
        <v>126</v>
      </c>
      <c r="R170" t="s">
        <v>126</v>
      </c>
      <c r="S170" t="s">
        <v>126</v>
      </c>
      <c r="V170" t="s">
        <v>126</v>
      </c>
      <c r="Y170" t="s">
        <v>126</v>
      </c>
      <c r="Z170" t="s">
        <v>922</v>
      </c>
      <c r="AA170" t="s">
        <v>163</v>
      </c>
    </row>
    <row r="171" spans="1:27" x14ac:dyDescent="0.2">
      <c r="A171" t="s">
        <v>923</v>
      </c>
      <c r="B171" t="s">
        <v>924</v>
      </c>
      <c r="C171" t="s">
        <v>118</v>
      </c>
      <c r="D171" t="s">
        <v>119</v>
      </c>
      <c r="E171" t="s">
        <v>119</v>
      </c>
      <c r="G171" t="s">
        <v>118</v>
      </c>
      <c r="I171" t="s">
        <v>120</v>
      </c>
      <c r="K171" t="s">
        <v>291</v>
      </c>
      <c r="L171" t="s">
        <v>292</v>
      </c>
      <c r="M171" t="s">
        <v>925</v>
      </c>
      <c r="N171" t="s">
        <v>214</v>
      </c>
      <c r="O171" t="s">
        <v>396</v>
      </c>
      <c r="P171" t="s">
        <v>126</v>
      </c>
      <c r="Q171" t="s">
        <v>126</v>
      </c>
      <c r="R171" t="s">
        <v>126</v>
      </c>
      <c r="S171" t="s">
        <v>126</v>
      </c>
      <c r="T171" t="s">
        <v>125</v>
      </c>
      <c r="U171" t="s">
        <v>126</v>
      </c>
      <c r="V171" t="s">
        <v>125</v>
      </c>
      <c r="W171" t="s">
        <v>126</v>
      </c>
      <c r="X171" t="s">
        <v>126</v>
      </c>
      <c r="Y171" t="s">
        <v>126</v>
      </c>
      <c r="Z171" t="s">
        <v>215</v>
      </c>
      <c r="AA171" t="s">
        <v>397</v>
      </c>
    </row>
    <row r="172" spans="1:27" x14ac:dyDescent="0.2">
      <c r="A172" t="s">
        <v>926</v>
      </c>
      <c r="B172" t="s">
        <v>927</v>
      </c>
      <c r="C172" t="s">
        <v>118</v>
      </c>
      <c r="D172" t="s">
        <v>119</v>
      </c>
      <c r="E172" t="s">
        <v>119</v>
      </c>
      <c r="G172" t="s">
        <v>118</v>
      </c>
      <c r="I172" t="s">
        <v>120</v>
      </c>
      <c r="K172" t="s">
        <v>232</v>
      </c>
      <c r="L172" t="s">
        <v>233</v>
      </c>
      <c r="M172" t="s">
        <v>928</v>
      </c>
      <c r="N172" t="s">
        <v>353</v>
      </c>
      <c r="O172" t="s">
        <v>581</v>
      </c>
      <c r="P172" t="s">
        <v>126</v>
      </c>
      <c r="Q172" t="s">
        <v>126</v>
      </c>
      <c r="R172" t="s">
        <v>126</v>
      </c>
      <c r="S172" t="s">
        <v>126</v>
      </c>
      <c r="T172" t="s">
        <v>427</v>
      </c>
      <c r="U172" t="s">
        <v>126</v>
      </c>
      <c r="V172" t="s">
        <v>427</v>
      </c>
      <c r="W172" t="s">
        <v>126</v>
      </c>
      <c r="X172" t="s">
        <v>126</v>
      </c>
      <c r="Y172" t="s">
        <v>126</v>
      </c>
      <c r="Z172" t="s">
        <v>355</v>
      </c>
      <c r="AA172" t="s">
        <v>582</v>
      </c>
    </row>
    <row r="173" spans="1:27" x14ac:dyDescent="0.2">
      <c r="A173" t="s">
        <v>929</v>
      </c>
      <c r="B173" t="s">
        <v>930</v>
      </c>
      <c r="C173" t="s">
        <v>118</v>
      </c>
      <c r="D173" t="s">
        <v>119</v>
      </c>
      <c r="E173" t="s">
        <v>119</v>
      </c>
      <c r="G173" t="s">
        <v>118</v>
      </c>
      <c r="I173" t="s">
        <v>120</v>
      </c>
      <c r="K173" t="s">
        <v>291</v>
      </c>
      <c r="L173" t="s">
        <v>292</v>
      </c>
      <c r="M173" t="s">
        <v>931</v>
      </c>
      <c r="N173" t="s">
        <v>287</v>
      </c>
      <c r="O173" t="s">
        <v>549</v>
      </c>
      <c r="P173" t="s">
        <v>126</v>
      </c>
      <c r="Q173" t="s">
        <v>126</v>
      </c>
      <c r="R173" t="s">
        <v>126</v>
      </c>
      <c r="S173" t="s">
        <v>126</v>
      </c>
      <c r="T173" t="s">
        <v>169</v>
      </c>
      <c r="U173" t="s">
        <v>126</v>
      </c>
      <c r="V173" t="s">
        <v>169</v>
      </c>
      <c r="W173" t="s">
        <v>126</v>
      </c>
      <c r="X173" t="s">
        <v>126</v>
      </c>
      <c r="Y173" t="s">
        <v>126</v>
      </c>
      <c r="Z173" t="s">
        <v>288</v>
      </c>
      <c r="AA173" t="s">
        <v>550</v>
      </c>
    </row>
    <row r="174" spans="1:27" x14ac:dyDescent="0.2">
      <c r="A174" t="s">
        <v>932</v>
      </c>
      <c r="B174" t="s">
        <v>933</v>
      </c>
      <c r="C174" t="s">
        <v>118</v>
      </c>
      <c r="D174" t="s">
        <v>119</v>
      </c>
      <c r="E174" t="s">
        <v>119</v>
      </c>
      <c r="G174" t="s">
        <v>118</v>
      </c>
      <c r="I174" t="s">
        <v>120</v>
      </c>
      <c r="K174" t="s">
        <v>139</v>
      </c>
      <c r="L174" t="s">
        <v>140</v>
      </c>
      <c r="M174" t="s">
        <v>934</v>
      </c>
      <c r="N174" t="s">
        <v>236</v>
      </c>
      <c r="O174" t="s">
        <v>280</v>
      </c>
      <c r="P174" t="s">
        <v>126</v>
      </c>
      <c r="Q174" t="s">
        <v>126</v>
      </c>
      <c r="R174" t="s">
        <v>126</v>
      </c>
      <c r="S174" t="s">
        <v>126</v>
      </c>
      <c r="T174" t="s">
        <v>125</v>
      </c>
      <c r="U174" t="s">
        <v>126</v>
      </c>
      <c r="V174" t="s">
        <v>125</v>
      </c>
      <c r="W174" t="s">
        <v>126</v>
      </c>
      <c r="X174" t="s">
        <v>126</v>
      </c>
      <c r="Y174" t="s">
        <v>126</v>
      </c>
      <c r="Z174" t="s">
        <v>238</v>
      </c>
      <c r="AA174" t="s">
        <v>282</v>
      </c>
    </row>
    <row r="175" spans="1:27" x14ac:dyDescent="0.2">
      <c r="A175" t="s">
        <v>935</v>
      </c>
      <c r="B175" t="s">
        <v>936</v>
      </c>
      <c r="C175" t="s">
        <v>118</v>
      </c>
      <c r="D175" t="s">
        <v>119</v>
      </c>
      <c r="E175" t="s">
        <v>119</v>
      </c>
      <c r="G175" t="s">
        <v>118</v>
      </c>
      <c r="I175" t="s">
        <v>120</v>
      </c>
      <c r="K175" t="s">
        <v>204</v>
      </c>
      <c r="L175" t="s">
        <v>205</v>
      </c>
      <c r="M175" t="s">
        <v>937</v>
      </c>
      <c r="N175" t="s">
        <v>401</v>
      </c>
      <c r="O175" t="s">
        <v>235</v>
      </c>
      <c r="P175" t="s">
        <v>126</v>
      </c>
      <c r="Q175" t="s">
        <v>126</v>
      </c>
      <c r="R175" t="s">
        <v>126</v>
      </c>
      <c r="S175" t="s">
        <v>126</v>
      </c>
      <c r="T175" t="s">
        <v>200</v>
      </c>
      <c r="U175" t="s">
        <v>126</v>
      </c>
      <c r="V175" t="s">
        <v>200</v>
      </c>
      <c r="W175" t="s">
        <v>126</v>
      </c>
      <c r="X175" t="s">
        <v>126</v>
      </c>
      <c r="Y175" t="s">
        <v>126</v>
      </c>
      <c r="Z175" t="s">
        <v>403</v>
      </c>
      <c r="AA175" t="s">
        <v>237</v>
      </c>
    </row>
    <row r="176" spans="1:27" x14ac:dyDescent="0.2">
      <c r="A176" t="s">
        <v>938</v>
      </c>
      <c r="B176" t="s">
        <v>939</v>
      </c>
      <c r="C176" t="s">
        <v>118</v>
      </c>
      <c r="D176" t="s">
        <v>119</v>
      </c>
      <c r="E176" t="s">
        <v>119</v>
      </c>
      <c r="G176" t="s">
        <v>118</v>
      </c>
      <c r="I176" t="s">
        <v>120</v>
      </c>
      <c r="K176" t="s">
        <v>204</v>
      </c>
      <c r="L176" t="s">
        <v>205</v>
      </c>
      <c r="M176" t="s">
        <v>940</v>
      </c>
      <c r="N176" t="s">
        <v>280</v>
      </c>
      <c r="O176" t="s">
        <v>792</v>
      </c>
      <c r="P176" t="s">
        <v>126</v>
      </c>
      <c r="Q176" t="s">
        <v>126</v>
      </c>
      <c r="R176" t="s">
        <v>126</v>
      </c>
      <c r="S176" t="s">
        <v>126</v>
      </c>
      <c r="T176" t="s">
        <v>126</v>
      </c>
      <c r="U176" t="s">
        <v>126</v>
      </c>
      <c r="V176" t="s">
        <v>126</v>
      </c>
      <c r="W176" t="s">
        <v>126</v>
      </c>
      <c r="X176" t="s">
        <v>126</v>
      </c>
      <c r="Y176" t="s">
        <v>126</v>
      </c>
      <c r="Z176" t="s">
        <v>282</v>
      </c>
      <c r="AA176" t="s">
        <v>793</v>
      </c>
    </row>
    <row r="177" spans="1:27" x14ac:dyDescent="0.2">
      <c r="A177" t="s">
        <v>941</v>
      </c>
      <c r="B177" t="s">
        <v>942</v>
      </c>
      <c r="C177" t="s">
        <v>118</v>
      </c>
      <c r="D177" t="s">
        <v>119</v>
      </c>
      <c r="E177" t="s">
        <v>119</v>
      </c>
      <c r="G177" t="s">
        <v>118</v>
      </c>
      <c r="I177" t="s">
        <v>120</v>
      </c>
      <c r="K177" t="s">
        <v>130</v>
      </c>
      <c r="L177" t="s">
        <v>131</v>
      </c>
      <c r="M177" t="s">
        <v>943</v>
      </c>
      <c r="N177" t="s">
        <v>759</v>
      </c>
      <c r="O177" t="s">
        <v>944</v>
      </c>
      <c r="P177" t="s">
        <v>126</v>
      </c>
      <c r="Q177" t="s">
        <v>126</v>
      </c>
      <c r="R177" t="s">
        <v>126</v>
      </c>
      <c r="S177" t="s">
        <v>126</v>
      </c>
      <c r="T177" t="s">
        <v>126</v>
      </c>
      <c r="U177" t="s">
        <v>125</v>
      </c>
      <c r="V177" t="s">
        <v>667</v>
      </c>
      <c r="W177" t="s">
        <v>126</v>
      </c>
      <c r="X177" t="s">
        <v>126</v>
      </c>
      <c r="Y177" t="s">
        <v>126</v>
      </c>
      <c r="Z177" t="s">
        <v>760</v>
      </c>
      <c r="AA177" t="s">
        <v>945</v>
      </c>
    </row>
    <row r="178" spans="1:27" x14ac:dyDescent="0.2">
      <c r="A178" t="s">
        <v>946</v>
      </c>
      <c r="B178" t="s">
        <v>947</v>
      </c>
      <c r="C178" t="s">
        <v>118</v>
      </c>
      <c r="D178" t="s">
        <v>119</v>
      </c>
      <c r="E178" t="s">
        <v>119</v>
      </c>
      <c r="G178" t="s">
        <v>118</v>
      </c>
      <c r="I178" t="s">
        <v>120</v>
      </c>
      <c r="K178" t="s">
        <v>149</v>
      </c>
      <c r="L178" t="s">
        <v>150</v>
      </c>
      <c r="M178" t="s">
        <v>948</v>
      </c>
      <c r="N178" t="s">
        <v>262</v>
      </c>
      <c r="O178" t="s">
        <v>949</v>
      </c>
      <c r="P178" t="s">
        <v>126</v>
      </c>
      <c r="Q178" t="s">
        <v>126</v>
      </c>
      <c r="R178" t="s">
        <v>126</v>
      </c>
      <c r="S178" t="s">
        <v>126</v>
      </c>
      <c r="T178" t="s">
        <v>126</v>
      </c>
      <c r="U178" t="s">
        <v>126</v>
      </c>
      <c r="V178" t="s">
        <v>126</v>
      </c>
      <c r="W178" t="s">
        <v>126</v>
      </c>
      <c r="X178" t="s">
        <v>126</v>
      </c>
      <c r="Y178" t="s">
        <v>126</v>
      </c>
      <c r="Z178" t="s">
        <v>265</v>
      </c>
      <c r="AA178" t="s">
        <v>950</v>
      </c>
    </row>
    <row r="179" spans="1:27" x14ac:dyDescent="0.2">
      <c r="A179" t="s">
        <v>951</v>
      </c>
      <c r="B179" t="s">
        <v>952</v>
      </c>
      <c r="C179" t="s">
        <v>118</v>
      </c>
      <c r="D179" t="s">
        <v>119</v>
      </c>
      <c r="E179" t="s">
        <v>119</v>
      </c>
      <c r="G179" t="s">
        <v>118</v>
      </c>
      <c r="I179" t="s">
        <v>120</v>
      </c>
      <c r="K179" t="s">
        <v>204</v>
      </c>
      <c r="L179" t="s">
        <v>205</v>
      </c>
      <c r="M179" t="s">
        <v>953</v>
      </c>
      <c r="N179" t="s">
        <v>314</v>
      </c>
      <c r="O179" t="s">
        <v>227</v>
      </c>
      <c r="P179" t="s">
        <v>126</v>
      </c>
      <c r="Q179" t="s">
        <v>126</v>
      </c>
      <c r="R179" t="s">
        <v>126</v>
      </c>
      <c r="S179" t="s">
        <v>126</v>
      </c>
      <c r="T179" t="s">
        <v>200</v>
      </c>
      <c r="U179" t="s">
        <v>126</v>
      </c>
      <c r="V179" t="s">
        <v>200</v>
      </c>
      <c r="W179" t="s">
        <v>126</v>
      </c>
      <c r="X179" t="s">
        <v>126</v>
      </c>
      <c r="Y179" t="s">
        <v>126</v>
      </c>
      <c r="Z179" t="s">
        <v>315</v>
      </c>
      <c r="AA179" t="s">
        <v>229</v>
      </c>
    </row>
    <row r="180" spans="1:27" x14ac:dyDescent="0.2">
      <c r="A180" t="s">
        <v>954</v>
      </c>
      <c r="B180" t="s">
        <v>955</v>
      </c>
      <c r="C180" t="s">
        <v>118</v>
      </c>
      <c r="D180" t="s">
        <v>119</v>
      </c>
      <c r="E180" t="s">
        <v>119</v>
      </c>
      <c r="G180" t="s">
        <v>118</v>
      </c>
      <c r="I180" t="s">
        <v>120</v>
      </c>
      <c r="K180" t="s">
        <v>149</v>
      </c>
      <c r="L180" t="s">
        <v>150</v>
      </c>
      <c r="M180" t="s">
        <v>956</v>
      </c>
      <c r="N180" t="s">
        <v>322</v>
      </c>
      <c r="O180" t="s">
        <v>323</v>
      </c>
      <c r="P180" t="s">
        <v>126</v>
      </c>
      <c r="Q180" t="s">
        <v>126</v>
      </c>
      <c r="R180" t="s">
        <v>126</v>
      </c>
      <c r="S180" t="s">
        <v>126</v>
      </c>
      <c r="T180" t="s">
        <v>125</v>
      </c>
      <c r="U180" t="s">
        <v>126</v>
      </c>
      <c r="V180" t="s">
        <v>125</v>
      </c>
      <c r="W180" t="s">
        <v>126</v>
      </c>
      <c r="X180" t="s">
        <v>126</v>
      </c>
      <c r="Y180" t="s">
        <v>126</v>
      </c>
      <c r="Z180" t="s">
        <v>324</v>
      </c>
      <c r="AA180" t="s">
        <v>325</v>
      </c>
    </row>
    <row r="181" spans="1:27" x14ac:dyDescent="0.2">
      <c r="A181" t="s">
        <v>957</v>
      </c>
      <c r="B181" t="s">
        <v>958</v>
      </c>
      <c r="C181" t="s">
        <v>118</v>
      </c>
      <c r="D181" t="s">
        <v>119</v>
      </c>
      <c r="E181" t="s">
        <v>119</v>
      </c>
      <c r="G181" t="s">
        <v>118</v>
      </c>
      <c r="I181" t="s">
        <v>120</v>
      </c>
      <c r="K181" t="s">
        <v>158</v>
      </c>
      <c r="L181" t="s">
        <v>159</v>
      </c>
      <c r="M181" t="s">
        <v>959</v>
      </c>
      <c r="N181" t="s">
        <v>386</v>
      </c>
      <c r="O181" t="s">
        <v>914</v>
      </c>
      <c r="P181" t="s">
        <v>126</v>
      </c>
      <c r="Q181" t="s">
        <v>126</v>
      </c>
      <c r="R181" t="s">
        <v>126</v>
      </c>
      <c r="S181" t="s">
        <v>126</v>
      </c>
      <c r="T181" t="s">
        <v>125</v>
      </c>
      <c r="U181" t="s">
        <v>126</v>
      </c>
      <c r="V181" t="s">
        <v>125</v>
      </c>
      <c r="W181" t="s">
        <v>126</v>
      </c>
      <c r="X181" t="s">
        <v>126</v>
      </c>
      <c r="Y181" t="s">
        <v>126</v>
      </c>
      <c r="Z181" t="s">
        <v>387</v>
      </c>
      <c r="AA181" t="s">
        <v>916</v>
      </c>
    </row>
    <row r="182" spans="1:27" x14ac:dyDescent="0.2">
      <c r="A182" t="s">
        <v>960</v>
      </c>
      <c r="B182" t="s">
        <v>961</v>
      </c>
      <c r="C182" t="s">
        <v>118</v>
      </c>
      <c r="D182" t="s">
        <v>119</v>
      </c>
      <c r="E182" t="s">
        <v>119</v>
      </c>
      <c r="G182" t="s">
        <v>118</v>
      </c>
      <c r="I182" t="s">
        <v>120</v>
      </c>
      <c r="K182" t="s">
        <v>149</v>
      </c>
      <c r="L182" t="s">
        <v>150</v>
      </c>
      <c r="M182" t="s">
        <v>962</v>
      </c>
      <c r="N182" t="s">
        <v>226</v>
      </c>
      <c r="O182" t="s">
        <v>236</v>
      </c>
      <c r="P182" t="s">
        <v>126</v>
      </c>
      <c r="Q182" t="s">
        <v>126</v>
      </c>
      <c r="R182" t="s">
        <v>126</v>
      </c>
      <c r="S182" t="s">
        <v>126</v>
      </c>
      <c r="T182" t="s">
        <v>200</v>
      </c>
      <c r="U182" t="s">
        <v>126</v>
      </c>
      <c r="V182" t="s">
        <v>200</v>
      </c>
      <c r="W182" t="s">
        <v>126</v>
      </c>
      <c r="X182" t="s">
        <v>126</v>
      </c>
      <c r="Y182" t="s">
        <v>126</v>
      </c>
      <c r="Z182" t="s">
        <v>228</v>
      </c>
      <c r="AA182" t="s">
        <v>238</v>
      </c>
    </row>
    <row r="183" spans="1:27" x14ac:dyDescent="0.2">
      <c r="A183" t="s">
        <v>963</v>
      </c>
      <c r="B183" t="s">
        <v>964</v>
      </c>
      <c r="C183" t="s">
        <v>118</v>
      </c>
      <c r="D183" t="s">
        <v>119</v>
      </c>
      <c r="E183" t="s">
        <v>119</v>
      </c>
      <c r="G183" t="s">
        <v>118</v>
      </c>
      <c r="I183" t="s">
        <v>120</v>
      </c>
      <c r="K183" t="s">
        <v>501</v>
      </c>
      <c r="L183" t="s">
        <v>502</v>
      </c>
      <c r="M183" t="s">
        <v>965</v>
      </c>
      <c r="N183" t="s">
        <v>133</v>
      </c>
      <c r="O183" t="s">
        <v>257</v>
      </c>
      <c r="P183" t="s">
        <v>126</v>
      </c>
      <c r="Q183" t="s">
        <v>126</v>
      </c>
      <c r="R183" t="s">
        <v>126</v>
      </c>
      <c r="S183" t="s">
        <v>126</v>
      </c>
      <c r="T183" t="s">
        <v>200</v>
      </c>
      <c r="U183" t="s">
        <v>126</v>
      </c>
      <c r="V183" t="s">
        <v>200</v>
      </c>
      <c r="W183" t="s">
        <v>126</v>
      </c>
      <c r="X183" t="s">
        <v>126</v>
      </c>
      <c r="Y183" t="s">
        <v>126</v>
      </c>
      <c r="Z183" t="s">
        <v>135</v>
      </c>
      <c r="AA183" t="s">
        <v>258</v>
      </c>
    </row>
    <row r="184" spans="1:27" x14ac:dyDescent="0.2">
      <c r="A184" t="s">
        <v>966</v>
      </c>
      <c r="B184" t="s">
        <v>967</v>
      </c>
      <c r="C184" t="s">
        <v>118</v>
      </c>
      <c r="D184" t="s">
        <v>119</v>
      </c>
      <c r="E184" t="s">
        <v>119</v>
      </c>
      <c r="G184" t="s">
        <v>118</v>
      </c>
      <c r="I184" t="s">
        <v>120</v>
      </c>
      <c r="K184" t="s">
        <v>440</v>
      </c>
      <c r="L184" t="s">
        <v>441</v>
      </c>
      <c r="M184" t="s">
        <v>968</v>
      </c>
      <c r="N184" t="s">
        <v>969</v>
      </c>
      <c r="O184" t="s">
        <v>414</v>
      </c>
      <c r="P184" t="s">
        <v>125</v>
      </c>
      <c r="Q184" t="s">
        <v>126</v>
      </c>
      <c r="R184" t="s">
        <v>126</v>
      </c>
      <c r="S184" t="s">
        <v>126</v>
      </c>
      <c r="T184" t="s">
        <v>126</v>
      </c>
      <c r="U184" t="s">
        <v>126</v>
      </c>
      <c r="V184" t="s">
        <v>126</v>
      </c>
      <c r="W184" t="s">
        <v>126</v>
      </c>
      <c r="X184" t="s">
        <v>126</v>
      </c>
      <c r="Y184" t="s">
        <v>126</v>
      </c>
      <c r="Z184" t="s">
        <v>970</v>
      </c>
      <c r="AA184" t="s">
        <v>415</v>
      </c>
    </row>
    <row r="185" spans="1:27" x14ac:dyDescent="0.2">
      <c r="A185" t="s">
        <v>971</v>
      </c>
      <c r="B185" t="s">
        <v>706</v>
      </c>
      <c r="C185" t="s">
        <v>118</v>
      </c>
      <c r="D185" t="s">
        <v>119</v>
      </c>
      <c r="E185" t="s">
        <v>119</v>
      </c>
      <c r="G185" t="s">
        <v>118</v>
      </c>
      <c r="I185" t="s">
        <v>120</v>
      </c>
      <c r="K185" t="s">
        <v>149</v>
      </c>
      <c r="L185" t="s">
        <v>150</v>
      </c>
      <c r="M185" t="s">
        <v>972</v>
      </c>
      <c r="N185" t="s">
        <v>280</v>
      </c>
      <c r="O185" t="s">
        <v>281</v>
      </c>
      <c r="P185" t="s">
        <v>126</v>
      </c>
      <c r="Q185" t="s">
        <v>126</v>
      </c>
      <c r="R185" t="s">
        <v>126</v>
      </c>
      <c r="S185" t="s">
        <v>126</v>
      </c>
      <c r="T185" t="s">
        <v>126</v>
      </c>
      <c r="U185" t="s">
        <v>126</v>
      </c>
      <c r="V185" t="s">
        <v>126</v>
      </c>
      <c r="W185" t="s">
        <v>126</v>
      </c>
      <c r="X185" t="s">
        <v>126</v>
      </c>
      <c r="Y185" t="s">
        <v>126</v>
      </c>
      <c r="Z185" t="s">
        <v>282</v>
      </c>
      <c r="AA185" t="s">
        <v>283</v>
      </c>
    </row>
    <row r="186" spans="1:27" x14ac:dyDescent="0.2">
      <c r="A186" t="s">
        <v>973</v>
      </c>
      <c r="B186" t="s">
        <v>974</v>
      </c>
      <c r="C186" t="s">
        <v>118</v>
      </c>
      <c r="D186" t="s">
        <v>119</v>
      </c>
      <c r="E186" t="s">
        <v>119</v>
      </c>
      <c r="G186" t="s">
        <v>118</v>
      </c>
      <c r="I186" t="s">
        <v>120</v>
      </c>
      <c r="K186" t="s">
        <v>173</v>
      </c>
      <c r="L186" t="s">
        <v>174</v>
      </c>
      <c r="M186" t="s">
        <v>975</v>
      </c>
      <c r="N186" t="s">
        <v>280</v>
      </c>
      <c r="O186" t="s">
        <v>280</v>
      </c>
      <c r="P186" t="s">
        <v>126</v>
      </c>
      <c r="Q186" t="s">
        <v>126</v>
      </c>
      <c r="R186" t="s">
        <v>126</v>
      </c>
      <c r="S186" t="s">
        <v>126</v>
      </c>
      <c r="T186" t="s">
        <v>126</v>
      </c>
      <c r="U186" t="s">
        <v>126</v>
      </c>
      <c r="V186" t="s">
        <v>126</v>
      </c>
      <c r="W186" t="s">
        <v>126</v>
      </c>
      <c r="X186" t="s">
        <v>126</v>
      </c>
      <c r="Y186" t="s">
        <v>126</v>
      </c>
      <c r="Z186" t="s">
        <v>282</v>
      </c>
      <c r="AA186" t="s">
        <v>282</v>
      </c>
    </row>
    <row r="187" spans="1:27" x14ac:dyDescent="0.2">
      <c r="A187" t="s">
        <v>976</v>
      </c>
      <c r="B187" t="s">
        <v>977</v>
      </c>
      <c r="D187" t="s">
        <v>119</v>
      </c>
      <c r="E187" t="s">
        <v>119</v>
      </c>
      <c r="G187" t="s">
        <v>118</v>
      </c>
      <c r="I187" t="s">
        <v>120</v>
      </c>
      <c r="K187" t="s">
        <v>130</v>
      </c>
      <c r="L187" t="s">
        <v>131</v>
      </c>
      <c r="M187" t="s">
        <v>978</v>
      </c>
      <c r="N187" t="s">
        <v>870</v>
      </c>
      <c r="O187" t="s">
        <v>979</v>
      </c>
      <c r="P187" t="s">
        <v>125</v>
      </c>
      <c r="Q187" t="s">
        <v>126</v>
      </c>
      <c r="R187" t="s">
        <v>126</v>
      </c>
      <c r="S187" t="s">
        <v>126</v>
      </c>
      <c r="V187" t="s">
        <v>126</v>
      </c>
      <c r="Y187" t="s">
        <v>126</v>
      </c>
      <c r="Z187" t="s">
        <v>872</v>
      </c>
      <c r="AA187" t="s">
        <v>980</v>
      </c>
    </row>
    <row r="188" spans="1:27" x14ac:dyDescent="0.2">
      <c r="A188" t="s">
        <v>981</v>
      </c>
      <c r="B188" t="s">
        <v>977</v>
      </c>
      <c r="C188" t="s">
        <v>118</v>
      </c>
      <c r="D188" t="s">
        <v>119</v>
      </c>
      <c r="E188" t="s">
        <v>119</v>
      </c>
      <c r="G188" t="s">
        <v>118</v>
      </c>
      <c r="I188" t="s">
        <v>120</v>
      </c>
      <c r="K188" t="s">
        <v>204</v>
      </c>
      <c r="L188" t="s">
        <v>205</v>
      </c>
      <c r="M188" t="s">
        <v>982</v>
      </c>
      <c r="N188" t="s">
        <v>361</v>
      </c>
      <c r="O188" t="s">
        <v>666</v>
      </c>
      <c r="P188" t="s">
        <v>126</v>
      </c>
      <c r="Q188" t="s">
        <v>126</v>
      </c>
      <c r="R188" t="s">
        <v>126</v>
      </c>
      <c r="S188" t="s">
        <v>126</v>
      </c>
      <c r="T188" t="s">
        <v>667</v>
      </c>
      <c r="U188" t="s">
        <v>126</v>
      </c>
      <c r="V188" t="s">
        <v>667</v>
      </c>
      <c r="W188" t="s">
        <v>126</v>
      </c>
      <c r="X188" t="s">
        <v>126</v>
      </c>
      <c r="Y188" t="s">
        <v>126</v>
      </c>
      <c r="Z188" t="s">
        <v>362</v>
      </c>
      <c r="AA188" t="s">
        <v>668</v>
      </c>
    </row>
    <row r="189" spans="1:27" x14ac:dyDescent="0.2">
      <c r="A189" t="s">
        <v>983</v>
      </c>
      <c r="B189" t="s">
        <v>984</v>
      </c>
      <c r="C189" t="s">
        <v>118</v>
      </c>
      <c r="D189" t="s">
        <v>119</v>
      </c>
      <c r="E189" t="s">
        <v>119</v>
      </c>
      <c r="G189" t="s">
        <v>118</v>
      </c>
      <c r="I189" t="s">
        <v>120</v>
      </c>
      <c r="K189" t="s">
        <v>291</v>
      </c>
      <c r="L189" t="s">
        <v>292</v>
      </c>
      <c r="M189" t="s">
        <v>985</v>
      </c>
      <c r="N189" t="s">
        <v>915</v>
      </c>
      <c r="O189" t="s">
        <v>396</v>
      </c>
      <c r="P189" t="s">
        <v>126</v>
      </c>
      <c r="Q189" t="s">
        <v>126</v>
      </c>
      <c r="R189" t="s">
        <v>126</v>
      </c>
      <c r="S189" t="s">
        <v>126</v>
      </c>
      <c r="T189" t="s">
        <v>169</v>
      </c>
      <c r="U189" t="s">
        <v>126</v>
      </c>
      <c r="V189" t="s">
        <v>169</v>
      </c>
      <c r="W189" t="s">
        <v>126</v>
      </c>
      <c r="X189" t="s">
        <v>126</v>
      </c>
      <c r="Y189" t="s">
        <v>126</v>
      </c>
      <c r="Z189" t="s">
        <v>917</v>
      </c>
      <c r="AA189" t="s">
        <v>397</v>
      </c>
    </row>
    <row r="190" spans="1:27" x14ac:dyDescent="0.2">
      <c r="A190" t="s">
        <v>986</v>
      </c>
      <c r="B190" t="s">
        <v>456</v>
      </c>
      <c r="C190" t="s">
        <v>118</v>
      </c>
      <c r="D190" t="s">
        <v>119</v>
      </c>
      <c r="E190" t="s">
        <v>119</v>
      </c>
      <c r="G190" t="s">
        <v>118</v>
      </c>
      <c r="I190" t="s">
        <v>120</v>
      </c>
      <c r="K190" t="s">
        <v>204</v>
      </c>
      <c r="L190" t="s">
        <v>205</v>
      </c>
      <c r="M190" t="s">
        <v>987</v>
      </c>
      <c r="N190" t="s">
        <v>754</v>
      </c>
      <c r="O190" t="s">
        <v>988</v>
      </c>
      <c r="P190" t="s">
        <v>125</v>
      </c>
      <c r="Q190" t="s">
        <v>126</v>
      </c>
      <c r="R190" t="s">
        <v>126</v>
      </c>
      <c r="S190" t="s">
        <v>126</v>
      </c>
      <c r="T190" t="s">
        <v>125</v>
      </c>
      <c r="U190" t="s">
        <v>126</v>
      </c>
      <c r="V190" t="s">
        <v>125</v>
      </c>
      <c r="W190" t="s">
        <v>126</v>
      </c>
      <c r="X190" t="s">
        <v>126</v>
      </c>
      <c r="Y190" t="s">
        <v>126</v>
      </c>
      <c r="Z190" t="s">
        <v>755</v>
      </c>
      <c r="AA190" t="s">
        <v>989</v>
      </c>
    </row>
    <row r="191" spans="1:27" x14ac:dyDescent="0.2">
      <c r="A191" t="s">
        <v>990</v>
      </c>
      <c r="B191" t="s">
        <v>991</v>
      </c>
      <c r="C191" t="s">
        <v>118</v>
      </c>
      <c r="D191" t="s">
        <v>119</v>
      </c>
      <c r="E191" t="s">
        <v>119</v>
      </c>
      <c r="G191" t="s">
        <v>118</v>
      </c>
      <c r="I191" t="s">
        <v>120</v>
      </c>
      <c r="K191" t="s">
        <v>291</v>
      </c>
      <c r="L191" t="s">
        <v>292</v>
      </c>
      <c r="M191" t="s">
        <v>992</v>
      </c>
      <c r="N191" t="s">
        <v>214</v>
      </c>
      <c r="O191" t="s">
        <v>162</v>
      </c>
      <c r="P191" t="s">
        <v>126</v>
      </c>
      <c r="Q191" t="s">
        <v>126</v>
      </c>
      <c r="R191" t="s">
        <v>126</v>
      </c>
      <c r="S191" t="s">
        <v>126</v>
      </c>
      <c r="T191" t="s">
        <v>200</v>
      </c>
      <c r="U191" t="s">
        <v>126</v>
      </c>
      <c r="V191" t="s">
        <v>200</v>
      </c>
      <c r="W191" t="s">
        <v>126</v>
      </c>
      <c r="X191" t="s">
        <v>126</v>
      </c>
      <c r="Y191" t="s">
        <v>126</v>
      </c>
      <c r="Z191" t="s">
        <v>215</v>
      </c>
      <c r="AA191" t="s">
        <v>164</v>
      </c>
    </row>
    <row r="192" spans="1:27" x14ac:dyDescent="0.2">
      <c r="A192" t="s">
        <v>993</v>
      </c>
      <c r="B192" t="s">
        <v>994</v>
      </c>
      <c r="C192" t="s">
        <v>118</v>
      </c>
      <c r="D192" t="s">
        <v>119</v>
      </c>
      <c r="E192" t="s">
        <v>119</v>
      </c>
      <c r="G192" t="s">
        <v>118</v>
      </c>
      <c r="I192" t="s">
        <v>120</v>
      </c>
      <c r="K192" t="s">
        <v>149</v>
      </c>
      <c r="L192" t="s">
        <v>150</v>
      </c>
      <c r="M192" t="s">
        <v>995</v>
      </c>
      <c r="N192" t="s">
        <v>360</v>
      </c>
      <c r="O192" t="s">
        <v>996</v>
      </c>
      <c r="P192" t="s">
        <v>126</v>
      </c>
      <c r="Q192" t="s">
        <v>126</v>
      </c>
      <c r="R192" t="s">
        <v>126</v>
      </c>
      <c r="S192" t="s">
        <v>126</v>
      </c>
      <c r="T192" t="s">
        <v>200</v>
      </c>
      <c r="U192" t="s">
        <v>126</v>
      </c>
      <c r="V192" t="s">
        <v>200</v>
      </c>
      <c r="W192" t="s">
        <v>126</v>
      </c>
      <c r="X192" t="s">
        <v>126</v>
      </c>
      <c r="Y192" t="s">
        <v>126</v>
      </c>
      <c r="Z192" t="s">
        <v>208</v>
      </c>
      <c r="AA192" t="s">
        <v>997</v>
      </c>
    </row>
    <row r="193" spans="1:27" x14ac:dyDescent="0.2">
      <c r="A193" t="s">
        <v>998</v>
      </c>
      <c r="B193" t="s">
        <v>999</v>
      </c>
      <c r="C193" t="s">
        <v>118</v>
      </c>
      <c r="D193" t="s">
        <v>119</v>
      </c>
      <c r="E193" t="s">
        <v>119</v>
      </c>
      <c r="G193" t="s">
        <v>118</v>
      </c>
      <c r="I193" t="s">
        <v>120</v>
      </c>
      <c r="K193" t="s">
        <v>553</v>
      </c>
      <c r="L193" t="s">
        <v>554</v>
      </c>
      <c r="M193" t="s">
        <v>1000</v>
      </c>
      <c r="N193" t="s">
        <v>287</v>
      </c>
      <c r="O193" t="s">
        <v>1001</v>
      </c>
      <c r="P193" t="s">
        <v>126</v>
      </c>
      <c r="Q193" t="s">
        <v>126</v>
      </c>
      <c r="R193" t="s">
        <v>126</v>
      </c>
      <c r="S193" t="s">
        <v>126</v>
      </c>
      <c r="T193" t="s">
        <v>200</v>
      </c>
      <c r="U193" t="s">
        <v>126</v>
      </c>
      <c r="V193" t="s">
        <v>200</v>
      </c>
      <c r="W193" t="s">
        <v>126</v>
      </c>
      <c r="X193" t="s">
        <v>126</v>
      </c>
      <c r="Y193" t="s">
        <v>126</v>
      </c>
      <c r="Z193" t="s">
        <v>288</v>
      </c>
      <c r="AA193" t="s">
        <v>1002</v>
      </c>
    </row>
    <row r="194" spans="1:27" x14ac:dyDescent="0.2">
      <c r="A194" t="s">
        <v>1003</v>
      </c>
      <c r="B194" t="s">
        <v>1004</v>
      </c>
      <c r="C194" t="s">
        <v>118</v>
      </c>
      <c r="D194" t="s">
        <v>119</v>
      </c>
      <c r="E194" t="s">
        <v>119</v>
      </c>
      <c r="G194" t="s">
        <v>118</v>
      </c>
      <c r="I194" t="s">
        <v>120</v>
      </c>
      <c r="K194" t="s">
        <v>204</v>
      </c>
      <c r="L194" t="s">
        <v>205</v>
      </c>
      <c r="M194" t="s">
        <v>1005</v>
      </c>
      <c r="N194" t="s">
        <v>300</v>
      </c>
      <c r="O194" t="s">
        <v>314</v>
      </c>
      <c r="P194" t="s">
        <v>126</v>
      </c>
      <c r="Q194" t="s">
        <v>126</v>
      </c>
      <c r="R194" t="s">
        <v>126</v>
      </c>
      <c r="S194" t="s">
        <v>126</v>
      </c>
      <c r="T194" t="s">
        <v>126</v>
      </c>
      <c r="U194" t="s">
        <v>126</v>
      </c>
      <c r="V194" t="s">
        <v>126</v>
      </c>
      <c r="W194" t="s">
        <v>126</v>
      </c>
      <c r="X194" t="s">
        <v>126</v>
      </c>
      <c r="Y194" t="s">
        <v>126</v>
      </c>
      <c r="Z194" t="s">
        <v>303</v>
      </c>
      <c r="AA194" t="s">
        <v>315</v>
      </c>
    </row>
    <row r="195" spans="1:27" x14ac:dyDescent="0.2">
      <c r="A195" t="s">
        <v>1006</v>
      </c>
      <c r="B195" t="s">
        <v>1007</v>
      </c>
      <c r="D195" t="s">
        <v>119</v>
      </c>
      <c r="E195" t="s">
        <v>119</v>
      </c>
      <c r="G195" t="s">
        <v>118</v>
      </c>
      <c r="I195" t="s">
        <v>120</v>
      </c>
      <c r="K195" t="s">
        <v>291</v>
      </c>
      <c r="L195" t="s">
        <v>292</v>
      </c>
      <c r="M195" t="s">
        <v>1008</v>
      </c>
      <c r="N195" t="s">
        <v>1009</v>
      </c>
      <c r="O195" t="s">
        <v>1010</v>
      </c>
      <c r="P195" t="s">
        <v>125</v>
      </c>
      <c r="Q195" t="s">
        <v>126</v>
      </c>
      <c r="R195" t="s">
        <v>126</v>
      </c>
      <c r="S195" t="s">
        <v>126</v>
      </c>
      <c r="V195" t="s">
        <v>126</v>
      </c>
      <c r="Y195" t="s">
        <v>126</v>
      </c>
      <c r="Z195" t="s">
        <v>1011</v>
      </c>
      <c r="AA195" t="s">
        <v>1012</v>
      </c>
    </row>
    <row r="196" spans="1:27" x14ac:dyDescent="0.2">
      <c r="A196" t="s">
        <v>1013</v>
      </c>
      <c r="B196" t="s">
        <v>1014</v>
      </c>
      <c r="C196" t="s">
        <v>118</v>
      </c>
      <c r="D196" t="s">
        <v>119</v>
      </c>
      <c r="E196" t="s">
        <v>119</v>
      </c>
      <c r="G196" t="s">
        <v>118</v>
      </c>
      <c r="I196" t="s">
        <v>120</v>
      </c>
      <c r="K196" t="s">
        <v>149</v>
      </c>
      <c r="L196" t="s">
        <v>150</v>
      </c>
      <c r="M196" t="s">
        <v>1015</v>
      </c>
      <c r="N196" t="s">
        <v>314</v>
      </c>
      <c r="O196" t="s">
        <v>227</v>
      </c>
      <c r="P196" t="s">
        <v>126</v>
      </c>
      <c r="Q196" t="s">
        <v>126</v>
      </c>
      <c r="R196" t="s">
        <v>126</v>
      </c>
      <c r="S196" t="s">
        <v>126</v>
      </c>
      <c r="T196" t="s">
        <v>427</v>
      </c>
      <c r="U196" t="s">
        <v>126</v>
      </c>
      <c r="V196" t="s">
        <v>427</v>
      </c>
      <c r="W196" t="s">
        <v>126</v>
      </c>
      <c r="X196" t="s">
        <v>126</v>
      </c>
      <c r="Y196" t="s">
        <v>126</v>
      </c>
      <c r="Z196" t="s">
        <v>315</v>
      </c>
      <c r="AA196" t="s">
        <v>229</v>
      </c>
    </row>
    <row r="197" spans="1:27" x14ac:dyDescent="0.2">
      <c r="A197" t="s">
        <v>1016</v>
      </c>
      <c r="B197" t="s">
        <v>1017</v>
      </c>
      <c r="C197" t="s">
        <v>118</v>
      </c>
      <c r="D197" t="s">
        <v>119</v>
      </c>
      <c r="E197" t="s">
        <v>119</v>
      </c>
      <c r="G197" t="s">
        <v>118</v>
      </c>
      <c r="I197" t="s">
        <v>120</v>
      </c>
      <c r="K197" t="s">
        <v>158</v>
      </c>
      <c r="L197" t="s">
        <v>159</v>
      </c>
      <c r="M197" t="s">
        <v>1018</v>
      </c>
      <c r="N197" t="s">
        <v>386</v>
      </c>
      <c r="O197" t="s">
        <v>329</v>
      </c>
      <c r="P197" t="s">
        <v>126</v>
      </c>
      <c r="Q197" t="s">
        <v>126</v>
      </c>
      <c r="R197" t="s">
        <v>126</v>
      </c>
      <c r="S197" t="s">
        <v>126</v>
      </c>
      <c r="T197" t="s">
        <v>200</v>
      </c>
      <c r="U197" t="s">
        <v>126</v>
      </c>
      <c r="V197" t="s">
        <v>200</v>
      </c>
      <c r="W197" t="s">
        <v>126</v>
      </c>
      <c r="X197" t="s">
        <v>126</v>
      </c>
      <c r="Y197" t="s">
        <v>126</v>
      </c>
      <c r="Z197" t="s">
        <v>387</v>
      </c>
      <c r="AA197" t="s">
        <v>330</v>
      </c>
    </row>
    <row r="198" spans="1:27" x14ac:dyDescent="0.2">
      <c r="A198" t="s">
        <v>1019</v>
      </c>
      <c r="B198" t="s">
        <v>1020</v>
      </c>
      <c r="C198" t="s">
        <v>118</v>
      </c>
      <c r="D198" t="s">
        <v>119</v>
      </c>
      <c r="E198" t="s">
        <v>119</v>
      </c>
      <c r="G198" t="s">
        <v>118</v>
      </c>
      <c r="I198" t="s">
        <v>120</v>
      </c>
      <c r="K198" t="s">
        <v>158</v>
      </c>
      <c r="L198" t="s">
        <v>159</v>
      </c>
      <c r="M198" t="s">
        <v>1021</v>
      </c>
      <c r="N198" t="s">
        <v>1022</v>
      </c>
      <c r="O198" t="s">
        <v>809</v>
      </c>
      <c r="P198" t="s">
        <v>126</v>
      </c>
      <c r="Q198" t="s">
        <v>126</v>
      </c>
      <c r="R198" t="s">
        <v>126</v>
      </c>
      <c r="S198" t="s">
        <v>126</v>
      </c>
      <c r="T198" t="s">
        <v>125</v>
      </c>
      <c r="U198" t="s">
        <v>126</v>
      </c>
      <c r="V198" t="s">
        <v>125</v>
      </c>
      <c r="W198" t="s">
        <v>126</v>
      </c>
      <c r="X198" t="s">
        <v>126</v>
      </c>
      <c r="Y198" t="s">
        <v>126</v>
      </c>
      <c r="Z198" t="s">
        <v>1023</v>
      </c>
      <c r="AA198" t="s">
        <v>810</v>
      </c>
    </row>
    <row r="199" spans="1:27" x14ac:dyDescent="0.2">
      <c r="A199" t="s">
        <v>1024</v>
      </c>
      <c r="B199" t="s">
        <v>1025</v>
      </c>
      <c r="C199" t="s">
        <v>118</v>
      </c>
      <c r="D199" t="s">
        <v>119</v>
      </c>
      <c r="E199" t="s">
        <v>119</v>
      </c>
      <c r="G199" t="s">
        <v>118</v>
      </c>
      <c r="I199" t="s">
        <v>120</v>
      </c>
      <c r="K199" t="s">
        <v>149</v>
      </c>
      <c r="L199" t="s">
        <v>150</v>
      </c>
      <c r="M199" t="s">
        <v>1026</v>
      </c>
      <c r="N199" t="s">
        <v>300</v>
      </c>
      <c r="O199" t="s">
        <v>133</v>
      </c>
      <c r="P199" t="s">
        <v>126</v>
      </c>
      <c r="Q199" t="s">
        <v>126</v>
      </c>
      <c r="R199" t="s">
        <v>126</v>
      </c>
      <c r="S199" t="s">
        <v>126</v>
      </c>
      <c r="T199" t="s">
        <v>126</v>
      </c>
      <c r="U199" t="s">
        <v>126</v>
      </c>
      <c r="V199" t="s">
        <v>126</v>
      </c>
      <c r="W199" t="s">
        <v>126</v>
      </c>
      <c r="X199" t="s">
        <v>126</v>
      </c>
      <c r="Y199" t="s">
        <v>126</v>
      </c>
      <c r="Z199" t="s">
        <v>303</v>
      </c>
      <c r="AA199" t="s">
        <v>135</v>
      </c>
    </row>
    <row r="200" spans="1:27" x14ac:dyDescent="0.2">
      <c r="A200" t="s">
        <v>1027</v>
      </c>
      <c r="B200" t="s">
        <v>1028</v>
      </c>
      <c r="C200" t="s">
        <v>118</v>
      </c>
      <c r="D200" t="s">
        <v>119</v>
      </c>
      <c r="E200" t="s">
        <v>119</v>
      </c>
      <c r="G200" t="s">
        <v>118</v>
      </c>
      <c r="I200" t="s">
        <v>120</v>
      </c>
      <c r="K200" t="s">
        <v>501</v>
      </c>
      <c r="L200" t="s">
        <v>502</v>
      </c>
      <c r="M200" t="s">
        <v>1029</v>
      </c>
      <c r="N200" t="s">
        <v>869</v>
      </c>
      <c r="O200" t="s">
        <v>1030</v>
      </c>
      <c r="P200" t="s">
        <v>126</v>
      </c>
      <c r="Q200" t="s">
        <v>126</v>
      </c>
      <c r="R200" t="s">
        <v>126</v>
      </c>
      <c r="S200" t="s">
        <v>126</v>
      </c>
      <c r="T200" t="s">
        <v>126</v>
      </c>
      <c r="U200" t="s">
        <v>126</v>
      </c>
      <c r="V200" t="s">
        <v>126</v>
      </c>
      <c r="W200" t="s">
        <v>126</v>
      </c>
      <c r="X200" t="s">
        <v>126</v>
      </c>
      <c r="Y200" t="s">
        <v>126</v>
      </c>
      <c r="Z200" t="s">
        <v>871</v>
      </c>
      <c r="AA200" t="s">
        <v>1031</v>
      </c>
    </row>
    <row r="201" spans="1:27" x14ac:dyDescent="0.2">
      <c r="A201" t="s">
        <v>1032</v>
      </c>
      <c r="B201" t="s">
        <v>1033</v>
      </c>
      <c r="C201" t="s">
        <v>118</v>
      </c>
      <c r="D201" t="s">
        <v>119</v>
      </c>
      <c r="E201" t="s">
        <v>119</v>
      </c>
      <c r="G201" t="s">
        <v>118</v>
      </c>
      <c r="I201" t="s">
        <v>120</v>
      </c>
      <c r="K201" t="s">
        <v>182</v>
      </c>
      <c r="L201" t="s">
        <v>183</v>
      </c>
      <c r="M201" t="s">
        <v>1034</v>
      </c>
      <c r="N201" t="s">
        <v>214</v>
      </c>
      <c r="O201" t="s">
        <v>396</v>
      </c>
      <c r="P201" t="s">
        <v>126</v>
      </c>
      <c r="Q201" t="s">
        <v>126</v>
      </c>
      <c r="R201" t="s">
        <v>126</v>
      </c>
      <c r="S201" t="s">
        <v>126</v>
      </c>
      <c r="T201" t="s">
        <v>125</v>
      </c>
      <c r="U201" t="s">
        <v>126</v>
      </c>
      <c r="V201" t="s">
        <v>125</v>
      </c>
      <c r="W201" t="s">
        <v>126</v>
      </c>
      <c r="X201" t="s">
        <v>126</v>
      </c>
      <c r="Y201" t="s">
        <v>126</v>
      </c>
      <c r="Z201" t="s">
        <v>215</v>
      </c>
      <c r="AA201" t="s">
        <v>397</v>
      </c>
    </row>
    <row r="202" spans="1:27" x14ac:dyDescent="0.2">
      <c r="A202" t="s">
        <v>1035</v>
      </c>
      <c r="B202" t="s">
        <v>1036</v>
      </c>
      <c r="C202" t="s">
        <v>118</v>
      </c>
      <c r="D202" t="s">
        <v>119</v>
      </c>
      <c r="E202" t="s">
        <v>119</v>
      </c>
      <c r="G202" t="s">
        <v>118</v>
      </c>
      <c r="I202" t="s">
        <v>120</v>
      </c>
      <c r="K202" t="s">
        <v>182</v>
      </c>
      <c r="L202" t="s">
        <v>183</v>
      </c>
      <c r="M202" t="s">
        <v>1037</v>
      </c>
      <c r="N202" t="s">
        <v>401</v>
      </c>
      <c r="O202" t="s">
        <v>257</v>
      </c>
      <c r="P202" t="s">
        <v>126</v>
      </c>
      <c r="Q202" t="s">
        <v>126</v>
      </c>
      <c r="R202" t="s">
        <v>126</v>
      </c>
      <c r="S202" t="s">
        <v>126</v>
      </c>
      <c r="T202" t="s">
        <v>126</v>
      </c>
      <c r="U202" t="s">
        <v>126</v>
      </c>
      <c r="V202" t="s">
        <v>126</v>
      </c>
      <c r="W202" t="s">
        <v>126</v>
      </c>
      <c r="X202" t="s">
        <v>126</v>
      </c>
      <c r="Y202" t="s">
        <v>126</v>
      </c>
      <c r="Z202" t="s">
        <v>403</v>
      </c>
      <c r="AA202" t="s">
        <v>258</v>
      </c>
    </row>
    <row r="203" spans="1:27" x14ac:dyDescent="0.2">
      <c r="A203" t="s">
        <v>1038</v>
      </c>
      <c r="B203" t="s">
        <v>1039</v>
      </c>
      <c r="C203" t="s">
        <v>118</v>
      </c>
      <c r="D203" t="s">
        <v>119</v>
      </c>
      <c r="E203" t="s">
        <v>119</v>
      </c>
      <c r="G203" t="s">
        <v>118</v>
      </c>
      <c r="I203" t="s">
        <v>120</v>
      </c>
      <c r="K203" t="s">
        <v>182</v>
      </c>
      <c r="L203" t="s">
        <v>183</v>
      </c>
      <c r="M203" t="s">
        <v>1040</v>
      </c>
      <c r="N203" t="s">
        <v>369</v>
      </c>
      <c r="O203" t="s">
        <v>1041</v>
      </c>
      <c r="P203" t="s">
        <v>126</v>
      </c>
      <c r="Q203" t="s">
        <v>126</v>
      </c>
      <c r="R203" t="s">
        <v>126</v>
      </c>
      <c r="S203" t="s">
        <v>126</v>
      </c>
      <c r="T203" t="s">
        <v>169</v>
      </c>
      <c r="U203" t="s">
        <v>126</v>
      </c>
      <c r="V203" t="s">
        <v>169</v>
      </c>
      <c r="W203" t="s">
        <v>126</v>
      </c>
      <c r="X203" t="s">
        <v>126</v>
      </c>
      <c r="Y203" t="s">
        <v>126</v>
      </c>
      <c r="Z203" t="s">
        <v>370</v>
      </c>
      <c r="AA203" t="s">
        <v>1042</v>
      </c>
    </row>
    <row r="204" spans="1:27" x14ac:dyDescent="0.2">
      <c r="A204" t="s">
        <v>1043</v>
      </c>
      <c r="B204" t="s">
        <v>1044</v>
      </c>
      <c r="C204" t="s">
        <v>118</v>
      </c>
      <c r="D204" t="s">
        <v>119</v>
      </c>
      <c r="E204" t="s">
        <v>119</v>
      </c>
      <c r="G204" t="s">
        <v>118</v>
      </c>
      <c r="I204" t="s">
        <v>120</v>
      </c>
      <c r="K204" t="s">
        <v>139</v>
      </c>
      <c r="L204" t="s">
        <v>140</v>
      </c>
      <c r="M204" t="s">
        <v>1045</v>
      </c>
      <c r="N204" t="s">
        <v>360</v>
      </c>
      <c r="O204" t="s">
        <v>401</v>
      </c>
      <c r="P204" t="s">
        <v>126</v>
      </c>
      <c r="Q204" t="s">
        <v>126</v>
      </c>
      <c r="R204" t="s">
        <v>126</v>
      </c>
      <c r="S204" t="s">
        <v>126</v>
      </c>
      <c r="T204" t="s">
        <v>125</v>
      </c>
      <c r="U204" t="s">
        <v>126</v>
      </c>
      <c r="V204" t="s">
        <v>125</v>
      </c>
      <c r="W204" t="s">
        <v>126</v>
      </c>
      <c r="X204" t="s">
        <v>126</v>
      </c>
      <c r="Y204" t="s">
        <v>126</v>
      </c>
      <c r="Z204" t="s">
        <v>208</v>
      </c>
      <c r="AA204" t="s">
        <v>403</v>
      </c>
    </row>
    <row r="205" spans="1:27" x14ac:dyDescent="0.2">
      <c r="A205" t="s">
        <v>1046</v>
      </c>
      <c r="B205" t="s">
        <v>1047</v>
      </c>
      <c r="C205" t="s">
        <v>118</v>
      </c>
      <c r="D205" t="s">
        <v>119</v>
      </c>
      <c r="E205" t="s">
        <v>119</v>
      </c>
      <c r="G205" t="s">
        <v>118</v>
      </c>
      <c r="I205" t="s">
        <v>120</v>
      </c>
      <c r="K205" t="s">
        <v>139</v>
      </c>
      <c r="L205" t="s">
        <v>140</v>
      </c>
      <c r="M205" t="s">
        <v>1048</v>
      </c>
      <c r="N205" t="s">
        <v>162</v>
      </c>
      <c r="O205" t="s">
        <v>294</v>
      </c>
      <c r="P205" t="s">
        <v>125</v>
      </c>
      <c r="Q205" t="s">
        <v>126</v>
      </c>
      <c r="R205" t="s">
        <v>126</v>
      </c>
      <c r="S205" t="s">
        <v>126</v>
      </c>
      <c r="T205" t="s">
        <v>125</v>
      </c>
      <c r="U205" t="s">
        <v>126</v>
      </c>
      <c r="V205" t="s">
        <v>125</v>
      </c>
      <c r="W205" t="s">
        <v>126</v>
      </c>
      <c r="X205" t="s">
        <v>126</v>
      </c>
      <c r="Y205" t="s">
        <v>126</v>
      </c>
      <c r="Z205" t="s">
        <v>164</v>
      </c>
      <c r="AA205" t="s">
        <v>295</v>
      </c>
    </row>
    <row r="206" spans="1:27" x14ac:dyDescent="0.2">
      <c r="A206" t="s">
        <v>1049</v>
      </c>
      <c r="B206" t="s">
        <v>1050</v>
      </c>
      <c r="C206" t="s">
        <v>118</v>
      </c>
      <c r="D206" t="s">
        <v>119</v>
      </c>
      <c r="E206" t="s">
        <v>119</v>
      </c>
      <c r="G206" t="s">
        <v>118</v>
      </c>
      <c r="I206" t="s">
        <v>120</v>
      </c>
      <c r="K206" t="s">
        <v>173</v>
      </c>
      <c r="L206" t="s">
        <v>174</v>
      </c>
      <c r="M206" t="s">
        <v>1051</v>
      </c>
      <c r="N206" t="s">
        <v>235</v>
      </c>
      <c r="O206" t="s">
        <v>262</v>
      </c>
      <c r="P206" t="s">
        <v>126</v>
      </c>
      <c r="Q206" t="s">
        <v>126</v>
      </c>
      <c r="R206" t="s">
        <v>126</v>
      </c>
      <c r="S206" t="s">
        <v>126</v>
      </c>
      <c r="T206" t="s">
        <v>200</v>
      </c>
      <c r="U206" t="s">
        <v>126</v>
      </c>
      <c r="V206" t="s">
        <v>200</v>
      </c>
      <c r="W206" t="s">
        <v>126</v>
      </c>
      <c r="X206" t="s">
        <v>126</v>
      </c>
      <c r="Y206" t="s">
        <v>126</v>
      </c>
      <c r="Z206" t="s">
        <v>237</v>
      </c>
      <c r="AA206" t="s">
        <v>265</v>
      </c>
    </row>
    <row r="207" spans="1:27" x14ac:dyDescent="0.2">
      <c r="A207" t="s">
        <v>1052</v>
      </c>
      <c r="B207" t="s">
        <v>1053</v>
      </c>
      <c r="C207" t="s">
        <v>118</v>
      </c>
      <c r="D207" t="s">
        <v>119</v>
      </c>
      <c r="E207" t="s">
        <v>119</v>
      </c>
      <c r="G207" t="s">
        <v>118</v>
      </c>
      <c r="I207" t="s">
        <v>120</v>
      </c>
      <c r="K207" t="s">
        <v>158</v>
      </c>
      <c r="L207" t="s">
        <v>159</v>
      </c>
      <c r="M207" t="s">
        <v>1054</v>
      </c>
      <c r="N207" t="s">
        <v>236</v>
      </c>
      <c r="O207" t="s">
        <v>1041</v>
      </c>
      <c r="P207" t="s">
        <v>126</v>
      </c>
      <c r="Q207" t="s">
        <v>126</v>
      </c>
      <c r="R207" t="s">
        <v>126</v>
      </c>
      <c r="S207" t="s">
        <v>126</v>
      </c>
      <c r="T207" t="s">
        <v>126</v>
      </c>
      <c r="U207" t="s">
        <v>126</v>
      </c>
      <c r="V207" t="s">
        <v>126</v>
      </c>
      <c r="W207" t="s">
        <v>126</v>
      </c>
      <c r="X207" t="s">
        <v>126</v>
      </c>
      <c r="Y207" t="s">
        <v>126</v>
      </c>
      <c r="Z207" t="s">
        <v>238</v>
      </c>
      <c r="AA207" t="s">
        <v>1042</v>
      </c>
    </row>
    <row r="208" spans="1:27" x14ac:dyDescent="0.2">
      <c r="A208" t="s">
        <v>1055</v>
      </c>
      <c r="B208" t="s">
        <v>1056</v>
      </c>
      <c r="C208" t="s">
        <v>118</v>
      </c>
      <c r="D208" t="s">
        <v>119</v>
      </c>
      <c r="E208" t="s">
        <v>119</v>
      </c>
      <c r="G208" t="s">
        <v>118</v>
      </c>
      <c r="I208" t="s">
        <v>120</v>
      </c>
      <c r="K208" t="s">
        <v>204</v>
      </c>
      <c r="L208" t="s">
        <v>205</v>
      </c>
      <c r="M208" t="s">
        <v>1057</v>
      </c>
      <c r="N208" t="s">
        <v>257</v>
      </c>
      <c r="O208" t="s">
        <v>262</v>
      </c>
      <c r="P208" t="s">
        <v>126</v>
      </c>
      <c r="Q208" t="s">
        <v>126</v>
      </c>
      <c r="R208" t="s">
        <v>126</v>
      </c>
      <c r="S208" t="s">
        <v>126</v>
      </c>
      <c r="T208" t="s">
        <v>126</v>
      </c>
      <c r="U208" t="s">
        <v>126</v>
      </c>
      <c r="V208" t="s">
        <v>126</v>
      </c>
      <c r="W208" t="s">
        <v>126</v>
      </c>
      <c r="X208" t="s">
        <v>126</v>
      </c>
      <c r="Y208" t="s">
        <v>126</v>
      </c>
      <c r="Z208" t="s">
        <v>258</v>
      </c>
      <c r="AA208" t="s">
        <v>265</v>
      </c>
    </row>
    <row r="209" spans="1:27" x14ac:dyDescent="0.2">
      <c r="A209" t="s">
        <v>1058</v>
      </c>
      <c r="B209" t="s">
        <v>1059</v>
      </c>
      <c r="C209" t="s">
        <v>118</v>
      </c>
      <c r="D209" t="s">
        <v>119</v>
      </c>
      <c r="E209" t="s">
        <v>119</v>
      </c>
      <c r="G209" t="s">
        <v>118</v>
      </c>
      <c r="I209" t="s">
        <v>120</v>
      </c>
      <c r="K209" t="s">
        <v>204</v>
      </c>
      <c r="L209" t="s">
        <v>205</v>
      </c>
      <c r="M209" t="s">
        <v>1060</v>
      </c>
      <c r="N209" t="s">
        <v>599</v>
      </c>
      <c r="O209" t="s">
        <v>759</v>
      </c>
      <c r="P209" t="s">
        <v>126</v>
      </c>
      <c r="Q209" t="s">
        <v>126</v>
      </c>
      <c r="R209" t="s">
        <v>126</v>
      </c>
      <c r="S209" t="s">
        <v>126</v>
      </c>
      <c r="T209" t="s">
        <v>126</v>
      </c>
      <c r="U209" t="s">
        <v>126</v>
      </c>
      <c r="V209" t="s">
        <v>126</v>
      </c>
      <c r="W209" t="s">
        <v>126</v>
      </c>
      <c r="X209" t="s">
        <v>126</v>
      </c>
      <c r="Y209" t="s">
        <v>126</v>
      </c>
      <c r="Z209" t="s">
        <v>601</v>
      </c>
      <c r="AA209" t="s">
        <v>760</v>
      </c>
    </row>
    <row r="210" spans="1:27" x14ac:dyDescent="0.2">
      <c r="A210" t="s">
        <v>1061</v>
      </c>
      <c r="B210" t="s">
        <v>1062</v>
      </c>
      <c r="C210" t="s">
        <v>118</v>
      </c>
      <c r="D210" t="s">
        <v>119</v>
      </c>
      <c r="E210" t="s">
        <v>119</v>
      </c>
      <c r="G210" t="s">
        <v>118</v>
      </c>
      <c r="I210" t="s">
        <v>120</v>
      </c>
      <c r="K210" t="s">
        <v>158</v>
      </c>
      <c r="L210" t="s">
        <v>159</v>
      </c>
      <c r="M210" t="s">
        <v>1063</v>
      </c>
      <c r="N210" t="s">
        <v>708</v>
      </c>
      <c r="O210" t="s">
        <v>343</v>
      </c>
      <c r="P210" t="s">
        <v>126</v>
      </c>
      <c r="Q210" t="s">
        <v>126</v>
      </c>
      <c r="R210" t="s">
        <v>126</v>
      </c>
      <c r="S210" t="s">
        <v>126</v>
      </c>
      <c r="T210" t="s">
        <v>419</v>
      </c>
      <c r="U210" t="s">
        <v>126</v>
      </c>
      <c r="V210" t="s">
        <v>419</v>
      </c>
      <c r="W210" t="s">
        <v>126</v>
      </c>
      <c r="X210" t="s">
        <v>126</v>
      </c>
      <c r="Y210" t="s">
        <v>126</v>
      </c>
      <c r="Z210" t="s">
        <v>710</v>
      </c>
      <c r="AA210" t="s">
        <v>344</v>
      </c>
    </row>
    <row r="211" spans="1:27" x14ac:dyDescent="0.2">
      <c r="A211" t="s">
        <v>1064</v>
      </c>
      <c r="B211" t="s">
        <v>1065</v>
      </c>
      <c r="C211" t="s">
        <v>118</v>
      </c>
      <c r="D211" t="s">
        <v>119</v>
      </c>
      <c r="E211" t="s">
        <v>119</v>
      </c>
      <c r="G211" t="s">
        <v>118</v>
      </c>
      <c r="I211" t="s">
        <v>120</v>
      </c>
      <c r="K211" t="s">
        <v>852</v>
      </c>
      <c r="L211" t="s">
        <v>853</v>
      </c>
      <c r="M211" t="s">
        <v>1066</v>
      </c>
      <c r="N211" t="s">
        <v>1067</v>
      </c>
      <c r="O211" t="s">
        <v>1068</v>
      </c>
      <c r="P211" t="s">
        <v>126</v>
      </c>
      <c r="Q211" t="s">
        <v>126</v>
      </c>
      <c r="R211" t="s">
        <v>126</v>
      </c>
      <c r="S211" t="s">
        <v>126</v>
      </c>
      <c r="T211" t="s">
        <v>126</v>
      </c>
      <c r="U211" t="s">
        <v>126</v>
      </c>
      <c r="V211" t="s">
        <v>126</v>
      </c>
      <c r="W211" t="s">
        <v>126</v>
      </c>
      <c r="X211" t="s">
        <v>126</v>
      </c>
      <c r="Y211" t="s">
        <v>126</v>
      </c>
      <c r="Z211" t="s">
        <v>1069</v>
      </c>
      <c r="AA211" t="s">
        <v>1070</v>
      </c>
    </row>
    <row r="212" spans="1:27" x14ac:dyDescent="0.2">
      <c r="A212" t="s">
        <v>1071</v>
      </c>
      <c r="B212" t="s">
        <v>1072</v>
      </c>
      <c r="D212" t="s">
        <v>119</v>
      </c>
      <c r="E212" t="s">
        <v>119</v>
      </c>
      <c r="G212" t="s">
        <v>118</v>
      </c>
      <c r="I212" t="s">
        <v>120</v>
      </c>
      <c r="K212" t="s">
        <v>130</v>
      </c>
      <c r="L212" t="s">
        <v>131</v>
      </c>
      <c r="M212" t="s">
        <v>1073</v>
      </c>
      <c r="N212" t="s">
        <v>1074</v>
      </c>
      <c r="O212" t="s">
        <v>880</v>
      </c>
      <c r="P212" t="s">
        <v>125</v>
      </c>
      <c r="Q212" t="s">
        <v>126</v>
      </c>
      <c r="R212" t="s">
        <v>126</v>
      </c>
      <c r="S212" t="s">
        <v>126</v>
      </c>
      <c r="V212" t="s">
        <v>126</v>
      </c>
      <c r="Y212" t="s">
        <v>126</v>
      </c>
      <c r="Z212" t="s">
        <v>1075</v>
      </c>
      <c r="AA212" t="s">
        <v>882</v>
      </c>
    </row>
    <row r="213" spans="1:27" x14ac:dyDescent="0.2">
      <c r="A213" t="s">
        <v>1076</v>
      </c>
      <c r="B213" t="s">
        <v>1077</v>
      </c>
      <c r="C213" t="s">
        <v>118</v>
      </c>
      <c r="D213" t="s">
        <v>119</v>
      </c>
      <c r="E213" t="s">
        <v>119</v>
      </c>
      <c r="G213" t="s">
        <v>118</v>
      </c>
      <c r="I213" t="s">
        <v>120</v>
      </c>
      <c r="K213" t="s">
        <v>731</v>
      </c>
      <c r="L213" t="s">
        <v>732</v>
      </c>
      <c r="M213" t="s">
        <v>1078</v>
      </c>
      <c r="N213" t="s">
        <v>1079</v>
      </c>
      <c r="O213" t="s">
        <v>1080</v>
      </c>
      <c r="P213" t="s">
        <v>125</v>
      </c>
      <c r="Q213" t="s">
        <v>126</v>
      </c>
      <c r="R213" t="s">
        <v>126</v>
      </c>
      <c r="S213" t="s">
        <v>126</v>
      </c>
      <c r="T213" t="s">
        <v>126</v>
      </c>
      <c r="U213" t="s">
        <v>126</v>
      </c>
      <c r="V213" t="s">
        <v>126</v>
      </c>
      <c r="W213" t="s">
        <v>126</v>
      </c>
      <c r="X213" t="s">
        <v>126</v>
      </c>
      <c r="Y213" t="s">
        <v>126</v>
      </c>
      <c r="Z213" t="s">
        <v>1081</v>
      </c>
      <c r="AA213" t="s">
        <v>1082</v>
      </c>
    </row>
    <row r="214" spans="1:27" x14ac:dyDescent="0.2">
      <c r="A214" t="s">
        <v>1083</v>
      </c>
      <c r="B214" t="s">
        <v>1084</v>
      </c>
      <c r="C214" t="s">
        <v>118</v>
      </c>
      <c r="D214" t="s">
        <v>119</v>
      </c>
      <c r="E214" t="s">
        <v>119</v>
      </c>
      <c r="G214" t="s">
        <v>118</v>
      </c>
      <c r="I214" t="s">
        <v>120</v>
      </c>
      <c r="K214" t="s">
        <v>731</v>
      </c>
      <c r="L214" t="s">
        <v>732</v>
      </c>
      <c r="M214" t="s">
        <v>1085</v>
      </c>
      <c r="N214" t="s">
        <v>1086</v>
      </c>
      <c r="O214" t="s">
        <v>1087</v>
      </c>
      <c r="P214" t="s">
        <v>126</v>
      </c>
      <c r="Q214" t="s">
        <v>126</v>
      </c>
      <c r="R214" t="s">
        <v>126</v>
      </c>
      <c r="S214" t="s">
        <v>126</v>
      </c>
      <c r="T214" t="s">
        <v>125</v>
      </c>
      <c r="U214" t="s">
        <v>126</v>
      </c>
      <c r="V214" t="s">
        <v>125</v>
      </c>
      <c r="W214" t="s">
        <v>126</v>
      </c>
      <c r="X214" t="s">
        <v>126</v>
      </c>
      <c r="Y214" t="s">
        <v>126</v>
      </c>
      <c r="Z214" t="s">
        <v>1088</v>
      </c>
      <c r="AA214" t="s">
        <v>1089</v>
      </c>
    </row>
    <row r="215" spans="1:27" x14ac:dyDescent="0.2">
      <c r="A215" t="s">
        <v>1090</v>
      </c>
      <c r="B215" t="s">
        <v>1091</v>
      </c>
      <c r="C215" t="s">
        <v>118</v>
      </c>
      <c r="D215" t="s">
        <v>119</v>
      </c>
      <c r="E215" t="s">
        <v>119</v>
      </c>
      <c r="G215" t="s">
        <v>118</v>
      </c>
      <c r="I215" t="s">
        <v>120</v>
      </c>
      <c r="K215" t="s">
        <v>149</v>
      </c>
      <c r="L215" t="s">
        <v>150</v>
      </c>
      <c r="M215" t="s">
        <v>1092</v>
      </c>
      <c r="N215" t="s">
        <v>386</v>
      </c>
      <c r="O215" t="s">
        <v>581</v>
      </c>
      <c r="P215" t="s">
        <v>126</v>
      </c>
      <c r="Q215" t="s">
        <v>126</v>
      </c>
      <c r="R215" t="s">
        <v>126</v>
      </c>
      <c r="S215" t="s">
        <v>126</v>
      </c>
      <c r="T215" t="s">
        <v>264</v>
      </c>
      <c r="U215" t="s">
        <v>126</v>
      </c>
      <c r="V215" t="s">
        <v>264</v>
      </c>
      <c r="W215" t="s">
        <v>126</v>
      </c>
      <c r="X215" t="s">
        <v>126</v>
      </c>
      <c r="Y215" t="s">
        <v>126</v>
      </c>
      <c r="Z215" t="s">
        <v>387</v>
      </c>
      <c r="AA215" t="s">
        <v>582</v>
      </c>
    </row>
    <row r="216" spans="1:27" x14ac:dyDescent="0.2">
      <c r="A216" t="s">
        <v>1093</v>
      </c>
      <c r="B216" t="s">
        <v>1094</v>
      </c>
      <c r="C216" t="s">
        <v>118</v>
      </c>
      <c r="D216" t="s">
        <v>119</v>
      </c>
      <c r="E216" t="s">
        <v>119</v>
      </c>
      <c r="G216" t="s">
        <v>118</v>
      </c>
      <c r="I216" t="s">
        <v>120</v>
      </c>
      <c r="K216" t="s">
        <v>852</v>
      </c>
      <c r="L216" t="s">
        <v>853</v>
      </c>
      <c r="M216" t="s">
        <v>1095</v>
      </c>
      <c r="N216" t="s">
        <v>642</v>
      </c>
      <c r="O216" t="s">
        <v>1096</v>
      </c>
      <c r="P216" t="s">
        <v>125</v>
      </c>
      <c r="Q216" t="s">
        <v>126</v>
      </c>
      <c r="R216" t="s">
        <v>126</v>
      </c>
      <c r="S216" t="s">
        <v>126</v>
      </c>
      <c r="T216" t="s">
        <v>125</v>
      </c>
      <c r="U216" t="s">
        <v>126</v>
      </c>
      <c r="V216" t="s">
        <v>125</v>
      </c>
      <c r="W216" t="s">
        <v>126</v>
      </c>
      <c r="X216" t="s">
        <v>126</v>
      </c>
      <c r="Y216" t="s">
        <v>126</v>
      </c>
      <c r="Z216" t="s">
        <v>644</v>
      </c>
      <c r="AA216" t="s">
        <v>1097</v>
      </c>
    </row>
    <row r="217" spans="1:27" x14ac:dyDescent="0.2">
      <c r="A217" t="s">
        <v>1098</v>
      </c>
      <c r="B217" t="s">
        <v>1099</v>
      </c>
      <c r="C217" t="s">
        <v>118</v>
      </c>
      <c r="D217" t="s">
        <v>119</v>
      </c>
      <c r="E217" t="s">
        <v>119</v>
      </c>
      <c r="G217" t="s">
        <v>118</v>
      </c>
      <c r="I217" t="s">
        <v>120</v>
      </c>
      <c r="K217" t="s">
        <v>232</v>
      </c>
      <c r="L217" t="s">
        <v>233</v>
      </c>
      <c r="M217" t="s">
        <v>1100</v>
      </c>
      <c r="N217" t="s">
        <v>1101</v>
      </c>
      <c r="O217" t="s">
        <v>207</v>
      </c>
      <c r="P217" t="s">
        <v>125</v>
      </c>
      <c r="Q217" t="s">
        <v>126</v>
      </c>
      <c r="R217" t="s">
        <v>126</v>
      </c>
      <c r="S217" t="s">
        <v>126</v>
      </c>
      <c r="T217" t="s">
        <v>125</v>
      </c>
      <c r="U217" t="s">
        <v>126</v>
      </c>
      <c r="V217" t="s">
        <v>125</v>
      </c>
      <c r="W217" t="s">
        <v>126</v>
      </c>
      <c r="X217" t="s">
        <v>126</v>
      </c>
      <c r="Y217" t="s">
        <v>126</v>
      </c>
      <c r="Z217" t="s">
        <v>1102</v>
      </c>
      <c r="AA217" t="s">
        <v>209</v>
      </c>
    </row>
    <row r="218" spans="1:27" x14ac:dyDescent="0.2">
      <c r="A218" t="s">
        <v>1103</v>
      </c>
      <c r="B218" t="s">
        <v>1104</v>
      </c>
      <c r="D218" t="s">
        <v>119</v>
      </c>
      <c r="E218" t="s">
        <v>119</v>
      </c>
      <c r="G218" t="s">
        <v>118</v>
      </c>
      <c r="I218" t="s">
        <v>120</v>
      </c>
      <c r="K218" t="s">
        <v>130</v>
      </c>
      <c r="L218" t="s">
        <v>131</v>
      </c>
      <c r="M218" t="s">
        <v>1105</v>
      </c>
      <c r="N218" t="s">
        <v>1009</v>
      </c>
      <c r="O218" t="s">
        <v>1009</v>
      </c>
      <c r="P218" t="s">
        <v>125</v>
      </c>
      <c r="Q218" t="s">
        <v>126</v>
      </c>
      <c r="R218" t="s">
        <v>126</v>
      </c>
      <c r="S218" t="s">
        <v>126</v>
      </c>
      <c r="V218" t="s">
        <v>126</v>
      </c>
      <c r="Y218" t="s">
        <v>126</v>
      </c>
      <c r="Z218" t="s">
        <v>1011</v>
      </c>
      <c r="AA218" t="s">
        <v>1011</v>
      </c>
    </row>
    <row r="219" spans="1:27" x14ac:dyDescent="0.2">
      <c r="A219" t="s">
        <v>1106</v>
      </c>
      <c r="B219" t="s">
        <v>1107</v>
      </c>
      <c r="C219" t="s">
        <v>118</v>
      </c>
      <c r="D219" t="s">
        <v>119</v>
      </c>
      <c r="E219" t="s">
        <v>119</v>
      </c>
      <c r="G219" t="s">
        <v>118</v>
      </c>
      <c r="I219" t="s">
        <v>120</v>
      </c>
      <c r="K219" t="s">
        <v>204</v>
      </c>
      <c r="L219" t="s">
        <v>205</v>
      </c>
      <c r="M219" t="s">
        <v>1108</v>
      </c>
      <c r="N219" t="s">
        <v>199</v>
      </c>
      <c r="O219" t="s">
        <v>1109</v>
      </c>
      <c r="P219" t="s">
        <v>126</v>
      </c>
      <c r="Q219" t="s">
        <v>126</v>
      </c>
      <c r="R219" t="s">
        <v>126</v>
      </c>
      <c r="S219" t="s">
        <v>126</v>
      </c>
      <c r="T219" t="s">
        <v>200</v>
      </c>
      <c r="U219" t="s">
        <v>126</v>
      </c>
      <c r="V219" t="s">
        <v>200</v>
      </c>
      <c r="W219" t="s">
        <v>126</v>
      </c>
      <c r="X219" t="s">
        <v>126</v>
      </c>
      <c r="Y219" t="s">
        <v>126</v>
      </c>
      <c r="Z219" t="s">
        <v>201</v>
      </c>
      <c r="AA219" t="s">
        <v>1110</v>
      </c>
    </row>
    <row r="220" spans="1:27" x14ac:dyDescent="0.2">
      <c r="A220" t="s">
        <v>1111</v>
      </c>
      <c r="B220" t="s">
        <v>1112</v>
      </c>
      <c r="C220" t="s">
        <v>118</v>
      </c>
      <c r="D220" t="s">
        <v>119</v>
      </c>
      <c r="E220" t="s">
        <v>119</v>
      </c>
      <c r="G220" t="s">
        <v>118</v>
      </c>
      <c r="I220" t="s">
        <v>120</v>
      </c>
      <c r="K220" t="s">
        <v>130</v>
      </c>
      <c r="L220" t="s">
        <v>131</v>
      </c>
      <c r="M220" t="s">
        <v>1113</v>
      </c>
      <c r="N220" t="s">
        <v>249</v>
      </c>
      <c r="O220" t="s">
        <v>1114</v>
      </c>
      <c r="P220" t="s">
        <v>126</v>
      </c>
      <c r="Q220" t="s">
        <v>126</v>
      </c>
      <c r="R220" t="s">
        <v>126</v>
      </c>
      <c r="S220" t="s">
        <v>126</v>
      </c>
      <c r="T220" t="s">
        <v>200</v>
      </c>
      <c r="U220" t="s">
        <v>126</v>
      </c>
      <c r="V220" t="s">
        <v>200</v>
      </c>
      <c r="W220" t="s">
        <v>126</v>
      </c>
      <c r="X220" t="s">
        <v>126</v>
      </c>
      <c r="Y220" t="s">
        <v>126</v>
      </c>
      <c r="Z220" t="s">
        <v>250</v>
      </c>
      <c r="AA220" t="s">
        <v>1115</v>
      </c>
    </row>
    <row r="221" spans="1:27" x14ac:dyDescent="0.2">
      <c r="A221" t="s">
        <v>1116</v>
      </c>
      <c r="B221" t="s">
        <v>1117</v>
      </c>
      <c r="C221" t="s">
        <v>118</v>
      </c>
      <c r="D221" t="s">
        <v>119</v>
      </c>
      <c r="E221" t="s">
        <v>119</v>
      </c>
      <c r="G221" t="s">
        <v>118</v>
      </c>
      <c r="I221" t="s">
        <v>120</v>
      </c>
      <c r="K221" t="s">
        <v>204</v>
      </c>
      <c r="L221" t="s">
        <v>205</v>
      </c>
      <c r="M221" t="s">
        <v>1118</v>
      </c>
      <c r="N221" t="s">
        <v>199</v>
      </c>
      <c r="O221" t="s">
        <v>300</v>
      </c>
      <c r="P221" t="s">
        <v>126</v>
      </c>
      <c r="Q221" t="s">
        <v>126</v>
      </c>
      <c r="R221" t="s">
        <v>126</v>
      </c>
      <c r="S221" t="s">
        <v>126</v>
      </c>
      <c r="T221" t="s">
        <v>126</v>
      </c>
      <c r="U221" t="s">
        <v>126</v>
      </c>
      <c r="V221" t="s">
        <v>126</v>
      </c>
      <c r="W221" t="s">
        <v>126</v>
      </c>
      <c r="X221" t="s">
        <v>126</v>
      </c>
      <c r="Y221" t="s">
        <v>126</v>
      </c>
      <c r="Z221" t="s">
        <v>201</v>
      </c>
      <c r="AA221" t="s">
        <v>303</v>
      </c>
    </row>
    <row r="222" spans="1:27" x14ac:dyDescent="0.2">
      <c r="A222" t="s">
        <v>1119</v>
      </c>
      <c r="B222" t="s">
        <v>1120</v>
      </c>
      <c r="C222" t="s">
        <v>118</v>
      </c>
      <c r="D222" t="s">
        <v>119</v>
      </c>
      <c r="E222" t="s">
        <v>119</v>
      </c>
      <c r="G222" t="s">
        <v>118</v>
      </c>
      <c r="I222" t="s">
        <v>120</v>
      </c>
      <c r="K222" t="s">
        <v>232</v>
      </c>
      <c r="L222" t="s">
        <v>233</v>
      </c>
      <c r="M222" t="s">
        <v>1121</v>
      </c>
      <c r="N222" t="s">
        <v>287</v>
      </c>
      <c r="O222" t="s">
        <v>199</v>
      </c>
      <c r="P222" t="s">
        <v>126</v>
      </c>
      <c r="Q222" t="s">
        <v>126</v>
      </c>
      <c r="R222" t="s">
        <v>126</v>
      </c>
      <c r="S222" t="s">
        <v>126</v>
      </c>
      <c r="T222" t="s">
        <v>200</v>
      </c>
      <c r="U222" t="s">
        <v>126</v>
      </c>
      <c r="V222" t="s">
        <v>200</v>
      </c>
      <c r="W222" t="s">
        <v>126</v>
      </c>
      <c r="X222" t="s">
        <v>126</v>
      </c>
      <c r="Y222" t="s">
        <v>126</v>
      </c>
      <c r="Z222" t="s">
        <v>288</v>
      </c>
      <c r="AA222" t="s">
        <v>201</v>
      </c>
    </row>
    <row r="223" spans="1:27" x14ac:dyDescent="0.2">
      <c r="A223" t="s">
        <v>1122</v>
      </c>
      <c r="B223" t="s">
        <v>1123</v>
      </c>
      <c r="C223" t="s">
        <v>118</v>
      </c>
      <c r="D223" t="s">
        <v>119</v>
      </c>
      <c r="E223" t="s">
        <v>119</v>
      </c>
      <c r="G223" t="s">
        <v>118</v>
      </c>
      <c r="I223" t="s">
        <v>120</v>
      </c>
      <c r="K223" t="s">
        <v>204</v>
      </c>
      <c r="L223" t="s">
        <v>205</v>
      </c>
      <c r="M223" t="s">
        <v>1124</v>
      </c>
      <c r="N223" t="s">
        <v>1101</v>
      </c>
      <c r="O223" t="s">
        <v>1125</v>
      </c>
      <c r="P223" t="s">
        <v>125</v>
      </c>
      <c r="Q223" t="s">
        <v>126</v>
      </c>
      <c r="R223" t="s">
        <v>126</v>
      </c>
      <c r="S223" t="s">
        <v>126</v>
      </c>
      <c r="T223" t="s">
        <v>125</v>
      </c>
      <c r="U223" t="s">
        <v>126</v>
      </c>
      <c r="V223" t="s">
        <v>125</v>
      </c>
      <c r="W223" t="s">
        <v>126</v>
      </c>
      <c r="X223" t="s">
        <v>126</v>
      </c>
      <c r="Y223" t="s">
        <v>126</v>
      </c>
      <c r="Z223" t="s">
        <v>1102</v>
      </c>
      <c r="AA223" t="s">
        <v>1126</v>
      </c>
    </row>
    <row r="224" spans="1:27" x14ac:dyDescent="0.2">
      <c r="A224" t="s">
        <v>1127</v>
      </c>
      <c r="B224" t="s">
        <v>1128</v>
      </c>
      <c r="C224" t="s">
        <v>118</v>
      </c>
      <c r="D224" t="s">
        <v>119</v>
      </c>
      <c r="E224" t="s">
        <v>119</v>
      </c>
      <c r="G224" t="s">
        <v>118</v>
      </c>
      <c r="I224" t="s">
        <v>120</v>
      </c>
      <c r="K224" t="s">
        <v>204</v>
      </c>
      <c r="L224" t="s">
        <v>205</v>
      </c>
      <c r="M224" t="s">
        <v>1129</v>
      </c>
      <c r="N224" t="s">
        <v>914</v>
      </c>
      <c r="O224" t="s">
        <v>354</v>
      </c>
      <c r="P224" t="s">
        <v>126</v>
      </c>
      <c r="Q224" t="s">
        <v>126</v>
      </c>
      <c r="R224" t="s">
        <v>126</v>
      </c>
      <c r="S224" t="s">
        <v>126</v>
      </c>
      <c r="T224" t="s">
        <v>126</v>
      </c>
      <c r="U224" t="s">
        <v>126</v>
      </c>
      <c r="V224" t="s">
        <v>126</v>
      </c>
      <c r="W224" t="s">
        <v>126</v>
      </c>
      <c r="X224" t="s">
        <v>126</v>
      </c>
      <c r="Y224" t="s">
        <v>126</v>
      </c>
      <c r="Z224" t="s">
        <v>916</v>
      </c>
      <c r="AA224" t="s">
        <v>356</v>
      </c>
    </row>
    <row r="225" spans="1:27" x14ac:dyDescent="0.2">
      <c r="A225" t="s">
        <v>1130</v>
      </c>
      <c r="B225" t="s">
        <v>1131</v>
      </c>
      <c r="D225" t="s">
        <v>119</v>
      </c>
      <c r="E225" t="s">
        <v>119</v>
      </c>
      <c r="G225" t="s">
        <v>118</v>
      </c>
      <c r="I225" t="s">
        <v>120</v>
      </c>
      <c r="K225" t="s">
        <v>182</v>
      </c>
      <c r="L225" t="s">
        <v>183</v>
      </c>
      <c r="M225" t="s">
        <v>1132</v>
      </c>
      <c r="N225" t="s">
        <v>294</v>
      </c>
      <c r="O225" t="s">
        <v>133</v>
      </c>
      <c r="P225" t="s">
        <v>125</v>
      </c>
      <c r="Q225" t="s">
        <v>126</v>
      </c>
      <c r="R225" t="s">
        <v>126</v>
      </c>
      <c r="S225" t="s">
        <v>126</v>
      </c>
      <c r="V225" t="s">
        <v>126</v>
      </c>
      <c r="Y225" t="s">
        <v>126</v>
      </c>
      <c r="Z225" t="s">
        <v>295</v>
      </c>
      <c r="AA225" t="s">
        <v>135</v>
      </c>
    </row>
    <row r="226" spans="1:27" x14ac:dyDescent="0.2">
      <c r="A226" t="s">
        <v>1133</v>
      </c>
      <c r="B226" t="s">
        <v>1134</v>
      </c>
      <c r="C226" t="s">
        <v>118</v>
      </c>
      <c r="D226" t="s">
        <v>119</v>
      </c>
      <c r="E226" t="s">
        <v>119</v>
      </c>
      <c r="G226" t="s">
        <v>118</v>
      </c>
      <c r="I226" t="s">
        <v>120</v>
      </c>
      <c r="K226" t="s">
        <v>204</v>
      </c>
      <c r="L226" t="s">
        <v>205</v>
      </c>
      <c r="M226" t="s">
        <v>1135</v>
      </c>
      <c r="N226" t="s">
        <v>133</v>
      </c>
      <c r="O226" t="s">
        <v>235</v>
      </c>
      <c r="P226" t="s">
        <v>126</v>
      </c>
      <c r="Q226" t="s">
        <v>126</v>
      </c>
      <c r="R226" t="s">
        <v>126</v>
      </c>
      <c r="S226" t="s">
        <v>126</v>
      </c>
      <c r="T226" t="s">
        <v>1136</v>
      </c>
      <c r="U226" t="s">
        <v>126</v>
      </c>
      <c r="V226" t="s">
        <v>1136</v>
      </c>
      <c r="W226" t="s">
        <v>126</v>
      </c>
      <c r="X226" t="s">
        <v>126</v>
      </c>
      <c r="Y226" t="s">
        <v>126</v>
      </c>
      <c r="Z226" t="s">
        <v>135</v>
      </c>
      <c r="AA226" t="s">
        <v>237</v>
      </c>
    </row>
    <row r="227" spans="1:27" x14ac:dyDescent="0.2">
      <c r="A227" t="s">
        <v>1137</v>
      </c>
      <c r="B227" t="s">
        <v>1138</v>
      </c>
      <c r="D227" t="s">
        <v>119</v>
      </c>
      <c r="E227" t="s">
        <v>119</v>
      </c>
      <c r="G227" t="s">
        <v>118</v>
      </c>
      <c r="I227" t="s">
        <v>120</v>
      </c>
      <c r="K227" t="s">
        <v>291</v>
      </c>
      <c r="L227" t="s">
        <v>292</v>
      </c>
      <c r="M227" t="s">
        <v>1139</v>
      </c>
      <c r="N227" t="s">
        <v>161</v>
      </c>
      <c r="O227" t="s">
        <v>162</v>
      </c>
      <c r="P227" t="s">
        <v>125</v>
      </c>
      <c r="Q227" t="s">
        <v>126</v>
      </c>
      <c r="R227" t="s">
        <v>126</v>
      </c>
      <c r="S227" t="s">
        <v>126</v>
      </c>
      <c r="V227" t="s">
        <v>126</v>
      </c>
      <c r="Y227" t="s">
        <v>126</v>
      </c>
      <c r="Z227" t="s">
        <v>163</v>
      </c>
      <c r="AA227" t="s">
        <v>164</v>
      </c>
    </row>
    <row r="228" spans="1:27" x14ac:dyDescent="0.2">
      <c r="A228" t="s">
        <v>1140</v>
      </c>
      <c r="B228" t="s">
        <v>1141</v>
      </c>
      <c r="C228" t="s">
        <v>118</v>
      </c>
      <c r="D228" t="s">
        <v>119</v>
      </c>
      <c r="E228" t="s">
        <v>119</v>
      </c>
      <c r="G228" t="s">
        <v>118</v>
      </c>
      <c r="I228" t="s">
        <v>120</v>
      </c>
      <c r="K228" t="s">
        <v>139</v>
      </c>
      <c r="L228" t="s">
        <v>140</v>
      </c>
      <c r="M228" t="s">
        <v>1142</v>
      </c>
      <c r="N228" t="s">
        <v>396</v>
      </c>
      <c r="O228" t="s">
        <v>360</v>
      </c>
      <c r="P228" t="s">
        <v>126</v>
      </c>
      <c r="Q228" t="s">
        <v>126</v>
      </c>
      <c r="R228" t="s">
        <v>126</v>
      </c>
      <c r="S228" t="s">
        <v>126</v>
      </c>
      <c r="T228" t="s">
        <v>125</v>
      </c>
      <c r="U228" t="s">
        <v>126</v>
      </c>
      <c r="V228" t="s">
        <v>125</v>
      </c>
      <c r="W228" t="s">
        <v>126</v>
      </c>
      <c r="X228" t="s">
        <v>126</v>
      </c>
      <c r="Y228" t="s">
        <v>126</v>
      </c>
      <c r="Z228" t="s">
        <v>397</v>
      </c>
      <c r="AA228" t="s">
        <v>208</v>
      </c>
    </row>
    <row r="229" spans="1:27" x14ac:dyDescent="0.2">
      <c r="A229" t="s">
        <v>1143</v>
      </c>
      <c r="B229" t="s">
        <v>1144</v>
      </c>
      <c r="C229" t="s">
        <v>118</v>
      </c>
      <c r="D229" t="s">
        <v>119</v>
      </c>
      <c r="E229" t="s">
        <v>119</v>
      </c>
      <c r="G229" t="s">
        <v>118</v>
      </c>
      <c r="I229" t="s">
        <v>120</v>
      </c>
      <c r="K229" t="s">
        <v>158</v>
      </c>
      <c r="L229" t="s">
        <v>159</v>
      </c>
      <c r="M229" t="s">
        <v>1145</v>
      </c>
      <c r="N229" t="s">
        <v>176</v>
      </c>
      <c r="O229" t="s">
        <v>914</v>
      </c>
      <c r="P229" t="s">
        <v>126</v>
      </c>
      <c r="Q229" t="s">
        <v>126</v>
      </c>
      <c r="R229" t="s">
        <v>126</v>
      </c>
      <c r="S229" t="s">
        <v>126</v>
      </c>
      <c r="T229" t="s">
        <v>169</v>
      </c>
      <c r="U229" t="s">
        <v>126</v>
      </c>
      <c r="V229" t="s">
        <v>169</v>
      </c>
      <c r="W229" t="s">
        <v>126</v>
      </c>
      <c r="X229" t="s">
        <v>126</v>
      </c>
      <c r="Y229" t="s">
        <v>126</v>
      </c>
      <c r="Z229" t="s">
        <v>178</v>
      </c>
      <c r="AA229" t="s">
        <v>916</v>
      </c>
    </row>
    <row r="230" spans="1:27" x14ac:dyDescent="0.2">
      <c r="A230" t="s">
        <v>1146</v>
      </c>
      <c r="B230" t="s">
        <v>1147</v>
      </c>
      <c r="C230" t="s">
        <v>118</v>
      </c>
      <c r="D230" t="s">
        <v>119</v>
      </c>
      <c r="E230" t="s">
        <v>119</v>
      </c>
      <c r="G230" t="s">
        <v>118</v>
      </c>
      <c r="I230" t="s">
        <v>120</v>
      </c>
      <c r="K230" t="s">
        <v>1148</v>
      </c>
      <c r="L230" t="s">
        <v>1149</v>
      </c>
      <c r="M230" t="s">
        <v>1150</v>
      </c>
      <c r="N230" t="s">
        <v>1151</v>
      </c>
      <c r="O230" t="s">
        <v>914</v>
      </c>
      <c r="P230" t="s">
        <v>126</v>
      </c>
      <c r="Q230" t="s">
        <v>126</v>
      </c>
      <c r="R230" t="s">
        <v>126</v>
      </c>
      <c r="S230" t="s">
        <v>126</v>
      </c>
      <c r="T230" t="s">
        <v>125</v>
      </c>
      <c r="U230" t="s">
        <v>126</v>
      </c>
      <c r="V230" t="s">
        <v>125</v>
      </c>
      <c r="W230" t="s">
        <v>126</v>
      </c>
      <c r="X230" t="s">
        <v>126</v>
      </c>
      <c r="Y230" t="s">
        <v>126</v>
      </c>
      <c r="Z230" t="s">
        <v>1152</v>
      </c>
      <c r="AA230" t="s">
        <v>916</v>
      </c>
    </row>
    <row r="231" spans="1:27" x14ac:dyDescent="0.2">
      <c r="A231" t="s">
        <v>1153</v>
      </c>
      <c r="B231" t="s">
        <v>1154</v>
      </c>
      <c r="C231" t="s">
        <v>118</v>
      </c>
      <c r="D231" t="s">
        <v>119</v>
      </c>
      <c r="E231" t="s">
        <v>119</v>
      </c>
      <c r="G231" t="s">
        <v>118</v>
      </c>
      <c r="I231" t="s">
        <v>120</v>
      </c>
      <c r="K231" t="s">
        <v>291</v>
      </c>
      <c r="L231" t="s">
        <v>292</v>
      </c>
      <c r="M231" t="s">
        <v>1155</v>
      </c>
      <c r="N231" t="s">
        <v>177</v>
      </c>
      <c r="O231" t="s">
        <v>329</v>
      </c>
      <c r="P231" t="s">
        <v>126</v>
      </c>
      <c r="Q231" t="s">
        <v>126</v>
      </c>
      <c r="R231" t="s">
        <v>126</v>
      </c>
      <c r="S231" t="s">
        <v>126</v>
      </c>
      <c r="T231" t="s">
        <v>126</v>
      </c>
      <c r="U231" t="s">
        <v>126</v>
      </c>
      <c r="V231" t="s">
        <v>126</v>
      </c>
      <c r="W231" t="s">
        <v>126</v>
      </c>
      <c r="X231" t="s">
        <v>126</v>
      </c>
      <c r="Y231" t="s">
        <v>126</v>
      </c>
      <c r="Z231" t="s">
        <v>179</v>
      </c>
      <c r="AA231" t="s">
        <v>330</v>
      </c>
    </row>
    <row r="232" spans="1:27" x14ac:dyDescent="0.2">
      <c r="A232" t="s">
        <v>1156</v>
      </c>
      <c r="B232" t="s">
        <v>1157</v>
      </c>
      <c r="C232" t="s">
        <v>118</v>
      </c>
      <c r="D232" t="s">
        <v>119</v>
      </c>
      <c r="E232" t="s">
        <v>119</v>
      </c>
      <c r="G232" t="s">
        <v>118</v>
      </c>
      <c r="I232" t="s">
        <v>120</v>
      </c>
      <c r="K232" t="s">
        <v>204</v>
      </c>
      <c r="L232" t="s">
        <v>205</v>
      </c>
      <c r="M232" t="s">
        <v>1158</v>
      </c>
      <c r="N232" t="s">
        <v>396</v>
      </c>
      <c r="O232" t="s">
        <v>308</v>
      </c>
      <c r="P232" t="s">
        <v>126</v>
      </c>
      <c r="Q232" t="s">
        <v>126</v>
      </c>
      <c r="R232" t="s">
        <v>126</v>
      </c>
      <c r="S232" t="s">
        <v>126</v>
      </c>
      <c r="T232" t="s">
        <v>126</v>
      </c>
      <c r="U232" t="s">
        <v>126</v>
      </c>
      <c r="V232" t="s">
        <v>126</v>
      </c>
      <c r="W232" t="s">
        <v>126</v>
      </c>
      <c r="X232" t="s">
        <v>126</v>
      </c>
      <c r="Y232" t="s">
        <v>126</v>
      </c>
      <c r="Z232" t="s">
        <v>397</v>
      </c>
      <c r="AA232" t="s">
        <v>310</v>
      </c>
    </row>
    <row r="233" spans="1:27" x14ac:dyDescent="0.2">
      <c r="A233" t="s">
        <v>1159</v>
      </c>
      <c r="B233" t="s">
        <v>1160</v>
      </c>
      <c r="C233" t="s">
        <v>118</v>
      </c>
      <c r="D233" t="s">
        <v>119</v>
      </c>
      <c r="E233" t="s">
        <v>119</v>
      </c>
      <c r="G233" t="s">
        <v>118</v>
      </c>
      <c r="I233" t="s">
        <v>120</v>
      </c>
      <c r="K233" t="s">
        <v>130</v>
      </c>
      <c r="L233" t="s">
        <v>131</v>
      </c>
      <c r="M233" t="s">
        <v>1161</v>
      </c>
      <c r="N233" t="s">
        <v>354</v>
      </c>
      <c r="O233" t="s">
        <v>396</v>
      </c>
      <c r="P233" t="s">
        <v>126</v>
      </c>
      <c r="Q233" t="s">
        <v>126</v>
      </c>
      <c r="R233" t="s">
        <v>126</v>
      </c>
      <c r="S233" t="s">
        <v>126</v>
      </c>
      <c r="T233" t="s">
        <v>125</v>
      </c>
      <c r="U233" t="s">
        <v>126</v>
      </c>
      <c r="V233" t="s">
        <v>125</v>
      </c>
      <c r="W233" t="s">
        <v>126</v>
      </c>
      <c r="X233" t="s">
        <v>126</v>
      </c>
      <c r="Y233" t="s">
        <v>126</v>
      </c>
      <c r="Z233" t="s">
        <v>356</v>
      </c>
      <c r="AA233" t="s">
        <v>397</v>
      </c>
    </row>
    <row r="234" spans="1:27" x14ac:dyDescent="0.2">
      <c r="A234" t="s">
        <v>1162</v>
      </c>
      <c r="B234" t="s">
        <v>1163</v>
      </c>
      <c r="C234" t="s">
        <v>118</v>
      </c>
      <c r="D234" t="s">
        <v>119</v>
      </c>
      <c r="E234" t="s">
        <v>119</v>
      </c>
      <c r="G234" t="s">
        <v>118</v>
      </c>
      <c r="I234" t="s">
        <v>120</v>
      </c>
      <c r="K234" t="s">
        <v>149</v>
      </c>
      <c r="L234" t="s">
        <v>150</v>
      </c>
      <c r="M234" t="s">
        <v>1164</v>
      </c>
      <c r="N234" t="s">
        <v>299</v>
      </c>
      <c r="O234" t="s">
        <v>168</v>
      </c>
      <c r="P234" t="s">
        <v>126</v>
      </c>
      <c r="Q234" t="s">
        <v>126</v>
      </c>
      <c r="R234" t="s">
        <v>126</v>
      </c>
      <c r="S234" t="s">
        <v>126</v>
      </c>
      <c r="T234" t="s">
        <v>200</v>
      </c>
      <c r="U234" t="s">
        <v>125</v>
      </c>
      <c r="V234" t="s">
        <v>125</v>
      </c>
      <c r="W234" t="s">
        <v>126</v>
      </c>
      <c r="X234" t="s">
        <v>126</v>
      </c>
      <c r="Y234" t="s">
        <v>126</v>
      </c>
      <c r="Z234" t="s">
        <v>302</v>
      </c>
      <c r="AA234" t="s">
        <v>170</v>
      </c>
    </row>
    <row r="235" spans="1:27" x14ac:dyDescent="0.2">
      <c r="A235" t="s">
        <v>1165</v>
      </c>
      <c r="B235" t="s">
        <v>1166</v>
      </c>
      <c r="C235" t="s">
        <v>118</v>
      </c>
      <c r="D235" t="s">
        <v>119</v>
      </c>
      <c r="E235" t="s">
        <v>119</v>
      </c>
      <c r="G235" t="s">
        <v>118</v>
      </c>
      <c r="I235" t="s">
        <v>120</v>
      </c>
      <c r="K235" t="s">
        <v>553</v>
      </c>
      <c r="L235" t="s">
        <v>554</v>
      </c>
      <c r="M235" t="s">
        <v>1167</v>
      </c>
      <c r="N235" t="s">
        <v>152</v>
      </c>
      <c r="O235" t="s">
        <v>153</v>
      </c>
      <c r="P235" t="s">
        <v>126</v>
      </c>
      <c r="Q235" t="s">
        <v>126</v>
      </c>
      <c r="R235" t="s">
        <v>126</v>
      </c>
      <c r="S235" t="s">
        <v>126</v>
      </c>
      <c r="T235" t="s">
        <v>126</v>
      </c>
      <c r="U235" t="s">
        <v>126</v>
      </c>
      <c r="V235" t="s">
        <v>126</v>
      </c>
      <c r="W235" t="s">
        <v>126</v>
      </c>
      <c r="X235" t="s">
        <v>126</v>
      </c>
      <c r="Y235" t="s">
        <v>126</v>
      </c>
      <c r="Z235" t="s">
        <v>154</v>
      </c>
      <c r="AA235" t="s">
        <v>155</v>
      </c>
    </row>
    <row r="236" spans="1:27" x14ac:dyDescent="0.2">
      <c r="A236" t="s">
        <v>1168</v>
      </c>
      <c r="B236" t="s">
        <v>1169</v>
      </c>
      <c r="C236" t="s">
        <v>118</v>
      </c>
      <c r="D236" t="s">
        <v>119</v>
      </c>
      <c r="E236" t="s">
        <v>119</v>
      </c>
      <c r="G236" t="s">
        <v>118</v>
      </c>
      <c r="I236" t="s">
        <v>120</v>
      </c>
      <c r="K236" t="s">
        <v>182</v>
      </c>
      <c r="L236" t="s">
        <v>183</v>
      </c>
      <c r="M236" t="s">
        <v>1170</v>
      </c>
      <c r="N236" t="s">
        <v>353</v>
      </c>
      <c r="O236" t="s">
        <v>354</v>
      </c>
      <c r="P236" t="s">
        <v>126</v>
      </c>
      <c r="Q236" t="s">
        <v>126</v>
      </c>
      <c r="R236" t="s">
        <v>126</v>
      </c>
      <c r="S236" t="s">
        <v>126</v>
      </c>
      <c r="T236" t="s">
        <v>767</v>
      </c>
      <c r="U236" t="s">
        <v>667</v>
      </c>
      <c r="V236" t="s">
        <v>427</v>
      </c>
      <c r="W236" t="s">
        <v>126</v>
      </c>
      <c r="X236" t="s">
        <v>126</v>
      </c>
      <c r="Y236" t="s">
        <v>126</v>
      </c>
      <c r="Z236" t="s">
        <v>355</v>
      </c>
      <c r="AA236" t="s">
        <v>356</v>
      </c>
    </row>
    <row r="237" spans="1:27" x14ac:dyDescent="0.2">
      <c r="A237" t="s">
        <v>1171</v>
      </c>
      <c r="B237" t="s">
        <v>1172</v>
      </c>
      <c r="C237" t="s">
        <v>118</v>
      </c>
      <c r="D237" t="s">
        <v>119</v>
      </c>
      <c r="E237" t="s">
        <v>119</v>
      </c>
      <c r="G237" t="s">
        <v>118</v>
      </c>
      <c r="I237" t="s">
        <v>120</v>
      </c>
      <c r="K237" t="s">
        <v>158</v>
      </c>
      <c r="L237" t="s">
        <v>159</v>
      </c>
      <c r="M237" t="s">
        <v>1173</v>
      </c>
      <c r="N237" t="s">
        <v>307</v>
      </c>
      <c r="O237" t="s">
        <v>308</v>
      </c>
      <c r="P237" t="s">
        <v>126</v>
      </c>
      <c r="Q237" t="s">
        <v>126</v>
      </c>
      <c r="R237" t="s">
        <v>126</v>
      </c>
      <c r="S237" t="s">
        <v>126</v>
      </c>
      <c r="T237" t="s">
        <v>169</v>
      </c>
      <c r="U237" t="s">
        <v>126</v>
      </c>
      <c r="V237" t="s">
        <v>169</v>
      </c>
      <c r="W237" t="s">
        <v>126</v>
      </c>
      <c r="X237" t="s">
        <v>126</v>
      </c>
      <c r="Y237" t="s">
        <v>126</v>
      </c>
      <c r="Z237" t="s">
        <v>309</v>
      </c>
      <c r="AA237" t="s">
        <v>310</v>
      </c>
    </row>
    <row r="238" spans="1:27" x14ac:dyDescent="0.2">
      <c r="A238" t="s">
        <v>1174</v>
      </c>
      <c r="B238" t="s">
        <v>1175</v>
      </c>
      <c r="C238" t="s">
        <v>118</v>
      </c>
      <c r="D238" t="s">
        <v>119</v>
      </c>
      <c r="E238" t="s">
        <v>119</v>
      </c>
      <c r="G238" t="s">
        <v>118</v>
      </c>
      <c r="I238" t="s">
        <v>120</v>
      </c>
      <c r="K238" t="s">
        <v>636</v>
      </c>
      <c r="L238" t="s">
        <v>637</v>
      </c>
      <c r="M238" t="s">
        <v>1176</v>
      </c>
      <c r="N238" t="s">
        <v>599</v>
      </c>
      <c r="O238" t="s">
        <v>1177</v>
      </c>
      <c r="P238" t="s">
        <v>125</v>
      </c>
      <c r="Q238" t="s">
        <v>126</v>
      </c>
      <c r="R238" t="s">
        <v>126</v>
      </c>
      <c r="S238" t="s">
        <v>126</v>
      </c>
      <c r="T238" t="s">
        <v>126</v>
      </c>
      <c r="U238" t="s">
        <v>126</v>
      </c>
      <c r="V238" t="s">
        <v>126</v>
      </c>
      <c r="W238" t="s">
        <v>126</v>
      </c>
      <c r="X238" t="s">
        <v>126</v>
      </c>
      <c r="Y238" t="s">
        <v>126</v>
      </c>
      <c r="Z238" t="s">
        <v>601</v>
      </c>
      <c r="AA238" t="s">
        <v>1178</v>
      </c>
    </row>
    <row r="239" spans="1:27" x14ac:dyDescent="0.2">
      <c r="A239" t="s">
        <v>1179</v>
      </c>
      <c r="B239" t="s">
        <v>1180</v>
      </c>
      <c r="C239" t="s">
        <v>118</v>
      </c>
      <c r="D239" t="s">
        <v>119</v>
      </c>
      <c r="E239" t="s">
        <v>119</v>
      </c>
      <c r="G239" t="s">
        <v>118</v>
      </c>
      <c r="I239" t="s">
        <v>120</v>
      </c>
      <c r="K239" t="s">
        <v>139</v>
      </c>
      <c r="L239" t="s">
        <v>140</v>
      </c>
      <c r="M239" t="s">
        <v>1181</v>
      </c>
      <c r="N239" t="s">
        <v>396</v>
      </c>
      <c r="O239" t="s">
        <v>168</v>
      </c>
      <c r="P239" t="s">
        <v>126</v>
      </c>
      <c r="Q239" t="s">
        <v>126</v>
      </c>
      <c r="R239" t="s">
        <v>126</v>
      </c>
      <c r="S239" t="s">
        <v>126</v>
      </c>
      <c r="T239" t="s">
        <v>125</v>
      </c>
      <c r="U239" t="s">
        <v>126</v>
      </c>
      <c r="V239" t="s">
        <v>125</v>
      </c>
      <c r="W239" t="s">
        <v>126</v>
      </c>
      <c r="X239" t="s">
        <v>126</v>
      </c>
      <c r="Y239" t="s">
        <v>126</v>
      </c>
      <c r="Z239" t="s">
        <v>397</v>
      </c>
      <c r="AA239" t="s">
        <v>170</v>
      </c>
    </row>
    <row r="240" spans="1:27" x14ac:dyDescent="0.2">
      <c r="A240" t="s">
        <v>1182</v>
      </c>
      <c r="B240" t="s">
        <v>1183</v>
      </c>
      <c r="C240" t="s">
        <v>118</v>
      </c>
      <c r="D240" t="s">
        <v>119</v>
      </c>
      <c r="E240" t="s">
        <v>119</v>
      </c>
      <c r="G240" t="s">
        <v>118</v>
      </c>
      <c r="I240" t="s">
        <v>120</v>
      </c>
      <c r="K240" t="s">
        <v>149</v>
      </c>
      <c r="L240" t="s">
        <v>150</v>
      </c>
      <c r="M240" t="s">
        <v>1184</v>
      </c>
      <c r="N240" t="s">
        <v>314</v>
      </c>
      <c r="O240" t="s">
        <v>236</v>
      </c>
      <c r="P240" t="s">
        <v>126</v>
      </c>
      <c r="Q240" t="s">
        <v>126</v>
      </c>
      <c r="R240" t="s">
        <v>126</v>
      </c>
      <c r="S240" t="s">
        <v>126</v>
      </c>
      <c r="T240" t="s">
        <v>169</v>
      </c>
      <c r="U240" t="s">
        <v>126</v>
      </c>
      <c r="V240" t="s">
        <v>169</v>
      </c>
      <c r="W240" t="s">
        <v>126</v>
      </c>
      <c r="X240" t="s">
        <v>126</v>
      </c>
      <c r="Y240" t="s">
        <v>126</v>
      </c>
      <c r="Z240" t="s">
        <v>315</v>
      </c>
      <c r="AA240" t="s">
        <v>238</v>
      </c>
    </row>
    <row r="241" spans="1:27" x14ac:dyDescent="0.2">
      <c r="A241" t="s">
        <v>1185</v>
      </c>
      <c r="B241" t="s">
        <v>1186</v>
      </c>
      <c r="C241" t="s">
        <v>118</v>
      </c>
      <c r="D241" t="s">
        <v>119</v>
      </c>
      <c r="E241" t="s">
        <v>119</v>
      </c>
      <c r="G241" t="s">
        <v>118</v>
      </c>
      <c r="I241" t="s">
        <v>120</v>
      </c>
      <c r="K241" t="s">
        <v>204</v>
      </c>
      <c r="L241" t="s">
        <v>205</v>
      </c>
      <c r="M241" t="s">
        <v>1187</v>
      </c>
      <c r="N241" t="s">
        <v>353</v>
      </c>
      <c r="O241" t="s">
        <v>354</v>
      </c>
      <c r="P241" t="s">
        <v>126</v>
      </c>
      <c r="Q241" t="s">
        <v>126</v>
      </c>
      <c r="R241" t="s">
        <v>126</v>
      </c>
      <c r="S241" t="s">
        <v>126</v>
      </c>
      <c r="T241" t="s">
        <v>169</v>
      </c>
      <c r="U241" t="s">
        <v>126</v>
      </c>
      <c r="V241" t="s">
        <v>169</v>
      </c>
      <c r="W241" t="s">
        <v>126</v>
      </c>
      <c r="X241" t="s">
        <v>126</v>
      </c>
      <c r="Y241" t="s">
        <v>126</v>
      </c>
      <c r="Z241" t="s">
        <v>355</v>
      </c>
      <c r="AA241" t="s">
        <v>356</v>
      </c>
    </row>
    <row r="242" spans="1:27" x14ac:dyDescent="0.2">
      <c r="A242" t="s">
        <v>1188</v>
      </c>
      <c r="B242" t="s">
        <v>1189</v>
      </c>
      <c r="C242" t="s">
        <v>118</v>
      </c>
      <c r="D242" t="s">
        <v>119</v>
      </c>
      <c r="E242" t="s">
        <v>119</v>
      </c>
      <c r="G242" t="s">
        <v>118</v>
      </c>
      <c r="I242" t="s">
        <v>120</v>
      </c>
      <c r="K242" t="s">
        <v>636</v>
      </c>
      <c r="L242" t="s">
        <v>637</v>
      </c>
      <c r="M242" t="s">
        <v>1190</v>
      </c>
      <c r="N242" t="s">
        <v>308</v>
      </c>
      <c r="O242" t="s">
        <v>361</v>
      </c>
      <c r="P242" t="s">
        <v>126</v>
      </c>
      <c r="Q242" t="s">
        <v>126</v>
      </c>
      <c r="R242" t="s">
        <v>126</v>
      </c>
      <c r="S242" t="s">
        <v>126</v>
      </c>
      <c r="T242" t="s">
        <v>126</v>
      </c>
      <c r="U242" t="s">
        <v>126</v>
      </c>
      <c r="V242" t="s">
        <v>126</v>
      </c>
      <c r="W242" t="s">
        <v>126</v>
      </c>
      <c r="X242" t="s">
        <v>126</v>
      </c>
      <c r="Y242" t="s">
        <v>126</v>
      </c>
      <c r="Z242" t="s">
        <v>310</v>
      </c>
      <c r="AA242" t="s">
        <v>362</v>
      </c>
    </row>
    <row r="243" spans="1:27" x14ac:dyDescent="0.2">
      <c r="A243" t="s">
        <v>1191</v>
      </c>
      <c r="B243" t="s">
        <v>1192</v>
      </c>
      <c r="C243" t="s">
        <v>118</v>
      </c>
      <c r="D243" t="s">
        <v>119</v>
      </c>
      <c r="E243" t="s">
        <v>119</v>
      </c>
      <c r="G243" t="s">
        <v>118</v>
      </c>
      <c r="I243" t="s">
        <v>120</v>
      </c>
      <c r="K243" t="s">
        <v>204</v>
      </c>
      <c r="L243" t="s">
        <v>205</v>
      </c>
      <c r="M243" t="s">
        <v>1193</v>
      </c>
      <c r="N243" t="s">
        <v>287</v>
      </c>
      <c r="O243" t="s">
        <v>396</v>
      </c>
      <c r="P243" t="s">
        <v>126</v>
      </c>
      <c r="Q243" t="s">
        <v>126</v>
      </c>
      <c r="R243" t="s">
        <v>126</v>
      </c>
      <c r="S243" t="s">
        <v>126</v>
      </c>
      <c r="T243" t="s">
        <v>125</v>
      </c>
      <c r="U243" t="s">
        <v>126</v>
      </c>
      <c r="V243" t="s">
        <v>125</v>
      </c>
      <c r="W243" t="s">
        <v>126</v>
      </c>
      <c r="X243" t="s">
        <v>126</v>
      </c>
      <c r="Y243" t="s">
        <v>126</v>
      </c>
      <c r="Z243" t="s">
        <v>288</v>
      </c>
      <c r="AA243" t="s">
        <v>397</v>
      </c>
    </row>
    <row r="244" spans="1:27" x14ac:dyDescent="0.2">
      <c r="A244" t="s">
        <v>1194</v>
      </c>
      <c r="B244" t="s">
        <v>1195</v>
      </c>
      <c r="C244" t="s">
        <v>118</v>
      </c>
      <c r="D244" t="s">
        <v>119</v>
      </c>
      <c r="E244" t="s">
        <v>119</v>
      </c>
      <c r="G244" t="s">
        <v>118</v>
      </c>
      <c r="I244" t="s">
        <v>120</v>
      </c>
      <c r="K244" t="s">
        <v>130</v>
      </c>
      <c r="L244" t="s">
        <v>131</v>
      </c>
      <c r="M244" t="s">
        <v>1196</v>
      </c>
      <c r="N244" t="s">
        <v>262</v>
      </c>
      <c r="O244" t="s">
        <v>1197</v>
      </c>
      <c r="P244" t="s">
        <v>126</v>
      </c>
      <c r="Q244" t="s">
        <v>126</v>
      </c>
      <c r="R244" t="s">
        <v>126</v>
      </c>
      <c r="S244" t="s">
        <v>126</v>
      </c>
      <c r="T244" t="s">
        <v>126</v>
      </c>
      <c r="U244" t="s">
        <v>126</v>
      </c>
      <c r="V244" t="s">
        <v>126</v>
      </c>
      <c r="W244" t="s">
        <v>126</v>
      </c>
      <c r="X244" t="s">
        <v>126</v>
      </c>
      <c r="Y244" t="s">
        <v>126</v>
      </c>
      <c r="Z244" t="s">
        <v>265</v>
      </c>
      <c r="AA244" t="s">
        <v>1198</v>
      </c>
    </row>
    <row r="245" spans="1:27" x14ac:dyDescent="0.2">
      <c r="A245" t="s">
        <v>1199</v>
      </c>
      <c r="B245" t="s">
        <v>1200</v>
      </c>
      <c r="C245" t="s">
        <v>118</v>
      </c>
      <c r="D245" t="s">
        <v>119</v>
      </c>
      <c r="E245" t="s">
        <v>119</v>
      </c>
      <c r="G245" t="s">
        <v>118</v>
      </c>
      <c r="I245" t="s">
        <v>120</v>
      </c>
      <c r="K245" t="s">
        <v>852</v>
      </c>
      <c r="L245" t="s">
        <v>853</v>
      </c>
      <c r="M245" t="s">
        <v>1201</v>
      </c>
      <c r="N245" t="s">
        <v>1022</v>
      </c>
      <c r="O245" t="s">
        <v>153</v>
      </c>
      <c r="P245" t="s">
        <v>126</v>
      </c>
      <c r="Q245" t="s">
        <v>126</v>
      </c>
      <c r="R245" t="s">
        <v>126</v>
      </c>
      <c r="S245" t="s">
        <v>126</v>
      </c>
      <c r="T245" t="s">
        <v>200</v>
      </c>
      <c r="U245" t="s">
        <v>126</v>
      </c>
      <c r="V245" t="s">
        <v>200</v>
      </c>
      <c r="W245" t="s">
        <v>126</v>
      </c>
      <c r="X245" t="s">
        <v>126</v>
      </c>
      <c r="Y245" t="s">
        <v>126</v>
      </c>
      <c r="Z245" t="s">
        <v>1023</v>
      </c>
      <c r="AA245" t="s">
        <v>155</v>
      </c>
    </row>
    <row r="246" spans="1:27" x14ac:dyDescent="0.2">
      <c r="A246" t="s">
        <v>1202</v>
      </c>
      <c r="B246" t="s">
        <v>1203</v>
      </c>
      <c r="C246" t="s">
        <v>118</v>
      </c>
      <c r="D246" t="s">
        <v>119</v>
      </c>
      <c r="E246" t="s">
        <v>119</v>
      </c>
      <c r="G246" t="s">
        <v>118</v>
      </c>
      <c r="I246" t="s">
        <v>120</v>
      </c>
      <c r="K246" t="s">
        <v>204</v>
      </c>
      <c r="L246" t="s">
        <v>205</v>
      </c>
      <c r="M246" t="s">
        <v>1204</v>
      </c>
      <c r="N246" t="s">
        <v>162</v>
      </c>
      <c r="O246" t="s">
        <v>199</v>
      </c>
      <c r="P246" t="s">
        <v>126</v>
      </c>
      <c r="Q246" t="s">
        <v>126</v>
      </c>
      <c r="R246" t="s">
        <v>126</v>
      </c>
      <c r="S246" t="s">
        <v>126</v>
      </c>
      <c r="T246" t="s">
        <v>125</v>
      </c>
      <c r="U246" t="s">
        <v>126</v>
      </c>
      <c r="V246" t="s">
        <v>125</v>
      </c>
      <c r="W246" t="s">
        <v>126</v>
      </c>
      <c r="X246" t="s">
        <v>126</v>
      </c>
      <c r="Y246" t="s">
        <v>126</v>
      </c>
      <c r="Z246" t="s">
        <v>164</v>
      </c>
      <c r="AA246" t="s">
        <v>201</v>
      </c>
    </row>
    <row r="247" spans="1:27" x14ac:dyDescent="0.2">
      <c r="A247" t="s">
        <v>1205</v>
      </c>
      <c r="B247" t="s">
        <v>1206</v>
      </c>
      <c r="C247" t="s">
        <v>118</v>
      </c>
      <c r="D247" t="s">
        <v>119</v>
      </c>
      <c r="E247" t="s">
        <v>119</v>
      </c>
      <c r="G247" t="s">
        <v>118</v>
      </c>
      <c r="I247" t="s">
        <v>120</v>
      </c>
      <c r="K247" t="s">
        <v>636</v>
      </c>
      <c r="L247" t="s">
        <v>637</v>
      </c>
      <c r="M247" t="s">
        <v>1207</v>
      </c>
      <c r="N247" t="s">
        <v>314</v>
      </c>
      <c r="O247" t="s">
        <v>227</v>
      </c>
      <c r="P247" t="s">
        <v>126</v>
      </c>
      <c r="Q247" t="s">
        <v>126</v>
      </c>
      <c r="R247" t="s">
        <v>126</v>
      </c>
      <c r="S247" t="s">
        <v>126</v>
      </c>
      <c r="T247" t="s">
        <v>200</v>
      </c>
      <c r="U247" t="s">
        <v>126</v>
      </c>
      <c r="V247" t="s">
        <v>200</v>
      </c>
      <c r="W247" t="s">
        <v>126</v>
      </c>
      <c r="X247" t="s">
        <v>126</v>
      </c>
      <c r="Y247" t="s">
        <v>126</v>
      </c>
      <c r="Z247" t="s">
        <v>315</v>
      </c>
      <c r="AA247" t="s">
        <v>229</v>
      </c>
    </row>
    <row r="248" spans="1:27" x14ac:dyDescent="0.2">
      <c r="A248" t="s">
        <v>1208</v>
      </c>
      <c r="B248" t="s">
        <v>1209</v>
      </c>
      <c r="C248" t="s">
        <v>118</v>
      </c>
      <c r="D248" t="s">
        <v>119</v>
      </c>
      <c r="E248" t="s">
        <v>119</v>
      </c>
      <c r="G248" t="s">
        <v>118</v>
      </c>
      <c r="I248" t="s">
        <v>120</v>
      </c>
      <c r="K248" t="s">
        <v>130</v>
      </c>
      <c r="L248" t="s">
        <v>131</v>
      </c>
      <c r="M248" t="s">
        <v>1210</v>
      </c>
      <c r="N248" t="s">
        <v>227</v>
      </c>
      <c r="O248" t="s">
        <v>1211</v>
      </c>
      <c r="P248" t="s">
        <v>126</v>
      </c>
      <c r="Q248" t="s">
        <v>126</v>
      </c>
      <c r="R248" t="s">
        <v>126</v>
      </c>
      <c r="S248" t="s">
        <v>126</v>
      </c>
      <c r="T248" t="s">
        <v>125</v>
      </c>
      <c r="U248" t="s">
        <v>125</v>
      </c>
      <c r="V248" t="s">
        <v>126</v>
      </c>
      <c r="W248" t="s">
        <v>126</v>
      </c>
      <c r="X248" t="s">
        <v>126</v>
      </c>
      <c r="Y248" t="s">
        <v>126</v>
      </c>
      <c r="Z248" t="s">
        <v>229</v>
      </c>
      <c r="AA248" t="s">
        <v>1212</v>
      </c>
    </row>
    <row r="249" spans="1:27" x14ac:dyDescent="0.2">
      <c r="A249" t="s">
        <v>1213</v>
      </c>
      <c r="B249" t="s">
        <v>1214</v>
      </c>
      <c r="C249" t="s">
        <v>118</v>
      </c>
      <c r="D249" t="s">
        <v>119</v>
      </c>
      <c r="E249" t="s">
        <v>119</v>
      </c>
      <c r="G249" t="s">
        <v>118</v>
      </c>
      <c r="I249" t="s">
        <v>120</v>
      </c>
      <c r="K249" t="s">
        <v>204</v>
      </c>
      <c r="L249" t="s">
        <v>205</v>
      </c>
      <c r="M249" t="s">
        <v>1215</v>
      </c>
      <c r="N249" t="s">
        <v>161</v>
      </c>
      <c r="O249" t="s">
        <v>162</v>
      </c>
      <c r="P249" t="s">
        <v>125</v>
      </c>
      <c r="Q249" t="s">
        <v>126</v>
      </c>
      <c r="R249" t="s">
        <v>126</v>
      </c>
      <c r="S249" t="s">
        <v>126</v>
      </c>
      <c r="T249" t="s">
        <v>126</v>
      </c>
      <c r="U249" t="s">
        <v>126</v>
      </c>
      <c r="V249" t="s">
        <v>126</v>
      </c>
      <c r="W249" t="s">
        <v>126</v>
      </c>
      <c r="X249" t="s">
        <v>126</v>
      </c>
      <c r="Y249" t="s">
        <v>126</v>
      </c>
      <c r="Z249" t="s">
        <v>163</v>
      </c>
      <c r="AA249" t="s">
        <v>164</v>
      </c>
    </row>
    <row r="250" spans="1:27" x14ac:dyDescent="0.2">
      <c r="A250" t="s">
        <v>1216</v>
      </c>
      <c r="B250" t="s">
        <v>1217</v>
      </c>
      <c r="C250" t="s">
        <v>118</v>
      </c>
      <c r="D250" t="s">
        <v>119</v>
      </c>
      <c r="E250" t="s">
        <v>119</v>
      </c>
      <c r="G250" t="s">
        <v>118</v>
      </c>
      <c r="I250" t="s">
        <v>120</v>
      </c>
      <c r="K250" t="s">
        <v>158</v>
      </c>
      <c r="L250" t="s">
        <v>159</v>
      </c>
      <c r="M250" t="s">
        <v>1218</v>
      </c>
      <c r="N250" t="s">
        <v>236</v>
      </c>
      <c r="O250" t="s">
        <v>1197</v>
      </c>
      <c r="P250" t="s">
        <v>126</v>
      </c>
      <c r="Q250" t="s">
        <v>126</v>
      </c>
      <c r="R250" t="s">
        <v>126</v>
      </c>
      <c r="S250" t="s">
        <v>126</v>
      </c>
      <c r="T250" t="s">
        <v>125</v>
      </c>
      <c r="U250" t="s">
        <v>126</v>
      </c>
      <c r="V250" t="s">
        <v>125</v>
      </c>
      <c r="W250" t="s">
        <v>126</v>
      </c>
      <c r="X250" t="s">
        <v>126</v>
      </c>
      <c r="Y250" t="s">
        <v>126</v>
      </c>
      <c r="Z250" t="s">
        <v>238</v>
      </c>
      <c r="AA250" t="s">
        <v>1198</v>
      </c>
    </row>
    <row r="251" spans="1:27" x14ac:dyDescent="0.2">
      <c r="A251" t="s">
        <v>1219</v>
      </c>
      <c r="B251" t="s">
        <v>1220</v>
      </c>
      <c r="C251" t="s">
        <v>118</v>
      </c>
      <c r="D251" t="s">
        <v>119</v>
      </c>
      <c r="E251" t="s">
        <v>119</v>
      </c>
      <c r="G251" t="s">
        <v>118</v>
      </c>
      <c r="I251" t="s">
        <v>120</v>
      </c>
      <c r="K251" t="s">
        <v>232</v>
      </c>
      <c r="L251" t="s">
        <v>233</v>
      </c>
      <c r="M251" t="s">
        <v>1221</v>
      </c>
      <c r="N251" t="s">
        <v>242</v>
      </c>
      <c r="O251" t="s">
        <v>1222</v>
      </c>
      <c r="P251" t="s">
        <v>126</v>
      </c>
      <c r="Q251" t="s">
        <v>126</v>
      </c>
      <c r="R251" t="s">
        <v>126</v>
      </c>
      <c r="S251" t="s">
        <v>126</v>
      </c>
      <c r="T251" t="s">
        <v>200</v>
      </c>
      <c r="U251" t="s">
        <v>126</v>
      </c>
      <c r="V251" t="s">
        <v>200</v>
      </c>
      <c r="W251" t="s">
        <v>126</v>
      </c>
      <c r="X251" t="s">
        <v>126</v>
      </c>
      <c r="Y251" t="s">
        <v>126</v>
      </c>
      <c r="Z251" t="s">
        <v>244</v>
      </c>
      <c r="AA251" t="s">
        <v>1223</v>
      </c>
    </row>
    <row r="252" spans="1:27" x14ac:dyDescent="0.2">
      <c r="A252" t="s">
        <v>1224</v>
      </c>
      <c r="B252" t="s">
        <v>1225</v>
      </c>
      <c r="C252" t="s">
        <v>118</v>
      </c>
      <c r="D252" t="s">
        <v>119</v>
      </c>
      <c r="E252" t="s">
        <v>119</v>
      </c>
      <c r="G252" t="s">
        <v>118</v>
      </c>
      <c r="I252" t="s">
        <v>120</v>
      </c>
      <c r="K252" t="s">
        <v>232</v>
      </c>
      <c r="L252" t="s">
        <v>233</v>
      </c>
      <c r="M252" t="s">
        <v>1226</v>
      </c>
      <c r="N252" t="s">
        <v>236</v>
      </c>
      <c r="O252" t="s">
        <v>1197</v>
      </c>
      <c r="P252" t="s">
        <v>126</v>
      </c>
      <c r="Q252" t="s">
        <v>126</v>
      </c>
      <c r="R252" t="s">
        <v>126</v>
      </c>
      <c r="S252" t="s">
        <v>126</v>
      </c>
      <c r="T252" t="s">
        <v>200</v>
      </c>
      <c r="U252" t="s">
        <v>126</v>
      </c>
      <c r="V252" t="s">
        <v>200</v>
      </c>
      <c r="W252" t="s">
        <v>126</v>
      </c>
      <c r="X252" t="s">
        <v>126</v>
      </c>
      <c r="Y252" t="s">
        <v>126</v>
      </c>
      <c r="Z252" t="s">
        <v>238</v>
      </c>
      <c r="AA252" t="s">
        <v>1198</v>
      </c>
    </row>
    <row r="253" spans="1:27" x14ac:dyDescent="0.2">
      <c r="A253" t="s">
        <v>1227</v>
      </c>
      <c r="B253" t="s">
        <v>1228</v>
      </c>
      <c r="C253" t="s">
        <v>118</v>
      </c>
      <c r="D253" t="s">
        <v>119</v>
      </c>
      <c r="E253" t="s">
        <v>119</v>
      </c>
      <c r="G253" t="s">
        <v>118</v>
      </c>
      <c r="I253" t="s">
        <v>120</v>
      </c>
      <c r="K253" t="s">
        <v>130</v>
      </c>
      <c r="L253" t="s">
        <v>131</v>
      </c>
      <c r="M253" t="s">
        <v>1229</v>
      </c>
      <c r="N253" t="s">
        <v>161</v>
      </c>
      <c r="O253" t="s">
        <v>1230</v>
      </c>
      <c r="P253" t="s">
        <v>125</v>
      </c>
      <c r="Q253" t="s">
        <v>126</v>
      </c>
      <c r="R253" t="s">
        <v>126</v>
      </c>
      <c r="S253" t="s">
        <v>126</v>
      </c>
      <c r="T253" t="s">
        <v>125</v>
      </c>
      <c r="U253" t="s">
        <v>126</v>
      </c>
      <c r="V253" t="s">
        <v>125</v>
      </c>
      <c r="W253" t="s">
        <v>126</v>
      </c>
      <c r="X253" t="s">
        <v>126</v>
      </c>
      <c r="Y253" t="s">
        <v>126</v>
      </c>
      <c r="Z253" t="s">
        <v>163</v>
      </c>
      <c r="AA253" t="s">
        <v>1231</v>
      </c>
    </row>
    <row r="254" spans="1:27" x14ac:dyDescent="0.2">
      <c r="A254" t="s">
        <v>1232</v>
      </c>
      <c r="B254" t="s">
        <v>1233</v>
      </c>
      <c r="C254" t="s">
        <v>118</v>
      </c>
      <c r="D254" t="s">
        <v>119</v>
      </c>
      <c r="E254" t="s">
        <v>119</v>
      </c>
      <c r="G254" t="s">
        <v>118</v>
      </c>
      <c r="I254" t="s">
        <v>120</v>
      </c>
      <c r="K254" t="s">
        <v>291</v>
      </c>
      <c r="L254" t="s">
        <v>292</v>
      </c>
      <c r="M254" t="s">
        <v>1234</v>
      </c>
      <c r="N254" t="s">
        <v>161</v>
      </c>
      <c r="O254" t="s">
        <v>1235</v>
      </c>
      <c r="P254" t="s">
        <v>125</v>
      </c>
      <c r="Q254" t="s">
        <v>126</v>
      </c>
      <c r="R254" t="s">
        <v>126</v>
      </c>
      <c r="S254" t="s">
        <v>126</v>
      </c>
      <c r="T254" t="s">
        <v>125</v>
      </c>
      <c r="U254" t="s">
        <v>126</v>
      </c>
      <c r="V254" t="s">
        <v>125</v>
      </c>
      <c r="W254" t="s">
        <v>126</v>
      </c>
      <c r="X254" t="s">
        <v>126</v>
      </c>
      <c r="Y254" t="s">
        <v>126</v>
      </c>
      <c r="Z254" t="s">
        <v>163</v>
      </c>
      <c r="AA254" t="s">
        <v>1236</v>
      </c>
    </row>
    <row r="255" spans="1:27" x14ac:dyDescent="0.2">
      <c r="A255" t="s">
        <v>1237</v>
      </c>
      <c r="B255" t="s">
        <v>1238</v>
      </c>
      <c r="C255" t="s">
        <v>118</v>
      </c>
      <c r="D255" t="s">
        <v>119</v>
      </c>
      <c r="E255" t="s">
        <v>119</v>
      </c>
      <c r="G255" t="s">
        <v>118</v>
      </c>
      <c r="I255" t="s">
        <v>120</v>
      </c>
      <c r="K255" t="s">
        <v>158</v>
      </c>
      <c r="L255" t="s">
        <v>159</v>
      </c>
      <c r="M255" t="s">
        <v>1239</v>
      </c>
      <c r="N255" t="s">
        <v>1240</v>
      </c>
      <c r="O255" t="s">
        <v>1241</v>
      </c>
      <c r="P255" t="s">
        <v>125</v>
      </c>
      <c r="Q255" t="s">
        <v>126</v>
      </c>
      <c r="R255" t="s">
        <v>126</v>
      </c>
      <c r="S255" t="s">
        <v>126</v>
      </c>
      <c r="T255" t="s">
        <v>125</v>
      </c>
      <c r="U255" t="s">
        <v>126</v>
      </c>
      <c r="V255" t="s">
        <v>125</v>
      </c>
      <c r="W255" t="s">
        <v>126</v>
      </c>
      <c r="X255" t="s">
        <v>126</v>
      </c>
      <c r="Y255" t="s">
        <v>126</v>
      </c>
      <c r="Z255" t="s">
        <v>1242</v>
      </c>
      <c r="AA255" t="s">
        <v>1243</v>
      </c>
    </row>
    <row r="256" spans="1:27" x14ac:dyDescent="0.2">
      <c r="A256" t="s">
        <v>1244</v>
      </c>
      <c r="B256" t="s">
        <v>1245</v>
      </c>
      <c r="C256" t="s">
        <v>118</v>
      </c>
      <c r="D256" t="s">
        <v>119</v>
      </c>
      <c r="E256" t="s">
        <v>119</v>
      </c>
      <c r="G256" t="s">
        <v>118</v>
      </c>
      <c r="I256" t="s">
        <v>120</v>
      </c>
      <c r="K256" t="s">
        <v>291</v>
      </c>
      <c r="L256" t="s">
        <v>292</v>
      </c>
      <c r="M256" t="s">
        <v>1246</v>
      </c>
      <c r="N256" t="s">
        <v>153</v>
      </c>
      <c r="O256" t="s">
        <v>478</v>
      </c>
      <c r="P256" t="s">
        <v>126</v>
      </c>
      <c r="Q256" t="s">
        <v>126</v>
      </c>
      <c r="R256" t="s">
        <v>126</v>
      </c>
      <c r="S256" t="s">
        <v>126</v>
      </c>
      <c r="T256" t="s">
        <v>200</v>
      </c>
      <c r="U256" t="s">
        <v>126</v>
      </c>
      <c r="V256" t="s">
        <v>200</v>
      </c>
      <c r="W256" t="s">
        <v>126</v>
      </c>
      <c r="X256" t="s">
        <v>126</v>
      </c>
      <c r="Y256" t="s">
        <v>126</v>
      </c>
      <c r="Z256" t="s">
        <v>155</v>
      </c>
      <c r="AA256" t="s">
        <v>479</v>
      </c>
    </row>
    <row r="257" spans="1:27" x14ac:dyDescent="0.2">
      <c r="A257" t="s">
        <v>1247</v>
      </c>
      <c r="B257" t="s">
        <v>1248</v>
      </c>
      <c r="C257" t="s">
        <v>118</v>
      </c>
      <c r="D257" t="s">
        <v>119</v>
      </c>
      <c r="E257" t="s">
        <v>119</v>
      </c>
      <c r="G257" t="s">
        <v>118</v>
      </c>
      <c r="I257" t="s">
        <v>120</v>
      </c>
      <c r="K257" t="s">
        <v>204</v>
      </c>
      <c r="L257" t="s">
        <v>205</v>
      </c>
      <c r="M257" t="s">
        <v>1249</v>
      </c>
      <c r="N257" t="s">
        <v>1250</v>
      </c>
      <c r="O257" t="s">
        <v>1251</v>
      </c>
      <c r="P257" t="s">
        <v>125</v>
      </c>
      <c r="Q257" t="s">
        <v>126</v>
      </c>
      <c r="R257" t="s">
        <v>126</v>
      </c>
      <c r="S257" t="s">
        <v>126</v>
      </c>
      <c r="T257" t="s">
        <v>126</v>
      </c>
      <c r="U257" t="s">
        <v>126</v>
      </c>
      <c r="V257" t="s">
        <v>126</v>
      </c>
      <c r="W257" t="s">
        <v>126</v>
      </c>
      <c r="X257" t="s">
        <v>126</v>
      </c>
      <c r="Y257" t="s">
        <v>126</v>
      </c>
      <c r="Z257" t="s">
        <v>1252</v>
      </c>
      <c r="AA257" t="s">
        <v>1253</v>
      </c>
    </row>
    <row r="258" spans="1:27" x14ac:dyDescent="0.2">
      <c r="A258" t="s">
        <v>1254</v>
      </c>
      <c r="B258" t="s">
        <v>1255</v>
      </c>
      <c r="C258" t="s">
        <v>118</v>
      </c>
      <c r="D258" t="s">
        <v>119</v>
      </c>
      <c r="E258" t="s">
        <v>119</v>
      </c>
      <c r="G258" t="s">
        <v>118</v>
      </c>
      <c r="I258" t="s">
        <v>120</v>
      </c>
      <c r="K258" t="s">
        <v>173</v>
      </c>
      <c r="L258" t="s">
        <v>174</v>
      </c>
      <c r="M258" t="s">
        <v>1256</v>
      </c>
      <c r="N258" t="s">
        <v>226</v>
      </c>
      <c r="O258" t="s">
        <v>262</v>
      </c>
      <c r="P258" t="s">
        <v>126</v>
      </c>
      <c r="Q258" t="s">
        <v>126</v>
      </c>
      <c r="R258" t="s">
        <v>126</v>
      </c>
      <c r="S258" t="s">
        <v>126</v>
      </c>
      <c r="T258" t="s">
        <v>125</v>
      </c>
      <c r="U258" t="s">
        <v>126</v>
      </c>
      <c r="V258" t="s">
        <v>125</v>
      </c>
      <c r="W258" t="s">
        <v>126</v>
      </c>
      <c r="X258" t="s">
        <v>126</v>
      </c>
      <c r="Y258" t="s">
        <v>126</v>
      </c>
      <c r="Z258" t="s">
        <v>228</v>
      </c>
      <c r="AA258" t="s">
        <v>265</v>
      </c>
    </row>
    <row r="259" spans="1:27" x14ac:dyDescent="0.2">
      <c r="A259" t="s">
        <v>1257</v>
      </c>
      <c r="B259" t="s">
        <v>1258</v>
      </c>
      <c r="C259" t="s">
        <v>118</v>
      </c>
      <c r="D259" t="s">
        <v>119</v>
      </c>
      <c r="E259" t="s">
        <v>119</v>
      </c>
      <c r="G259" t="s">
        <v>118</v>
      </c>
      <c r="I259" t="s">
        <v>120</v>
      </c>
      <c r="K259" t="s">
        <v>204</v>
      </c>
      <c r="L259" t="s">
        <v>205</v>
      </c>
      <c r="M259" t="s">
        <v>1259</v>
      </c>
      <c r="N259" t="s">
        <v>307</v>
      </c>
      <c r="O259" t="s">
        <v>308</v>
      </c>
      <c r="P259" t="s">
        <v>126</v>
      </c>
      <c r="Q259" t="s">
        <v>126</v>
      </c>
      <c r="R259" t="s">
        <v>126</v>
      </c>
      <c r="S259" t="s">
        <v>126</v>
      </c>
      <c r="T259" t="s">
        <v>264</v>
      </c>
      <c r="U259" t="s">
        <v>126</v>
      </c>
      <c r="V259" t="s">
        <v>264</v>
      </c>
      <c r="W259" t="s">
        <v>126</v>
      </c>
      <c r="X259" t="s">
        <v>126</v>
      </c>
      <c r="Y259" t="s">
        <v>126</v>
      </c>
      <c r="Z259" t="s">
        <v>309</v>
      </c>
      <c r="AA259" t="s">
        <v>310</v>
      </c>
    </row>
    <row r="260" spans="1:27" x14ac:dyDescent="0.2">
      <c r="A260" t="s">
        <v>1260</v>
      </c>
      <c r="B260" t="s">
        <v>1261</v>
      </c>
      <c r="C260" t="s">
        <v>118</v>
      </c>
      <c r="D260" t="s">
        <v>119</v>
      </c>
      <c r="E260" t="s">
        <v>119</v>
      </c>
      <c r="G260" t="s">
        <v>118</v>
      </c>
      <c r="I260" t="s">
        <v>120</v>
      </c>
      <c r="K260" t="s">
        <v>440</v>
      </c>
      <c r="L260" t="s">
        <v>441</v>
      </c>
      <c r="M260" t="s">
        <v>1262</v>
      </c>
      <c r="N260" t="s">
        <v>280</v>
      </c>
      <c r="O260" t="s">
        <v>343</v>
      </c>
      <c r="P260" t="s">
        <v>126</v>
      </c>
      <c r="Q260" t="s">
        <v>126</v>
      </c>
      <c r="R260" t="s">
        <v>126</v>
      </c>
      <c r="S260" t="s">
        <v>126</v>
      </c>
      <c r="T260" t="s">
        <v>126</v>
      </c>
      <c r="U260" t="s">
        <v>126</v>
      </c>
      <c r="V260" t="s">
        <v>126</v>
      </c>
      <c r="W260" t="s">
        <v>126</v>
      </c>
      <c r="X260" t="s">
        <v>126</v>
      </c>
      <c r="Y260" t="s">
        <v>126</v>
      </c>
      <c r="Z260" t="s">
        <v>282</v>
      </c>
      <c r="AA260" t="s">
        <v>344</v>
      </c>
    </row>
    <row r="261" spans="1:27" x14ac:dyDescent="0.2">
      <c r="A261" t="s">
        <v>1263</v>
      </c>
      <c r="B261" t="s">
        <v>1264</v>
      </c>
      <c r="C261" t="s">
        <v>118</v>
      </c>
      <c r="D261" t="s">
        <v>119</v>
      </c>
      <c r="E261" t="s">
        <v>119</v>
      </c>
      <c r="G261" t="s">
        <v>118</v>
      </c>
      <c r="I261" t="s">
        <v>120</v>
      </c>
      <c r="K261" t="s">
        <v>291</v>
      </c>
      <c r="L261" t="s">
        <v>292</v>
      </c>
      <c r="M261" t="s">
        <v>1265</v>
      </c>
      <c r="N261" t="s">
        <v>574</v>
      </c>
      <c r="O261" t="s">
        <v>407</v>
      </c>
      <c r="P261" t="s">
        <v>126</v>
      </c>
      <c r="Q261" t="s">
        <v>126</v>
      </c>
      <c r="R261" t="s">
        <v>126</v>
      </c>
      <c r="S261" t="s">
        <v>126</v>
      </c>
      <c r="T261" t="s">
        <v>125</v>
      </c>
      <c r="U261" t="s">
        <v>126</v>
      </c>
      <c r="V261" t="s">
        <v>125</v>
      </c>
      <c r="W261" t="s">
        <v>126</v>
      </c>
      <c r="X261" t="s">
        <v>126</v>
      </c>
      <c r="Y261" t="s">
        <v>126</v>
      </c>
      <c r="Z261" t="s">
        <v>575</v>
      </c>
      <c r="AA261" t="s">
        <v>409</v>
      </c>
    </row>
    <row r="262" spans="1:27" x14ac:dyDescent="0.2">
      <c r="A262" t="s">
        <v>1266</v>
      </c>
      <c r="B262" t="s">
        <v>1267</v>
      </c>
      <c r="C262" t="s">
        <v>118</v>
      </c>
      <c r="D262" t="s">
        <v>119</v>
      </c>
      <c r="E262" t="s">
        <v>119</v>
      </c>
      <c r="G262" t="s">
        <v>118</v>
      </c>
      <c r="I262" t="s">
        <v>120</v>
      </c>
      <c r="K262" t="s">
        <v>204</v>
      </c>
      <c r="L262" t="s">
        <v>205</v>
      </c>
      <c r="M262" t="s">
        <v>1268</v>
      </c>
      <c r="N262" t="s">
        <v>708</v>
      </c>
      <c r="O262" t="s">
        <v>343</v>
      </c>
      <c r="P262" t="s">
        <v>126</v>
      </c>
      <c r="Q262" t="s">
        <v>126</v>
      </c>
      <c r="R262" t="s">
        <v>126</v>
      </c>
      <c r="S262" t="s">
        <v>126</v>
      </c>
      <c r="T262" t="s">
        <v>125</v>
      </c>
      <c r="U262" t="s">
        <v>126</v>
      </c>
      <c r="V262" t="s">
        <v>125</v>
      </c>
      <c r="W262" t="s">
        <v>126</v>
      </c>
      <c r="X262" t="s">
        <v>126</v>
      </c>
      <c r="Y262" t="s">
        <v>126</v>
      </c>
      <c r="Z262" t="s">
        <v>710</v>
      </c>
      <c r="AA262" t="s">
        <v>344</v>
      </c>
    </row>
    <row r="263" spans="1:27" x14ac:dyDescent="0.2">
      <c r="A263" t="s">
        <v>1269</v>
      </c>
      <c r="B263" t="s">
        <v>1270</v>
      </c>
      <c r="D263" t="s">
        <v>119</v>
      </c>
      <c r="E263" t="s">
        <v>119</v>
      </c>
      <c r="G263" t="s">
        <v>118</v>
      </c>
      <c r="I263" t="s">
        <v>120</v>
      </c>
      <c r="K263" t="s">
        <v>636</v>
      </c>
      <c r="L263" t="s">
        <v>637</v>
      </c>
      <c r="M263" t="s">
        <v>1271</v>
      </c>
      <c r="N263" t="s">
        <v>602</v>
      </c>
      <c r="O263" t="s">
        <v>1272</v>
      </c>
      <c r="P263" t="s">
        <v>125</v>
      </c>
      <c r="Q263" t="s">
        <v>126</v>
      </c>
      <c r="R263" t="s">
        <v>126</v>
      </c>
      <c r="S263" t="s">
        <v>126</v>
      </c>
      <c r="V263" t="s">
        <v>126</v>
      </c>
      <c r="Y263" t="s">
        <v>126</v>
      </c>
      <c r="Z263" t="s">
        <v>1273</v>
      </c>
      <c r="AA263" t="s">
        <v>1274</v>
      </c>
    </row>
    <row r="264" spans="1:27" x14ac:dyDescent="0.2">
      <c r="A264" t="s">
        <v>1275</v>
      </c>
      <c r="B264" t="s">
        <v>1276</v>
      </c>
      <c r="C264" t="s">
        <v>118</v>
      </c>
      <c r="D264" t="s">
        <v>119</v>
      </c>
      <c r="E264" t="s">
        <v>119</v>
      </c>
      <c r="G264" t="s">
        <v>118</v>
      </c>
      <c r="I264" t="s">
        <v>120</v>
      </c>
      <c r="K264" t="s">
        <v>173</v>
      </c>
      <c r="L264" t="s">
        <v>174</v>
      </c>
      <c r="M264" t="s">
        <v>1277</v>
      </c>
      <c r="N264" t="s">
        <v>1151</v>
      </c>
      <c r="O264" t="s">
        <v>1278</v>
      </c>
      <c r="P264" t="s">
        <v>126</v>
      </c>
      <c r="Q264" t="s">
        <v>126</v>
      </c>
      <c r="R264" t="s">
        <v>126</v>
      </c>
      <c r="S264" t="s">
        <v>126</v>
      </c>
      <c r="T264" t="s">
        <v>126</v>
      </c>
      <c r="U264" t="s">
        <v>126</v>
      </c>
      <c r="V264" t="s">
        <v>126</v>
      </c>
      <c r="W264" t="s">
        <v>126</v>
      </c>
      <c r="X264" t="s">
        <v>126</v>
      </c>
      <c r="Y264" t="s">
        <v>126</v>
      </c>
      <c r="Z264" t="s">
        <v>1152</v>
      </c>
      <c r="AA264" t="s">
        <v>1279</v>
      </c>
    </row>
    <row r="265" spans="1:27" x14ac:dyDescent="0.2">
      <c r="A265" t="s">
        <v>1280</v>
      </c>
      <c r="B265" t="s">
        <v>1281</v>
      </c>
      <c r="C265" t="s">
        <v>118</v>
      </c>
      <c r="D265" t="s">
        <v>119</v>
      </c>
      <c r="E265" t="s">
        <v>119</v>
      </c>
      <c r="G265" t="s">
        <v>118</v>
      </c>
      <c r="I265" t="s">
        <v>120</v>
      </c>
      <c r="K265" t="s">
        <v>139</v>
      </c>
      <c r="L265" t="s">
        <v>140</v>
      </c>
      <c r="M265" t="s">
        <v>1282</v>
      </c>
      <c r="N265" t="s">
        <v>329</v>
      </c>
      <c r="O265" t="s">
        <v>287</v>
      </c>
      <c r="P265" t="s">
        <v>126</v>
      </c>
      <c r="Q265" t="s">
        <v>126</v>
      </c>
      <c r="R265" t="s">
        <v>126</v>
      </c>
      <c r="S265" t="s">
        <v>126</v>
      </c>
      <c r="T265" t="s">
        <v>169</v>
      </c>
      <c r="U265" t="s">
        <v>126</v>
      </c>
      <c r="V265" t="s">
        <v>169</v>
      </c>
      <c r="W265" t="s">
        <v>126</v>
      </c>
      <c r="X265" t="s">
        <v>126</v>
      </c>
      <c r="Y265" t="s">
        <v>126</v>
      </c>
      <c r="Z265" t="s">
        <v>330</v>
      </c>
      <c r="AA265" t="s">
        <v>288</v>
      </c>
    </row>
    <row r="266" spans="1:27" x14ac:dyDescent="0.2">
      <c r="A266" t="s">
        <v>1283</v>
      </c>
      <c r="B266" t="s">
        <v>1284</v>
      </c>
      <c r="C266" t="s">
        <v>118</v>
      </c>
      <c r="D266" t="s">
        <v>119</v>
      </c>
      <c r="E266" t="s">
        <v>119</v>
      </c>
      <c r="G266" t="s">
        <v>118</v>
      </c>
      <c r="I266" t="s">
        <v>120</v>
      </c>
      <c r="K266" t="s">
        <v>173</v>
      </c>
      <c r="L266" t="s">
        <v>174</v>
      </c>
      <c r="M266" t="s">
        <v>1285</v>
      </c>
      <c r="N266" t="s">
        <v>161</v>
      </c>
      <c r="O266" t="s">
        <v>162</v>
      </c>
      <c r="P266" t="s">
        <v>126</v>
      </c>
      <c r="Q266" t="s">
        <v>126</v>
      </c>
      <c r="R266" t="s">
        <v>126</v>
      </c>
      <c r="S266" t="s">
        <v>126</v>
      </c>
      <c r="T266" t="s">
        <v>126</v>
      </c>
      <c r="U266" t="s">
        <v>126</v>
      </c>
      <c r="V266" t="s">
        <v>126</v>
      </c>
      <c r="W266" t="s">
        <v>126</v>
      </c>
      <c r="X266" t="s">
        <v>126</v>
      </c>
      <c r="Y266" t="s">
        <v>126</v>
      </c>
      <c r="Z266" t="s">
        <v>163</v>
      </c>
      <c r="AA266" t="s">
        <v>164</v>
      </c>
    </row>
    <row r="267" spans="1:27" x14ac:dyDescent="0.2">
      <c r="A267" t="s">
        <v>1286</v>
      </c>
      <c r="B267" t="s">
        <v>1287</v>
      </c>
      <c r="C267" t="s">
        <v>118</v>
      </c>
      <c r="D267" t="s">
        <v>119</v>
      </c>
      <c r="E267" t="s">
        <v>119</v>
      </c>
      <c r="G267" t="s">
        <v>118</v>
      </c>
      <c r="I267" t="s">
        <v>120</v>
      </c>
      <c r="K267" t="s">
        <v>553</v>
      </c>
      <c r="L267" t="s">
        <v>554</v>
      </c>
      <c r="M267" t="s">
        <v>1288</v>
      </c>
      <c r="N267" t="s">
        <v>396</v>
      </c>
      <c r="O267" t="s">
        <v>299</v>
      </c>
      <c r="P267" t="s">
        <v>126</v>
      </c>
      <c r="Q267" t="s">
        <v>126</v>
      </c>
      <c r="R267" t="s">
        <v>126</v>
      </c>
      <c r="S267" t="s">
        <v>126</v>
      </c>
      <c r="T267" t="s">
        <v>125</v>
      </c>
      <c r="U267" t="s">
        <v>126</v>
      </c>
      <c r="V267" t="s">
        <v>125</v>
      </c>
      <c r="W267" t="s">
        <v>126</v>
      </c>
      <c r="X267" t="s">
        <v>126</v>
      </c>
      <c r="Y267" t="s">
        <v>126</v>
      </c>
      <c r="Z267" t="s">
        <v>397</v>
      </c>
      <c r="AA267" t="s">
        <v>302</v>
      </c>
    </row>
    <row r="268" spans="1:27" x14ac:dyDescent="0.2">
      <c r="A268" t="s">
        <v>1289</v>
      </c>
      <c r="B268" t="s">
        <v>1290</v>
      </c>
      <c r="D268" t="s">
        <v>119</v>
      </c>
      <c r="E268" t="s">
        <v>119</v>
      </c>
      <c r="G268" t="s">
        <v>118</v>
      </c>
      <c r="I268" t="s">
        <v>120</v>
      </c>
      <c r="K268" t="s">
        <v>731</v>
      </c>
      <c r="L268" t="s">
        <v>732</v>
      </c>
      <c r="M268" t="s">
        <v>1291</v>
      </c>
      <c r="N268" t="s">
        <v>642</v>
      </c>
      <c r="O268" t="s">
        <v>1292</v>
      </c>
      <c r="P268" t="s">
        <v>125</v>
      </c>
      <c r="Q268" t="s">
        <v>126</v>
      </c>
      <c r="R268" t="s">
        <v>126</v>
      </c>
      <c r="S268" t="s">
        <v>126</v>
      </c>
      <c r="V268" t="s">
        <v>126</v>
      </c>
      <c r="Y268" t="s">
        <v>126</v>
      </c>
      <c r="Z268" t="s">
        <v>644</v>
      </c>
      <c r="AA268" t="s">
        <v>1293</v>
      </c>
    </row>
    <row r="269" spans="1:27" x14ac:dyDescent="0.2">
      <c r="A269" t="s">
        <v>1294</v>
      </c>
      <c r="B269" t="s">
        <v>1295</v>
      </c>
      <c r="C269" t="s">
        <v>118</v>
      </c>
      <c r="D269" t="s">
        <v>119</v>
      </c>
      <c r="E269" t="s">
        <v>119</v>
      </c>
      <c r="G269" t="s">
        <v>118</v>
      </c>
      <c r="I269" t="s">
        <v>120</v>
      </c>
      <c r="K269" t="s">
        <v>731</v>
      </c>
      <c r="L269" t="s">
        <v>732</v>
      </c>
      <c r="M269" t="s">
        <v>1296</v>
      </c>
      <c r="N269" t="s">
        <v>1297</v>
      </c>
      <c r="O269" t="s">
        <v>155</v>
      </c>
      <c r="P269" t="s">
        <v>126</v>
      </c>
      <c r="Q269" t="s">
        <v>126</v>
      </c>
      <c r="R269" t="s">
        <v>126</v>
      </c>
      <c r="S269" t="s">
        <v>126</v>
      </c>
      <c r="T269" t="s">
        <v>125</v>
      </c>
      <c r="U269" t="s">
        <v>126</v>
      </c>
      <c r="V269" t="s">
        <v>125</v>
      </c>
      <c r="W269" t="s">
        <v>126</v>
      </c>
      <c r="X269" t="s">
        <v>126</v>
      </c>
      <c r="Y269" t="s">
        <v>126</v>
      </c>
      <c r="Z269" t="s">
        <v>1298</v>
      </c>
      <c r="AA269" t="s">
        <v>1299</v>
      </c>
    </row>
    <row r="270" spans="1:27" x14ac:dyDescent="0.2">
      <c r="A270" t="s">
        <v>1300</v>
      </c>
      <c r="B270" t="s">
        <v>1301</v>
      </c>
      <c r="C270" t="s">
        <v>118</v>
      </c>
      <c r="D270" t="s">
        <v>119</v>
      </c>
      <c r="E270" t="s">
        <v>119</v>
      </c>
      <c r="G270" t="s">
        <v>118</v>
      </c>
      <c r="I270" t="s">
        <v>120</v>
      </c>
      <c r="K270" t="s">
        <v>149</v>
      </c>
      <c r="L270" t="s">
        <v>150</v>
      </c>
      <c r="M270" t="s">
        <v>1302</v>
      </c>
      <c r="N270" t="s">
        <v>478</v>
      </c>
      <c r="O270" t="s">
        <v>581</v>
      </c>
      <c r="P270" t="s">
        <v>126</v>
      </c>
      <c r="Q270" t="s">
        <v>126</v>
      </c>
      <c r="R270" t="s">
        <v>126</v>
      </c>
      <c r="S270" t="s">
        <v>126</v>
      </c>
      <c r="T270" t="s">
        <v>200</v>
      </c>
      <c r="U270" t="s">
        <v>126</v>
      </c>
      <c r="V270" t="s">
        <v>200</v>
      </c>
      <c r="W270" t="s">
        <v>126</v>
      </c>
      <c r="X270" t="s">
        <v>126</v>
      </c>
      <c r="Y270" t="s">
        <v>126</v>
      </c>
      <c r="Z270" t="s">
        <v>479</v>
      </c>
      <c r="AA270" t="s">
        <v>582</v>
      </c>
    </row>
    <row r="271" spans="1:27" x14ac:dyDescent="0.2">
      <c r="A271" t="s">
        <v>1303</v>
      </c>
      <c r="B271" t="s">
        <v>1304</v>
      </c>
      <c r="C271" t="s">
        <v>118</v>
      </c>
      <c r="D271" t="s">
        <v>119</v>
      </c>
      <c r="E271" t="s">
        <v>119</v>
      </c>
      <c r="G271" t="s">
        <v>118</v>
      </c>
      <c r="I271" t="s">
        <v>120</v>
      </c>
      <c r="K271" t="s">
        <v>149</v>
      </c>
      <c r="L271" t="s">
        <v>150</v>
      </c>
      <c r="M271" t="s">
        <v>1305</v>
      </c>
      <c r="N271" t="s">
        <v>491</v>
      </c>
      <c r="O271" t="s">
        <v>470</v>
      </c>
      <c r="P271" t="s">
        <v>126</v>
      </c>
      <c r="Q271" t="s">
        <v>126</v>
      </c>
      <c r="R271" t="s">
        <v>126</v>
      </c>
      <c r="S271" t="s">
        <v>126</v>
      </c>
      <c r="T271" t="s">
        <v>264</v>
      </c>
      <c r="U271" t="s">
        <v>126</v>
      </c>
      <c r="V271" t="s">
        <v>264</v>
      </c>
      <c r="W271" t="s">
        <v>126</v>
      </c>
      <c r="X271" t="s">
        <v>126</v>
      </c>
      <c r="Y271" t="s">
        <v>126</v>
      </c>
      <c r="Z271" t="s">
        <v>492</v>
      </c>
      <c r="AA271" t="s">
        <v>471</v>
      </c>
    </row>
    <row r="272" spans="1:27" x14ac:dyDescent="0.2">
      <c r="A272" t="s">
        <v>1306</v>
      </c>
      <c r="B272" t="s">
        <v>1307</v>
      </c>
      <c r="C272" t="s">
        <v>118</v>
      </c>
      <c r="D272" t="s">
        <v>119</v>
      </c>
      <c r="E272" t="s">
        <v>119</v>
      </c>
      <c r="G272" t="s">
        <v>118</v>
      </c>
      <c r="I272" t="s">
        <v>120</v>
      </c>
      <c r="K272" t="s">
        <v>553</v>
      </c>
      <c r="L272" t="s">
        <v>554</v>
      </c>
      <c r="M272" t="s">
        <v>1308</v>
      </c>
      <c r="N272" t="s">
        <v>901</v>
      </c>
      <c r="O272" t="s">
        <v>386</v>
      </c>
      <c r="P272" t="s">
        <v>126</v>
      </c>
      <c r="Q272" t="s">
        <v>126</v>
      </c>
      <c r="R272" t="s">
        <v>126</v>
      </c>
      <c r="S272" t="s">
        <v>126</v>
      </c>
      <c r="T272" t="s">
        <v>125</v>
      </c>
      <c r="U272" t="s">
        <v>126</v>
      </c>
      <c r="V272" t="s">
        <v>125</v>
      </c>
      <c r="W272" t="s">
        <v>126</v>
      </c>
      <c r="X272" t="s">
        <v>126</v>
      </c>
      <c r="Y272" t="s">
        <v>126</v>
      </c>
      <c r="Z272" t="s">
        <v>902</v>
      </c>
      <c r="AA272" t="s">
        <v>387</v>
      </c>
    </row>
    <row r="273" spans="1:27" x14ac:dyDescent="0.2">
      <c r="A273" t="s">
        <v>1309</v>
      </c>
      <c r="B273" t="s">
        <v>1310</v>
      </c>
      <c r="D273" t="s">
        <v>119</v>
      </c>
      <c r="E273" t="s">
        <v>119</v>
      </c>
      <c r="G273" t="s">
        <v>118</v>
      </c>
      <c r="I273" t="s">
        <v>120</v>
      </c>
      <c r="K273" t="s">
        <v>130</v>
      </c>
      <c r="L273" t="s">
        <v>131</v>
      </c>
      <c r="M273" t="s">
        <v>1311</v>
      </c>
      <c r="N273" t="s">
        <v>1251</v>
      </c>
      <c r="O273" t="s">
        <v>1312</v>
      </c>
      <c r="P273" t="s">
        <v>125</v>
      </c>
      <c r="Q273" t="s">
        <v>126</v>
      </c>
      <c r="R273" t="s">
        <v>126</v>
      </c>
      <c r="S273" t="s">
        <v>126</v>
      </c>
      <c r="V273" t="s">
        <v>126</v>
      </c>
      <c r="Y273" t="s">
        <v>126</v>
      </c>
      <c r="Z273" t="s">
        <v>1253</v>
      </c>
      <c r="AA273" t="s">
        <v>1313</v>
      </c>
    </row>
    <row r="274" spans="1:27" x14ac:dyDescent="0.2">
      <c r="A274" t="s">
        <v>1314</v>
      </c>
      <c r="B274" t="s">
        <v>1315</v>
      </c>
      <c r="C274" t="s">
        <v>118</v>
      </c>
      <c r="D274" t="s">
        <v>119</v>
      </c>
      <c r="E274" t="s">
        <v>119</v>
      </c>
      <c r="G274" t="s">
        <v>118</v>
      </c>
      <c r="I274" t="s">
        <v>120</v>
      </c>
      <c r="K274" t="s">
        <v>139</v>
      </c>
      <c r="L274" t="s">
        <v>140</v>
      </c>
      <c r="M274" t="s">
        <v>1316</v>
      </c>
      <c r="N274" t="s">
        <v>354</v>
      </c>
      <c r="O274" t="s">
        <v>142</v>
      </c>
      <c r="P274" t="s">
        <v>126</v>
      </c>
      <c r="Q274" t="s">
        <v>126</v>
      </c>
      <c r="R274" t="s">
        <v>126</v>
      </c>
      <c r="S274" t="s">
        <v>126</v>
      </c>
      <c r="T274" t="s">
        <v>436</v>
      </c>
      <c r="U274" t="s">
        <v>126</v>
      </c>
      <c r="V274" t="s">
        <v>436</v>
      </c>
      <c r="W274" t="s">
        <v>126</v>
      </c>
      <c r="X274" t="s">
        <v>126</v>
      </c>
      <c r="Y274" t="s">
        <v>126</v>
      </c>
      <c r="Z274" t="s">
        <v>356</v>
      </c>
      <c r="AA274" t="s">
        <v>145</v>
      </c>
    </row>
    <row r="275" spans="1:27" x14ac:dyDescent="0.2">
      <c r="A275" t="s">
        <v>1317</v>
      </c>
      <c r="B275" t="s">
        <v>1318</v>
      </c>
      <c r="C275" t="s">
        <v>118</v>
      </c>
      <c r="D275" t="s">
        <v>119</v>
      </c>
      <c r="E275" t="s">
        <v>119</v>
      </c>
      <c r="G275" t="s">
        <v>118</v>
      </c>
      <c r="I275" t="s">
        <v>120</v>
      </c>
      <c r="K275" t="s">
        <v>291</v>
      </c>
      <c r="L275" t="s">
        <v>292</v>
      </c>
      <c r="M275" t="s">
        <v>1319</v>
      </c>
      <c r="N275" t="s">
        <v>322</v>
      </c>
      <c r="O275" t="s">
        <v>323</v>
      </c>
      <c r="P275" t="s">
        <v>126</v>
      </c>
      <c r="Q275" t="s">
        <v>126</v>
      </c>
      <c r="R275" t="s">
        <v>126</v>
      </c>
      <c r="S275" t="s">
        <v>126</v>
      </c>
      <c r="T275" t="s">
        <v>126</v>
      </c>
      <c r="U275" t="s">
        <v>126</v>
      </c>
      <c r="V275" t="s">
        <v>126</v>
      </c>
      <c r="W275" t="s">
        <v>126</v>
      </c>
      <c r="X275" t="s">
        <v>126</v>
      </c>
      <c r="Y275" t="s">
        <v>126</v>
      </c>
      <c r="Z275" t="s">
        <v>324</v>
      </c>
      <c r="AA275" t="s">
        <v>325</v>
      </c>
    </row>
    <row r="276" spans="1:27" x14ac:dyDescent="0.2">
      <c r="A276" t="s">
        <v>1320</v>
      </c>
      <c r="B276" t="s">
        <v>1321</v>
      </c>
      <c r="C276" t="s">
        <v>118</v>
      </c>
      <c r="D276" t="s">
        <v>119</v>
      </c>
      <c r="E276" t="s">
        <v>119</v>
      </c>
      <c r="G276" t="s">
        <v>118</v>
      </c>
      <c r="I276" t="s">
        <v>120</v>
      </c>
      <c r="K276" t="s">
        <v>158</v>
      </c>
      <c r="L276" t="s">
        <v>159</v>
      </c>
      <c r="M276" t="s">
        <v>1322</v>
      </c>
      <c r="N276" t="s">
        <v>396</v>
      </c>
      <c r="O276" t="s">
        <v>360</v>
      </c>
      <c r="P276" t="s">
        <v>126</v>
      </c>
      <c r="Q276" t="s">
        <v>126</v>
      </c>
      <c r="R276" t="s">
        <v>126</v>
      </c>
      <c r="S276" t="s">
        <v>126</v>
      </c>
      <c r="T276" t="s">
        <v>125</v>
      </c>
      <c r="U276" t="s">
        <v>126</v>
      </c>
      <c r="V276" t="s">
        <v>125</v>
      </c>
      <c r="W276" t="s">
        <v>126</v>
      </c>
      <c r="X276" t="s">
        <v>126</v>
      </c>
      <c r="Y276" t="s">
        <v>126</v>
      </c>
      <c r="Z276" t="s">
        <v>397</v>
      </c>
      <c r="AA276" t="s">
        <v>208</v>
      </c>
    </row>
    <row r="277" spans="1:27" x14ac:dyDescent="0.2">
      <c r="A277" t="s">
        <v>1323</v>
      </c>
      <c r="B277" t="s">
        <v>1324</v>
      </c>
      <c r="C277" t="s">
        <v>118</v>
      </c>
      <c r="D277" t="s">
        <v>119</v>
      </c>
      <c r="E277" t="s">
        <v>119</v>
      </c>
      <c r="G277" t="s">
        <v>118</v>
      </c>
      <c r="I277" t="s">
        <v>120</v>
      </c>
      <c r="K277" t="s">
        <v>232</v>
      </c>
      <c r="L277" t="s">
        <v>233</v>
      </c>
      <c r="M277" t="s">
        <v>1325</v>
      </c>
      <c r="N277" t="s">
        <v>152</v>
      </c>
      <c r="O277" t="s">
        <v>153</v>
      </c>
      <c r="P277" t="s">
        <v>126</v>
      </c>
      <c r="Q277" t="s">
        <v>126</v>
      </c>
      <c r="R277" t="s">
        <v>126</v>
      </c>
      <c r="S277" t="s">
        <v>126</v>
      </c>
      <c r="T277" t="s">
        <v>125</v>
      </c>
      <c r="U277" t="s">
        <v>126</v>
      </c>
      <c r="V277" t="s">
        <v>125</v>
      </c>
      <c r="W277" t="s">
        <v>126</v>
      </c>
      <c r="X277" t="s">
        <v>126</v>
      </c>
      <c r="Y277" t="s">
        <v>126</v>
      </c>
      <c r="Z277" t="s">
        <v>154</v>
      </c>
      <c r="AA277" t="s">
        <v>155</v>
      </c>
    </row>
    <row r="278" spans="1:27" x14ac:dyDescent="0.2">
      <c r="A278" t="s">
        <v>1326</v>
      </c>
      <c r="B278" t="s">
        <v>1327</v>
      </c>
      <c r="C278" t="s">
        <v>118</v>
      </c>
      <c r="D278" t="s">
        <v>119</v>
      </c>
      <c r="E278" t="s">
        <v>119</v>
      </c>
      <c r="G278" t="s">
        <v>118</v>
      </c>
      <c r="I278" t="s">
        <v>120</v>
      </c>
      <c r="K278" t="s">
        <v>636</v>
      </c>
      <c r="L278" t="s">
        <v>637</v>
      </c>
      <c r="M278" t="s">
        <v>1328</v>
      </c>
      <c r="N278" t="s">
        <v>168</v>
      </c>
      <c r="O278" t="s">
        <v>401</v>
      </c>
      <c r="P278" t="s">
        <v>126</v>
      </c>
      <c r="Q278" t="s">
        <v>126</v>
      </c>
      <c r="R278" t="s">
        <v>126</v>
      </c>
      <c r="S278" t="s">
        <v>126</v>
      </c>
      <c r="T278" t="s">
        <v>200</v>
      </c>
      <c r="U278" t="s">
        <v>126</v>
      </c>
      <c r="V278" t="s">
        <v>200</v>
      </c>
      <c r="W278" t="s">
        <v>126</v>
      </c>
      <c r="X278" t="s">
        <v>126</v>
      </c>
      <c r="Y278" t="s">
        <v>126</v>
      </c>
      <c r="Z278" t="s">
        <v>170</v>
      </c>
      <c r="AA278" t="s">
        <v>403</v>
      </c>
    </row>
    <row r="279" spans="1:27" x14ac:dyDescent="0.2">
      <c r="A279" t="s">
        <v>1329</v>
      </c>
      <c r="B279" t="s">
        <v>1330</v>
      </c>
      <c r="C279" t="s">
        <v>118</v>
      </c>
      <c r="D279" t="s">
        <v>119</v>
      </c>
      <c r="E279" t="s">
        <v>119</v>
      </c>
      <c r="G279" t="s">
        <v>118</v>
      </c>
      <c r="I279" t="s">
        <v>120</v>
      </c>
      <c r="K279" t="s">
        <v>380</v>
      </c>
      <c r="L279" t="s">
        <v>381</v>
      </c>
      <c r="M279" t="s">
        <v>1331</v>
      </c>
      <c r="N279" t="s">
        <v>249</v>
      </c>
      <c r="O279" t="s">
        <v>226</v>
      </c>
      <c r="P279" t="s">
        <v>126</v>
      </c>
      <c r="Q279" t="s">
        <v>126</v>
      </c>
      <c r="R279" t="s">
        <v>126</v>
      </c>
      <c r="S279" t="s">
        <v>126</v>
      </c>
      <c r="T279" t="s">
        <v>125</v>
      </c>
      <c r="U279" t="s">
        <v>126</v>
      </c>
      <c r="V279" t="s">
        <v>125</v>
      </c>
      <c r="W279" t="s">
        <v>126</v>
      </c>
      <c r="X279" t="s">
        <v>126</v>
      </c>
      <c r="Y279" t="s">
        <v>126</v>
      </c>
      <c r="Z279" t="s">
        <v>250</v>
      </c>
      <c r="AA279" t="s">
        <v>228</v>
      </c>
    </row>
    <row r="280" spans="1:27" x14ac:dyDescent="0.2">
      <c r="A280" t="s">
        <v>1332</v>
      </c>
      <c r="B280" t="s">
        <v>1333</v>
      </c>
      <c r="C280" t="s">
        <v>118</v>
      </c>
      <c r="D280" t="s">
        <v>119</v>
      </c>
      <c r="E280" t="s">
        <v>119</v>
      </c>
      <c r="G280" t="s">
        <v>118</v>
      </c>
      <c r="I280" t="s">
        <v>120</v>
      </c>
      <c r="K280" t="s">
        <v>636</v>
      </c>
      <c r="L280" t="s">
        <v>637</v>
      </c>
      <c r="M280" t="s">
        <v>1334</v>
      </c>
      <c r="N280" t="s">
        <v>599</v>
      </c>
      <c r="O280" t="s">
        <v>1335</v>
      </c>
      <c r="P280" t="s">
        <v>126</v>
      </c>
      <c r="Q280" t="s">
        <v>126</v>
      </c>
      <c r="R280" t="s">
        <v>126</v>
      </c>
      <c r="S280" t="s">
        <v>126</v>
      </c>
      <c r="T280" t="s">
        <v>200</v>
      </c>
      <c r="U280" t="s">
        <v>126</v>
      </c>
      <c r="V280" t="s">
        <v>200</v>
      </c>
      <c r="W280" t="s">
        <v>126</v>
      </c>
      <c r="X280" t="s">
        <v>126</v>
      </c>
      <c r="Y280" t="s">
        <v>126</v>
      </c>
      <c r="Z280" t="s">
        <v>601</v>
      </c>
      <c r="AA280" t="s">
        <v>1336</v>
      </c>
    </row>
    <row r="281" spans="1:27" x14ac:dyDescent="0.2">
      <c r="A281" t="s">
        <v>1337</v>
      </c>
      <c r="B281" t="s">
        <v>1338</v>
      </c>
      <c r="C281" t="s">
        <v>118</v>
      </c>
      <c r="D281" t="s">
        <v>119</v>
      </c>
      <c r="E281" t="s">
        <v>119</v>
      </c>
      <c r="G281" t="s">
        <v>118</v>
      </c>
      <c r="I281" t="s">
        <v>120</v>
      </c>
      <c r="K281" t="s">
        <v>130</v>
      </c>
      <c r="L281" t="s">
        <v>131</v>
      </c>
      <c r="M281" t="s">
        <v>1339</v>
      </c>
      <c r="N281" t="s">
        <v>1340</v>
      </c>
      <c r="O281" t="s">
        <v>337</v>
      </c>
      <c r="P281" t="s">
        <v>126</v>
      </c>
      <c r="Q281" t="s">
        <v>126</v>
      </c>
      <c r="R281" t="s">
        <v>126</v>
      </c>
      <c r="S281" t="s">
        <v>126</v>
      </c>
      <c r="T281" t="s">
        <v>264</v>
      </c>
      <c r="U281" t="s">
        <v>126</v>
      </c>
      <c r="V281" t="s">
        <v>264</v>
      </c>
      <c r="W281" t="s">
        <v>126</v>
      </c>
      <c r="X281" t="s">
        <v>126</v>
      </c>
      <c r="Y281" t="s">
        <v>126</v>
      </c>
      <c r="Z281" t="s">
        <v>1341</v>
      </c>
      <c r="AA281" t="s">
        <v>339</v>
      </c>
    </row>
    <row r="282" spans="1:27" x14ac:dyDescent="0.2">
      <c r="A282" t="s">
        <v>1342</v>
      </c>
      <c r="B282" t="s">
        <v>1343</v>
      </c>
      <c r="C282" t="s">
        <v>118</v>
      </c>
      <c r="D282" t="s">
        <v>119</v>
      </c>
      <c r="E282" t="s">
        <v>119</v>
      </c>
      <c r="G282" t="s">
        <v>118</v>
      </c>
      <c r="I282" t="s">
        <v>120</v>
      </c>
      <c r="K282" t="s">
        <v>440</v>
      </c>
      <c r="L282" t="s">
        <v>441</v>
      </c>
      <c r="M282" t="s">
        <v>1344</v>
      </c>
      <c r="N282" t="s">
        <v>709</v>
      </c>
      <c r="O282" t="s">
        <v>759</v>
      </c>
      <c r="P282" t="s">
        <v>126</v>
      </c>
      <c r="Q282" t="s">
        <v>126</v>
      </c>
      <c r="R282" t="s">
        <v>126</v>
      </c>
      <c r="S282" t="s">
        <v>126</v>
      </c>
      <c r="T282" t="s">
        <v>126</v>
      </c>
      <c r="U282" t="s">
        <v>126</v>
      </c>
      <c r="V282" t="s">
        <v>126</v>
      </c>
      <c r="W282" t="s">
        <v>126</v>
      </c>
      <c r="X282" t="s">
        <v>126</v>
      </c>
      <c r="Y282" t="s">
        <v>126</v>
      </c>
      <c r="Z282" t="s">
        <v>711</v>
      </c>
      <c r="AA282" t="s">
        <v>760</v>
      </c>
    </row>
    <row r="283" spans="1:27" x14ac:dyDescent="0.2">
      <c r="A283" t="s">
        <v>1345</v>
      </c>
      <c r="B283" t="s">
        <v>1346</v>
      </c>
      <c r="C283" t="s">
        <v>118</v>
      </c>
      <c r="D283" t="s">
        <v>119</v>
      </c>
      <c r="E283" t="s">
        <v>119</v>
      </c>
      <c r="G283" t="s">
        <v>118</v>
      </c>
      <c r="I283" t="s">
        <v>120</v>
      </c>
      <c r="K283" t="s">
        <v>158</v>
      </c>
      <c r="L283" t="s">
        <v>159</v>
      </c>
      <c r="M283" t="s">
        <v>1347</v>
      </c>
      <c r="N283" t="s">
        <v>470</v>
      </c>
      <c r="O283" t="s">
        <v>353</v>
      </c>
      <c r="P283" t="s">
        <v>126</v>
      </c>
      <c r="Q283" t="s">
        <v>126</v>
      </c>
      <c r="R283" t="s">
        <v>126</v>
      </c>
      <c r="S283" t="s">
        <v>126</v>
      </c>
      <c r="T283" t="s">
        <v>126</v>
      </c>
      <c r="U283" t="s">
        <v>126</v>
      </c>
      <c r="V283" t="s">
        <v>126</v>
      </c>
      <c r="W283" t="s">
        <v>126</v>
      </c>
      <c r="X283" t="s">
        <v>126</v>
      </c>
      <c r="Y283" t="s">
        <v>126</v>
      </c>
      <c r="Z283" t="s">
        <v>471</v>
      </c>
      <c r="AA283" t="s">
        <v>355</v>
      </c>
    </row>
    <row r="284" spans="1:27" x14ac:dyDescent="0.2">
      <c r="A284" t="s">
        <v>1348</v>
      </c>
      <c r="B284" t="s">
        <v>1349</v>
      </c>
      <c r="C284" t="s">
        <v>118</v>
      </c>
      <c r="D284" t="s">
        <v>119</v>
      </c>
      <c r="E284" t="s">
        <v>119</v>
      </c>
      <c r="G284" t="s">
        <v>118</v>
      </c>
      <c r="I284" t="s">
        <v>120</v>
      </c>
      <c r="K284" t="s">
        <v>149</v>
      </c>
      <c r="L284" t="s">
        <v>150</v>
      </c>
      <c r="M284" t="s">
        <v>1350</v>
      </c>
      <c r="N284" t="s">
        <v>287</v>
      </c>
      <c r="O284" t="s">
        <v>396</v>
      </c>
      <c r="P284" t="s">
        <v>126</v>
      </c>
      <c r="Q284" t="s">
        <v>126</v>
      </c>
      <c r="R284" t="s">
        <v>126</v>
      </c>
      <c r="S284" t="s">
        <v>126</v>
      </c>
      <c r="T284" t="s">
        <v>200</v>
      </c>
      <c r="U284" t="s">
        <v>126</v>
      </c>
      <c r="V284" t="s">
        <v>200</v>
      </c>
      <c r="W284" t="s">
        <v>126</v>
      </c>
      <c r="X284" t="s">
        <v>126</v>
      </c>
      <c r="Y284" t="s">
        <v>126</v>
      </c>
      <c r="Z284" t="s">
        <v>288</v>
      </c>
      <c r="AA284" t="s">
        <v>397</v>
      </c>
    </row>
    <row r="285" spans="1:27" x14ac:dyDescent="0.2">
      <c r="A285" t="s">
        <v>1351</v>
      </c>
      <c r="B285" t="s">
        <v>1352</v>
      </c>
      <c r="C285" t="s">
        <v>118</v>
      </c>
      <c r="D285" t="s">
        <v>119</v>
      </c>
      <c r="E285" t="s">
        <v>119</v>
      </c>
      <c r="G285" t="s">
        <v>118</v>
      </c>
      <c r="I285" t="s">
        <v>120</v>
      </c>
      <c r="K285" t="s">
        <v>204</v>
      </c>
      <c r="L285" t="s">
        <v>205</v>
      </c>
      <c r="M285" t="s">
        <v>1353</v>
      </c>
      <c r="N285" t="s">
        <v>177</v>
      </c>
      <c r="O285" t="s">
        <v>329</v>
      </c>
      <c r="P285" t="s">
        <v>126</v>
      </c>
      <c r="Q285" t="s">
        <v>126</v>
      </c>
      <c r="R285" t="s">
        <v>126</v>
      </c>
      <c r="S285" t="s">
        <v>126</v>
      </c>
      <c r="T285" t="s">
        <v>767</v>
      </c>
      <c r="U285" t="s">
        <v>126</v>
      </c>
      <c r="V285" t="s">
        <v>767</v>
      </c>
      <c r="W285" t="s">
        <v>126</v>
      </c>
      <c r="X285" t="s">
        <v>126</v>
      </c>
      <c r="Y285" t="s">
        <v>126</v>
      </c>
      <c r="Z285" t="s">
        <v>179</v>
      </c>
      <c r="AA285" t="s">
        <v>330</v>
      </c>
    </row>
    <row r="286" spans="1:27" x14ac:dyDescent="0.2">
      <c r="A286" t="s">
        <v>1354</v>
      </c>
      <c r="B286" t="s">
        <v>1355</v>
      </c>
      <c r="C286" t="s">
        <v>118</v>
      </c>
      <c r="D286" t="s">
        <v>119</v>
      </c>
      <c r="E286" t="s">
        <v>119</v>
      </c>
      <c r="G286" t="s">
        <v>118</v>
      </c>
      <c r="I286" t="s">
        <v>120</v>
      </c>
      <c r="K286" t="s">
        <v>232</v>
      </c>
      <c r="L286" t="s">
        <v>233</v>
      </c>
      <c r="M286" t="s">
        <v>1356</v>
      </c>
      <c r="N286" t="s">
        <v>491</v>
      </c>
      <c r="O286" t="s">
        <v>470</v>
      </c>
      <c r="P286" t="s">
        <v>126</v>
      </c>
      <c r="Q286" t="s">
        <v>126</v>
      </c>
      <c r="R286" t="s">
        <v>126</v>
      </c>
      <c r="S286" t="s">
        <v>126</v>
      </c>
      <c r="T286" t="s">
        <v>264</v>
      </c>
      <c r="U286" t="s">
        <v>126</v>
      </c>
      <c r="V286" t="s">
        <v>264</v>
      </c>
      <c r="W286" t="s">
        <v>126</v>
      </c>
      <c r="X286" t="s">
        <v>126</v>
      </c>
      <c r="Y286" t="s">
        <v>126</v>
      </c>
      <c r="Z286" t="s">
        <v>492</v>
      </c>
      <c r="AA286" t="s">
        <v>471</v>
      </c>
    </row>
    <row r="287" spans="1:27" x14ac:dyDescent="0.2">
      <c r="A287" t="s">
        <v>1357</v>
      </c>
      <c r="B287" t="s">
        <v>1358</v>
      </c>
      <c r="C287" t="s">
        <v>118</v>
      </c>
      <c r="D287" t="s">
        <v>119</v>
      </c>
      <c r="E287" t="s">
        <v>119</v>
      </c>
      <c r="G287" t="s">
        <v>118</v>
      </c>
      <c r="I287" t="s">
        <v>120</v>
      </c>
      <c r="K287" t="s">
        <v>158</v>
      </c>
      <c r="L287" t="s">
        <v>159</v>
      </c>
      <c r="M287" t="s">
        <v>1359</v>
      </c>
      <c r="N287" t="s">
        <v>1235</v>
      </c>
      <c r="O287" t="s">
        <v>703</v>
      </c>
      <c r="P287" t="s">
        <v>126</v>
      </c>
      <c r="Q287" t="s">
        <v>126</v>
      </c>
      <c r="R287" t="s">
        <v>126</v>
      </c>
      <c r="S287" t="s">
        <v>126</v>
      </c>
      <c r="T287" t="s">
        <v>126</v>
      </c>
      <c r="U287" t="s">
        <v>126</v>
      </c>
      <c r="V287" t="s">
        <v>126</v>
      </c>
      <c r="W287" t="s">
        <v>126</v>
      </c>
      <c r="X287" t="s">
        <v>126</v>
      </c>
      <c r="Y287" t="s">
        <v>126</v>
      </c>
      <c r="Z287" t="s">
        <v>1236</v>
      </c>
      <c r="AA287" t="s">
        <v>704</v>
      </c>
    </row>
    <row r="288" spans="1:27" x14ac:dyDescent="0.2">
      <c r="A288" t="s">
        <v>1360</v>
      </c>
      <c r="B288" t="s">
        <v>1361</v>
      </c>
      <c r="C288" t="s">
        <v>118</v>
      </c>
      <c r="D288" t="s">
        <v>119</v>
      </c>
      <c r="E288" t="s">
        <v>119</v>
      </c>
      <c r="G288" t="s">
        <v>118</v>
      </c>
      <c r="I288" t="s">
        <v>120</v>
      </c>
      <c r="K288" t="s">
        <v>204</v>
      </c>
      <c r="L288" t="s">
        <v>205</v>
      </c>
      <c r="M288" t="s">
        <v>1362</v>
      </c>
      <c r="N288" t="s">
        <v>1363</v>
      </c>
      <c r="O288" t="s">
        <v>192</v>
      </c>
      <c r="P288" t="s">
        <v>126</v>
      </c>
      <c r="Q288" t="s">
        <v>126</v>
      </c>
      <c r="R288" t="s">
        <v>126</v>
      </c>
      <c r="S288" t="s">
        <v>126</v>
      </c>
      <c r="T288" t="s">
        <v>125</v>
      </c>
      <c r="U288" t="s">
        <v>126</v>
      </c>
      <c r="V288" t="s">
        <v>125</v>
      </c>
      <c r="W288" t="s">
        <v>126</v>
      </c>
      <c r="X288" t="s">
        <v>126</v>
      </c>
      <c r="Y288" t="s">
        <v>126</v>
      </c>
      <c r="Z288" t="s">
        <v>1364</v>
      </c>
      <c r="AA288" t="s">
        <v>194</v>
      </c>
    </row>
    <row r="289" spans="1:27" x14ac:dyDescent="0.2">
      <c r="A289" t="s">
        <v>1365</v>
      </c>
      <c r="B289" t="s">
        <v>1366</v>
      </c>
      <c r="C289" t="s">
        <v>118</v>
      </c>
      <c r="D289" t="s">
        <v>119</v>
      </c>
      <c r="E289" t="s">
        <v>119</v>
      </c>
      <c r="G289" t="s">
        <v>118</v>
      </c>
      <c r="I289" t="s">
        <v>120</v>
      </c>
      <c r="K289" t="s">
        <v>204</v>
      </c>
      <c r="L289" t="s">
        <v>205</v>
      </c>
      <c r="M289" t="s">
        <v>1367</v>
      </c>
      <c r="N289" t="s">
        <v>199</v>
      </c>
      <c r="O289" t="s">
        <v>300</v>
      </c>
      <c r="P289" t="s">
        <v>126</v>
      </c>
      <c r="Q289" t="s">
        <v>126</v>
      </c>
      <c r="R289" t="s">
        <v>126</v>
      </c>
      <c r="S289" t="s">
        <v>126</v>
      </c>
      <c r="T289" t="s">
        <v>126</v>
      </c>
      <c r="U289" t="s">
        <v>126</v>
      </c>
      <c r="V289" t="s">
        <v>126</v>
      </c>
      <c r="W289" t="s">
        <v>126</v>
      </c>
      <c r="X289" t="s">
        <v>126</v>
      </c>
      <c r="Y289" t="s">
        <v>126</v>
      </c>
      <c r="Z289" t="s">
        <v>201</v>
      </c>
      <c r="AA289" t="s">
        <v>303</v>
      </c>
    </row>
    <row r="290" spans="1:27" x14ac:dyDescent="0.2">
      <c r="A290" t="s">
        <v>1368</v>
      </c>
      <c r="B290" t="s">
        <v>1369</v>
      </c>
      <c r="C290" t="s">
        <v>118</v>
      </c>
      <c r="D290" t="s">
        <v>119</v>
      </c>
      <c r="E290" t="s">
        <v>119</v>
      </c>
      <c r="G290" t="s">
        <v>118</v>
      </c>
      <c r="I290" t="s">
        <v>120</v>
      </c>
      <c r="K290" t="s">
        <v>149</v>
      </c>
      <c r="L290" t="s">
        <v>150</v>
      </c>
      <c r="M290" t="s">
        <v>1370</v>
      </c>
      <c r="N290" t="s">
        <v>162</v>
      </c>
      <c r="O290" t="s">
        <v>299</v>
      </c>
      <c r="P290" t="s">
        <v>126</v>
      </c>
      <c r="Q290" t="s">
        <v>126</v>
      </c>
      <c r="R290" t="s">
        <v>126</v>
      </c>
      <c r="S290" t="s">
        <v>126</v>
      </c>
      <c r="T290" t="s">
        <v>126</v>
      </c>
      <c r="U290" t="s">
        <v>126</v>
      </c>
      <c r="V290" t="s">
        <v>126</v>
      </c>
      <c r="W290" t="s">
        <v>126</v>
      </c>
      <c r="X290" t="s">
        <v>126</v>
      </c>
      <c r="Y290" t="s">
        <v>126</v>
      </c>
      <c r="Z290" t="s">
        <v>164</v>
      </c>
      <c r="AA290" t="s">
        <v>302</v>
      </c>
    </row>
    <row r="291" spans="1:27" x14ac:dyDescent="0.2">
      <c r="A291" t="s">
        <v>1371</v>
      </c>
      <c r="B291" t="s">
        <v>1372</v>
      </c>
      <c r="C291" t="s">
        <v>118</v>
      </c>
      <c r="D291" t="s">
        <v>119</v>
      </c>
      <c r="E291" t="s">
        <v>119</v>
      </c>
      <c r="G291" t="s">
        <v>118</v>
      </c>
      <c r="I291" t="s">
        <v>120</v>
      </c>
      <c r="K291" t="s">
        <v>130</v>
      </c>
      <c r="L291" t="s">
        <v>131</v>
      </c>
      <c r="M291" t="s">
        <v>1373</v>
      </c>
      <c r="N291" t="s">
        <v>287</v>
      </c>
      <c r="O291" t="s">
        <v>307</v>
      </c>
      <c r="P291" t="s">
        <v>126</v>
      </c>
      <c r="Q291" t="s">
        <v>126</v>
      </c>
      <c r="R291" t="s">
        <v>126</v>
      </c>
      <c r="S291" t="s">
        <v>126</v>
      </c>
      <c r="T291" t="s">
        <v>419</v>
      </c>
      <c r="U291" t="s">
        <v>126</v>
      </c>
      <c r="V291" t="s">
        <v>419</v>
      </c>
      <c r="W291" t="s">
        <v>126</v>
      </c>
      <c r="X291" t="s">
        <v>126</v>
      </c>
      <c r="Y291" t="s">
        <v>126</v>
      </c>
      <c r="Z291" t="s">
        <v>288</v>
      </c>
      <c r="AA291" t="s">
        <v>309</v>
      </c>
    </row>
    <row r="292" spans="1:27" x14ac:dyDescent="0.2">
      <c r="A292" t="s">
        <v>1374</v>
      </c>
      <c r="B292" t="s">
        <v>1375</v>
      </c>
      <c r="D292" t="s">
        <v>119</v>
      </c>
      <c r="E292" t="s">
        <v>119</v>
      </c>
      <c r="G292" t="s">
        <v>118</v>
      </c>
      <c r="I292" t="s">
        <v>120</v>
      </c>
      <c r="K292" t="s">
        <v>121</v>
      </c>
      <c r="L292" t="s">
        <v>122</v>
      </c>
      <c r="M292" t="s">
        <v>1376</v>
      </c>
      <c r="N292" t="s">
        <v>1377</v>
      </c>
      <c r="O292" t="s">
        <v>1378</v>
      </c>
      <c r="P292" t="s">
        <v>125</v>
      </c>
      <c r="Q292" t="s">
        <v>126</v>
      </c>
      <c r="R292" t="s">
        <v>126</v>
      </c>
      <c r="S292" t="s">
        <v>126</v>
      </c>
      <c r="V292" t="s">
        <v>126</v>
      </c>
      <c r="Y292" t="s">
        <v>126</v>
      </c>
      <c r="Z292" t="s">
        <v>1379</v>
      </c>
      <c r="AA292" t="s">
        <v>1380</v>
      </c>
    </row>
    <row r="293" spans="1:27" x14ac:dyDescent="0.2">
      <c r="A293" t="s">
        <v>1381</v>
      </c>
      <c r="B293" t="s">
        <v>1382</v>
      </c>
      <c r="C293" t="s">
        <v>118</v>
      </c>
      <c r="D293" t="s">
        <v>119</v>
      </c>
      <c r="E293" t="s">
        <v>119</v>
      </c>
      <c r="G293" t="s">
        <v>118</v>
      </c>
      <c r="I293" t="s">
        <v>120</v>
      </c>
      <c r="K293" t="s">
        <v>852</v>
      </c>
      <c r="L293" t="s">
        <v>853</v>
      </c>
      <c r="M293" t="s">
        <v>1383</v>
      </c>
      <c r="N293" t="s">
        <v>1086</v>
      </c>
      <c r="O293" t="s">
        <v>1384</v>
      </c>
      <c r="P293" t="s">
        <v>125</v>
      </c>
      <c r="Q293" t="s">
        <v>126</v>
      </c>
      <c r="R293" t="s">
        <v>126</v>
      </c>
      <c r="S293" t="s">
        <v>126</v>
      </c>
      <c r="T293" t="s">
        <v>125</v>
      </c>
      <c r="U293" t="s">
        <v>126</v>
      </c>
      <c r="V293" t="s">
        <v>125</v>
      </c>
      <c r="W293" t="s">
        <v>126</v>
      </c>
      <c r="X293" t="s">
        <v>126</v>
      </c>
      <c r="Y293" t="s">
        <v>126</v>
      </c>
      <c r="Z293" t="s">
        <v>1088</v>
      </c>
      <c r="AA293" t="s">
        <v>1385</v>
      </c>
    </row>
    <row r="294" spans="1:27" x14ac:dyDescent="0.2">
      <c r="A294" t="s">
        <v>1386</v>
      </c>
      <c r="B294" t="s">
        <v>1387</v>
      </c>
      <c r="C294" t="s">
        <v>118</v>
      </c>
      <c r="D294" t="s">
        <v>119</v>
      </c>
      <c r="E294" t="s">
        <v>119</v>
      </c>
      <c r="G294" t="s">
        <v>118</v>
      </c>
      <c r="I294" t="s">
        <v>120</v>
      </c>
      <c r="K294" t="s">
        <v>130</v>
      </c>
      <c r="L294" t="s">
        <v>131</v>
      </c>
      <c r="M294" t="s">
        <v>1388</v>
      </c>
      <c r="N294" t="s">
        <v>249</v>
      </c>
      <c r="O294" t="s">
        <v>226</v>
      </c>
      <c r="P294" t="s">
        <v>126</v>
      </c>
      <c r="Q294" t="s">
        <v>126</v>
      </c>
      <c r="R294" t="s">
        <v>126</v>
      </c>
      <c r="S294" t="s">
        <v>126</v>
      </c>
      <c r="T294" t="s">
        <v>200</v>
      </c>
      <c r="U294" t="s">
        <v>126</v>
      </c>
      <c r="V294" t="s">
        <v>200</v>
      </c>
      <c r="W294" t="s">
        <v>126</v>
      </c>
      <c r="X294" t="s">
        <v>126</v>
      </c>
      <c r="Y294" t="s">
        <v>126</v>
      </c>
      <c r="Z294" t="s">
        <v>250</v>
      </c>
      <c r="AA294" t="s">
        <v>228</v>
      </c>
    </row>
    <row r="295" spans="1:27" x14ac:dyDescent="0.2">
      <c r="A295" t="s">
        <v>1389</v>
      </c>
      <c r="B295" t="s">
        <v>1390</v>
      </c>
      <c r="C295" t="s">
        <v>118</v>
      </c>
      <c r="D295" t="s">
        <v>119</v>
      </c>
      <c r="E295" t="s">
        <v>119</v>
      </c>
      <c r="G295" t="s">
        <v>118</v>
      </c>
      <c r="I295" t="s">
        <v>120</v>
      </c>
      <c r="K295" t="s">
        <v>204</v>
      </c>
      <c r="L295" t="s">
        <v>205</v>
      </c>
      <c r="M295" t="s">
        <v>1391</v>
      </c>
      <c r="N295" t="s">
        <v>227</v>
      </c>
      <c r="O295" t="s">
        <v>1392</v>
      </c>
      <c r="P295" t="s">
        <v>126</v>
      </c>
      <c r="Q295" t="s">
        <v>126</v>
      </c>
      <c r="R295" t="s">
        <v>126</v>
      </c>
      <c r="S295" t="s">
        <v>126</v>
      </c>
      <c r="T295" t="s">
        <v>200</v>
      </c>
      <c r="U295" t="s">
        <v>125</v>
      </c>
      <c r="V295" t="s">
        <v>125</v>
      </c>
      <c r="W295" t="s">
        <v>126</v>
      </c>
      <c r="X295" t="s">
        <v>126</v>
      </c>
      <c r="Y295" t="s">
        <v>126</v>
      </c>
      <c r="Z295" t="s">
        <v>229</v>
      </c>
      <c r="AA295" t="s">
        <v>1393</v>
      </c>
    </row>
    <row r="296" spans="1:27" x14ac:dyDescent="0.2">
      <c r="A296" t="s">
        <v>1394</v>
      </c>
      <c r="B296" t="s">
        <v>1395</v>
      </c>
      <c r="C296" t="s">
        <v>118</v>
      </c>
      <c r="D296" t="s">
        <v>119</v>
      </c>
      <c r="E296" t="s">
        <v>119</v>
      </c>
      <c r="G296" t="s">
        <v>118</v>
      </c>
      <c r="I296" t="s">
        <v>120</v>
      </c>
      <c r="K296" t="s">
        <v>158</v>
      </c>
      <c r="L296" t="s">
        <v>159</v>
      </c>
      <c r="M296" t="s">
        <v>1396</v>
      </c>
      <c r="N296" t="s">
        <v>162</v>
      </c>
      <c r="O296" t="s">
        <v>360</v>
      </c>
      <c r="P296" t="s">
        <v>126</v>
      </c>
      <c r="Q296" t="s">
        <v>126</v>
      </c>
      <c r="R296" t="s">
        <v>126</v>
      </c>
      <c r="S296" t="s">
        <v>126</v>
      </c>
      <c r="T296" t="s">
        <v>427</v>
      </c>
      <c r="U296" t="s">
        <v>126</v>
      </c>
      <c r="V296" t="s">
        <v>427</v>
      </c>
      <c r="W296" t="s">
        <v>126</v>
      </c>
      <c r="X296" t="s">
        <v>126</v>
      </c>
      <c r="Y296" t="s">
        <v>126</v>
      </c>
      <c r="Z296" t="s">
        <v>164</v>
      </c>
      <c r="AA296" t="s">
        <v>208</v>
      </c>
    </row>
    <row r="297" spans="1:27" x14ac:dyDescent="0.2">
      <c r="A297" t="s">
        <v>1397</v>
      </c>
      <c r="B297" t="s">
        <v>1398</v>
      </c>
      <c r="C297" t="s">
        <v>118</v>
      </c>
      <c r="D297" t="s">
        <v>119</v>
      </c>
      <c r="E297" t="s">
        <v>119</v>
      </c>
      <c r="G297" t="s">
        <v>118</v>
      </c>
      <c r="I297" t="s">
        <v>120</v>
      </c>
      <c r="K297" t="s">
        <v>158</v>
      </c>
      <c r="L297" t="s">
        <v>159</v>
      </c>
      <c r="M297" t="s">
        <v>1399</v>
      </c>
      <c r="N297" t="s">
        <v>1278</v>
      </c>
      <c r="O297" t="s">
        <v>287</v>
      </c>
      <c r="P297" t="s">
        <v>126</v>
      </c>
      <c r="Q297" t="s">
        <v>126</v>
      </c>
      <c r="R297" t="s">
        <v>126</v>
      </c>
      <c r="S297" t="s">
        <v>126</v>
      </c>
      <c r="T297" t="s">
        <v>125</v>
      </c>
      <c r="U297" t="s">
        <v>126</v>
      </c>
      <c r="V297" t="s">
        <v>125</v>
      </c>
      <c r="W297" t="s">
        <v>126</v>
      </c>
      <c r="X297" t="s">
        <v>126</v>
      </c>
      <c r="Y297" t="s">
        <v>126</v>
      </c>
      <c r="Z297" t="s">
        <v>1279</v>
      </c>
      <c r="AA297" t="s">
        <v>288</v>
      </c>
    </row>
    <row r="298" spans="1:27" x14ac:dyDescent="0.2">
      <c r="A298" t="s">
        <v>1400</v>
      </c>
      <c r="B298" t="s">
        <v>1401</v>
      </c>
      <c r="C298" t="s">
        <v>118</v>
      </c>
      <c r="D298" t="s">
        <v>119</v>
      </c>
      <c r="E298" t="s">
        <v>119</v>
      </c>
      <c r="G298" t="s">
        <v>118</v>
      </c>
      <c r="I298" t="s">
        <v>120</v>
      </c>
      <c r="K298" t="s">
        <v>130</v>
      </c>
      <c r="L298" t="s">
        <v>131</v>
      </c>
      <c r="M298" t="s">
        <v>1402</v>
      </c>
      <c r="N298" t="s">
        <v>226</v>
      </c>
      <c r="O298" t="s">
        <v>369</v>
      </c>
      <c r="P298" t="s">
        <v>126</v>
      </c>
      <c r="Q298" t="s">
        <v>126</v>
      </c>
      <c r="R298" t="s">
        <v>126</v>
      </c>
      <c r="S298" t="s">
        <v>126</v>
      </c>
      <c r="T298" t="s">
        <v>125</v>
      </c>
      <c r="U298" t="s">
        <v>126</v>
      </c>
      <c r="V298" t="s">
        <v>125</v>
      </c>
      <c r="W298" t="s">
        <v>126</v>
      </c>
      <c r="X298" t="s">
        <v>126</v>
      </c>
      <c r="Y298" t="s">
        <v>126</v>
      </c>
      <c r="Z298" t="s">
        <v>228</v>
      </c>
      <c r="AA298" t="s">
        <v>370</v>
      </c>
    </row>
    <row r="299" spans="1:27" x14ac:dyDescent="0.2">
      <c r="A299" t="s">
        <v>1403</v>
      </c>
      <c r="B299" t="s">
        <v>1404</v>
      </c>
      <c r="C299" t="s">
        <v>118</v>
      </c>
      <c r="D299" t="s">
        <v>119</v>
      </c>
      <c r="E299" t="s">
        <v>119</v>
      </c>
      <c r="G299" t="s">
        <v>118</v>
      </c>
      <c r="I299" t="s">
        <v>120</v>
      </c>
      <c r="K299" t="s">
        <v>158</v>
      </c>
      <c r="L299" t="s">
        <v>159</v>
      </c>
      <c r="M299" t="s">
        <v>1405</v>
      </c>
      <c r="N299" t="s">
        <v>299</v>
      </c>
      <c r="O299" t="s">
        <v>300</v>
      </c>
      <c r="P299" t="s">
        <v>126</v>
      </c>
      <c r="Q299" t="s">
        <v>126</v>
      </c>
      <c r="R299" t="s">
        <v>126</v>
      </c>
      <c r="S299" t="s">
        <v>126</v>
      </c>
      <c r="T299" t="s">
        <v>436</v>
      </c>
      <c r="U299" t="s">
        <v>126</v>
      </c>
      <c r="V299" t="s">
        <v>436</v>
      </c>
      <c r="W299" t="s">
        <v>126</v>
      </c>
      <c r="X299" t="s">
        <v>126</v>
      </c>
      <c r="Y299" t="s">
        <v>126</v>
      </c>
      <c r="Z299" t="s">
        <v>302</v>
      </c>
      <c r="AA299" t="s">
        <v>303</v>
      </c>
    </row>
    <row r="300" spans="1:27" x14ac:dyDescent="0.2">
      <c r="A300" t="s">
        <v>1406</v>
      </c>
      <c r="B300" t="s">
        <v>1407</v>
      </c>
      <c r="C300" t="s">
        <v>118</v>
      </c>
      <c r="D300" t="s">
        <v>119</v>
      </c>
      <c r="E300" t="s">
        <v>119</v>
      </c>
      <c r="G300" t="s">
        <v>118</v>
      </c>
      <c r="I300" t="s">
        <v>120</v>
      </c>
      <c r="K300" t="s">
        <v>149</v>
      </c>
      <c r="L300" t="s">
        <v>150</v>
      </c>
      <c r="M300" t="s">
        <v>1408</v>
      </c>
      <c r="N300" t="s">
        <v>1030</v>
      </c>
      <c r="O300" t="s">
        <v>1272</v>
      </c>
      <c r="P300" t="s">
        <v>125</v>
      </c>
      <c r="Q300" t="s">
        <v>126</v>
      </c>
      <c r="R300" t="s">
        <v>126</v>
      </c>
      <c r="S300" t="s">
        <v>126</v>
      </c>
      <c r="T300" t="s">
        <v>126</v>
      </c>
      <c r="U300" t="s">
        <v>126</v>
      </c>
      <c r="V300" t="s">
        <v>126</v>
      </c>
      <c r="W300" t="s">
        <v>126</v>
      </c>
      <c r="X300" t="s">
        <v>126</v>
      </c>
      <c r="Y300" t="s">
        <v>126</v>
      </c>
      <c r="Z300" t="s">
        <v>1031</v>
      </c>
      <c r="AA300" t="s">
        <v>1274</v>
      </c>
    </row>
    <row r="301" spans="1:27" x14ac:dyDescent="0.2">
      <c r="A301" t="s">
        <v>1409</v>
      </c>
      <c r="B301" t="s">
        <v>1410</v>
      </c>
      <c r="C301" t="s">
        <v>118</v>
      </c>
      <c r="D301" t="s">
        <v>119</v>
      </c>
      <c r="E301" t="s">
        <v>119</v>
      </c>
      <c r="G301" t="s">
        <v>118</v>
      </c>
      <c r="I301" t="s">
        <v>120</v>
      </c>
      <c r="K301" t="s">
        <v>501</v>
      </c>
      <c r="L301" t="s">
        <v>502</v>
      </c>
      <c r="M301" t="s">
        <v>1411</v>
      </c>
      <c r="N301" t="s">
        <v>369</v>
      </c>
      <c r="O301" t="s">
        <v>845</v>
      </c>
      <c r="P301" t="s">
        <v>126</v>
      </c>
      <c r="Q301" t="s">
        <v>126</v>
      </c>
      <c r="R301" t="s">
        <v>126</v>
      </c>
      <c r="S301" t="s">
        <v>126</v>
      </c>
      <c r="T301" t="s">
        <v>126</v>
      </c>
      <c r="U301" t="s">
        <v>126</v>
      </c>
      <c r="V301" t="s">
        <v>126</v>
      </c>
      <c r="W301" t="s">
        <v>126</v>
      </c>
      <c r="X301" t="s">
        <v>126</v>
      </c>
      <c r="Y301" t="s">
        <v>126</v>
      </c>
      <c r="Z301" t="s">
        <v>370</v>
      </c>
      <c r="AA301" t="s">
        <v>846</v>
      </c>
    </row>
    <row r="302" spans="1:27" x14ac:dyDescent="0.2">
      <c r="A302" t="s">
        <v>1412</v>
      </c>
      <c r="B302" t="s">
        <v>1413</v>
      </c>
      <c r="C302" t="s">
        <v>118</v>
      </c>
      <c r="D302" t="s">
        <v>119</v>
      </c>
      <c r="E302" t="s">
        <v>119</v>
      </c>
      <c r="G302" t="s">
        <v>118</v>
      </c>
      <c r="I302" t="s">
        <v>120</v>
      </c>
      <c r="K302" t="s">
        <v>149</v>
      </c>
      <c r="L302" t="s">
        <v>150</v>
      </c>
      <c r="M302" t="s">
        <v>1414</v>
      </c>
      <c r="N302" t="s">
        <v>263</v>
      </c>
      <c r="O302" t="s">
        <v>599</v>
      </c>
      <c r="P302" t="s">
        <v>126</v>
      </c>
      <c r="Q302" t="s">
        <v>126</v>
      </c>
      <c r="R302" t="s">
        <v>126</v>
      </c>
      <c r="S302" t="s">
        <v>126</v>
      </c>
      <c r="T302" t="s">
        <v>125</v>
      </c>
      <c r="U302" t="s">
        <v>126</v>
      </c>
      <c r="V302" t="s">
        <v>125</v>
      </c>
      <c r="W302" t="s">
        <v>126</v>
      </c>
      <c r="X302" t="s">
        <v>126</v>
      </c>
      <c r="Y302" t="s">
        <v>126</v>
      </c>
      <c r="Z302" t="s">
        <v>266</v>
      </c>
      <c r="AA302" t="s">
        <v>601</v>
      </c>
    </row>
    <row r="303" spans="1:27" x14ac:dyDescent="0.2">
      <c r="A303" t="s">
        <v>1415</v>
      </c>
      <c r="B303" t="s">
        <v>1416</v>
      </c>
      <c r="C303" t="s">
        <v>118</v>
      </c>
      <c r="D303" t="s">
        <v>119</v>
      </c>
      <c r="E303" t="s">
        <v>119</v>
      </c>
      <c r="G303" t="s">
        <v>118</v>
      </c>
      <c r="I303" t="s">
        <v>120</v>
      </c>
      <c r="K303" t="s">
        <v>149</v>
      </c>
      <c r="L303" t="s">
        <v>150</v>
      </c>
      <c r="M303" t="s">
        <v>1417</v>
      </c>
      <c r="N303" t="s">
        <v>845</v>
      </c>
      <c r="O303" t="s">
        <v>708</v>
      </c>
      <c r="P303" t="s">
        <v>126</v>
      </c>
      <c r="Q303" t="s">
        <v>126</v>
      </c>
      <c r="R303" t="s">
        <v>126</v>
      </c>
      <c r="S303" t="s">
        <v>126</v>
      </c>
      <c r="T303" t="s">
        <v>200</v>
      </c>
      <c r="U303" t="s">
        <v>126</v>
      </c>
      <c r="V303" t="s">
        <v>200</v>
      </c>
      <c r="W303" t="s">
        <v>126</v>
      </c>
      <c r="X303" t="s">
        <v>126</v>
      </c>
      <c r="Y303" t="s">
        <v>126</v>
      </c>
      <c r="Z303" t="s">
        <v>846</v>
      </c>
      <c r="AA303" t="s">
        <v>710</v>
      </c>
    </row>
    <row r="304" spans="1:27" x14ac:dyDescent="0.2">
      <c r="A304" t="s">
        <v>1418</v>
      </c>
      <c r="B304" t="s">
        <v>1419</v>
      </c>
      <c r="C304" t="s">
        <v>118</v>
      </c>
      <c r="D304" t="s">
        <v>119</v>
      </c>
      <c r="E304" t="s">
        <v>119</v>
      </c>
      <c r="G304" t="s">
        <v>118</v>
      </c>
      <c r="I304" t="s">
        <v>120</v>
      </c>
      <c r="K304" t="s">
        <v>578</v>
      </c>
      <c r="L304" t="s">
        <v>579</v>
      </c>
      <c r="M304" t="s">
        <v>1420</v>
      </c>
      <c r="N304" t="s">
        <v>1421</v>
      </c>
      <c r="O304" t="s">
        <v>1422</v>
      </c>
      <c r="P304" t="s">
        <v>125</v>
      </c>
      <c r="Q304" t="s">
        <v>126</v>
      </c>
      <c r="R304" t="s">
        <v>126</v>
      </c>
      <c r="S304" t="s">
        <v>126</v>
      </c>
      <c r="T304" t="s">
        <v>126</v>
      </c>
      <c r="U304" t="s">
        <v>126</v>
      </c>
      <c r="V304" t="s">
        <v>126</v>
      </c>
      <c r="W304" t="s">
        <v>126</v>
      </c>
      <c r="X304" t="s">
        <v>126</v>
      </c>
      <c r="Y304" t="s">
        <v>126</v>
      </c>
      <c r="Z304" t="s">
        <v>1423</v>
      </c>
      <c r="AA304" t="s">
        <v>1424</v>
      </c>
    </row>
    <row r="305" spans="1:27" x14ac:dyDescent="0.2">
      <c r="A305" t="s">
        <v>1425</v>
      </c>
      <c r="B305" t="s">
        <v>1426</v>
      </c>
      <c r="D305" t="s">
        <v>119</v>
      </c>
      <c r="E305" t="s">
        <v>119</v>
      </c>
      <c r="G305" t="s">
        <v>118</v>
      </c>
      <c r="I305" t="s">
        <v>120</v>
      </c>
      <c r="K305" t="s">
        <v>121</v>
      </c>
      <c r="L305" t="s">
        <v>122</v>
      </c>
      <c r="M305" t="s">
        <v>1427</v>
      </c>
      <c r="N305" t="s">
        <v>1428</v>
      </c>
      <c r="O305" t="s">
        <v>1428</v>
      </c>
      <c r="P305" t="s">
        <v>125</v>
      </c>
      <c r="Q305" t="s">
        <v>126</v>
      </c>
      <c r="R305" t="s">
        <v>126</v>
      </c>
      <c r="S305" t="s">
        <v>126</v>
      </c>
      <c r="V305" t="s">
        <v>126</v>
      </c>
      <c r="Y305" t="s">
        <v>126</v>
      </c>
      <c r="Z305" t="s">
        <v>1429</v>
      </c>
      <c r="AA305" t="s">
        <v>1429</v>
      </c>
    </row>
    <row r="306" spans="1:27" x14ac:dyDescent="0.2">
      <c r="A306" t="s">
        <v>1430</v>
      </c>
      <c r="B306" t="s">
        <v>1431</v>
      </c>
      <c r="C306" t="s">
        <v>118</v>
      </c>
      <c r="D306" t="s">
        <v>119</v>
      </c>
      <c r="E306" t="s">
        <v>119</v>
      </c>
      <c r="G306" t="s">
        <v>118</v>
      </c>
      <c r="I306" t="s">
        <v>120</v>
      </c>
      <c r="K306" t="s">
        <v>204</v>
      </c>
      <c r="L306" t="s">
        <v>205</v>
      </c>
      <c r="M306" t="s">
        <v>1432</v>
      </c>
      <c r="N306" t="s">
        <v>235</v>
      </c>
      <c r="O306" t="s">
        <v>1433</v>
      </c>
      <c r="P306" t="s">
        <v>126</v>
      </c>
      <c r="Q306" t="s">
        <v>126</v>
      </c>
      <c r="R306" t="s">
        <v>126</v>
      </c>
      <c r="S306" t="s">
        <v>126</v>
      </c>
      <c r="T306" t="s">
        <v>126</v>
      </c>
      <c r="U306" t="s">
        <v>126</v>
      </c>
      <c r="V306" t="s">
        <v>126</v>
      </c>
      <c r="W306" t="s">
        <v>126</v>
      </c>
      <c r="X306" t="s">
        <v>126</v>
      </c>
      <c r="Y306" t="s">
        <v>126</v>
      </c>
      <c r="Z306" t="s">
        <v>237</v>
      </c>
      <c r="AA306" t="s">
        <v>1434</v>
      </c>
    </row>
    <row r="307" spans="1:27" x14ac:dyDescent="0.2">
      <c r="A307" t="s">
        <v>1435</v>
      </c>
      <c r="B307" t="s">
        <v>1436</v>
      </c>
      <c r="C307" t="s">
        <v>118</v>
      </c>
      <c r="D307" t="s">
        <v>119</v>
      </c>
      <c r="E307" t="s">
        <v>119</v>
      </c>
      <c r="G307" t="s">
        <v>118</v>
      </c>
      <c r="I307" t="s">
        <v>120</v>
      </c>
      <c r="K307" t="s">
        <v>149</v>
      </c>
      <c r="L307" t="s">
        <v>150</v>
      </c>
      <c r="M307" t="s">
        <v>1437</v>
      </c>
      <c r="N307" t="s">
        <v>369</v>
      </c>
      <c r="O307" t="s">
        <v>1041</v>
      </c>
      <c r="P307" t="s">
        <v>126</v>
      </c>
      <c r="Q307" t="s">
        <v>126</v>
      </c>
      <c r="R307" t="s">
        <v>126</v>
      </c>
      <c r="S307" t="s">
        <v>126</v>
      </c>
      <c r="T307" t="s">
        <v>125</v>
      </c>
      <c r="U307" t="s">
        <v>126</v>
      </c>
      <c r="V307" t="s">
        <v>125</v>
      </c>
      <c r="W307" t="s">
        <v>126</v>
      </c>
      <c r="X307" t="s">
        <v>126</v>
      </c>
      <c r="Y307" t="s">
        <v>126</v>
      </c>
      <c r="Z307" t="s">
        <v>370</v>
      </c>
      <c r="AA307" t="s">
        <v>1042</v>
      </c>
    </row>
    <row r="308" spans="1:27" x14ac:dyDescent="0.2">
      <c r="A308" t="s">
        <v>1438</v>
      </c>
      <c r="B308" t="s">
        <v>1439</v>
      </c>
      <c r="C308" t="s">
        <v>118</v>
      </c>
      <c r="D308" t="s">
        <v>119</v>
      </c>
      <c r="E308" t="s">
        <v>119</v>
      </c>
      <c r="G308" t="s">
        <v>118</v>
      </c>
      <c r="I308" t="s">
        <v>120</v>
      </c>
      <c r="K308" t="s">
        <v>149</v>
      </c>
      <c r="L308" t="s">
        <v>150</v>
      </c>
      <c r="M308" t="s">
        <v>1440</v>
      </c>
      <c r="N308" t="s">
        <v>299</v>
      </c>
      <c r="O308" t="s">
        <v>1441</v>
      </c>
      <c r="P308" t="s">
        <v>126</v>
      </c>
      <c r="Q308" t="s">
        <v>126</v>
      </c>
      <c r="R308" t="s">
        <v>126</v>
      </c>
      <c r="S308" t="s">
        <v>126</v>
      </c>
      <c r="T308" t="s">
        <v>126</v>
      </c>
      <c r="U308" t="s">
        <v>126</v>
      </c>
      <c r="V308" t="s">
        <v>126</v>
      </c>
      <c r="W308" t="s">
        <v>126</v>
      </c>
      <c r="X308" t="s">
        <v>126</v>
      </c>
      <c r="Y308" t="s">
        <v>126</v>
      </c>
      <c r="Z308" t="s">
        <v>302</v>
      </c>
      <c r="AA308" t="s">
        <v>1442</v>
      </c>
    </row>
    <row r="309" spans="1:27" x14ac:dyDescent="0.2">
      <c r="A309" t="s">
        <v>1443</v>
      </c>
      <c r="B309" t="s">
        <v>1444</v>
      </c>
      <c r="C309" t="s">
        <v>118</v>
      </c>
      <c r="D309" t="s">
        <v>119</v>
      </c>
      <c r="E309" t="s">
        <v>119</v>
      </c>
      <c r="G309" t="s">
        <v>118</v>
      </c>
      <c r="I309" t="s">
        <v>120</v>
      </c>
      <c r="K309" t="s">
        <v>204</v>
      </c>
      <c r="L309" t="s">
        <v>205</v>
      </c>
      <c r="M309" t="s">
        <v>1445</v>
      </c>
      <c r="N309" t="s">
        <v>133</v>
      </c>
      <c r="O309" t="s">
        <v>257</v>
      </c>
      <c r="P309" t="s">
        <v>126</v>
      </c>
      <c r="Q309" t="s">
        <v>126</v>
      </c>
      <c r="R309" t="s">
        <v>126</v>
      </c>
      <c r="S309" t="s">
        <v>126</v>
      </c>
      <c r="T309" t="s">
        <v>126</v>
      </c>
      <c r="U309" t="s">
        <v>126</v>
      </c>
      <c r="V309" t="s">
        <v>126</v>
      </c>
      <c r="W309" t="s">
        <v>126</v>
      </c>
      <c r="X309" t="s">
        <v>126</v>
      </c>
      <c r="Y309" t="s">
        <v>126</v>
      </c>
      <c r="Z309" t="s">
        <v>135</v>
      </c>
      <c r="AA309" t="s">
        <v>258</v>
      </c>
    </row>
    <row r="310" spans="1:27" x14ac:dyDescent="0.2">
      <c r="A310" t="s">
        <v>1446</v>
      </c>
      <c r="B310" t="s">
        <v>1447</v>
      </c>
      <c r="C310" t="s">
        <v>118</v>
      </c>
      <c r="D310" t="s">
        <v>119</v>
      </c>
      <c r="E310" t="s">
        <v>119</v>
      </c>
      <c r="G310" t="s">
        <v>118</v>
      </c>
      <c r="I310" t="s">
        <v>120</v>
      </c>
      <c r="K310" t="s">
        <v>204</v>
      </c>
      <c r="L310" t="s">
        <v>205</v>
      </c>
      <c r="M310" t="s">
        <v>1448</v>
      </c>
      <c r="N310" t="s">
        <v>133</v>
      </c>
      <c r="O310" t="s">
        <v>369</v>
      </c>
      <c r="P310" t="s">
        <v>126</v>
      </c>
      <c r="Q310" t="s">
        <v>126</v>
      </c>
      <c r="R310" t="s">
        <v>126</v>
      </c>
      <c r="S310" t="s">
        <v>126</v>
      </c>
      <c r="T310" t="s">
        <v>126</v>
      </c>
      <c r="U310" t="s">
        <v>125</v>
      </c>
      <c r="V310" t="s">
        <v>667</v>
      </c>
      <c r="W310" t="s">
        <v>126</v>
      </c>
      <c r="X310" t="s">
        <v>126</v>
      </c>
      <c r="Y310" t="s">
        <v>126</v>
      </c>
      <c r="Z310" t="s">
        <v>135</v>
      </c>
      <c r="AA310" t="s">
        <v>370</v>
      </c>
    </row>
    <row r="311" spans="1:27" x14ac:dyDescent="0.2">
      <c r="A311" t="s">
        <v>1449</v>
      </c>
      <c r="B311" t="s">
        <v>1450</v>
      </c>
      <c r="C311" t="s">
        <v>118</v>
      </c>
      <c r="D311" t="s">
        <v>119</v>
      </c>
      <c r="E311" t="s">
        <v>119</v>
      </c>
      <c r="G311" t="s">
        <v>118</v>
      </c>
      <c r="I311" t="s">
        <v>120</v>
      </c>
      <c r="K311" t="s">
        <v>149</v>
      </c>
      <c r="L311" t="s">
        <v>150</v>
      </c>
      <c r="M311" t="s">
        <v>1451</v>
      </c>
      <c r="N311" t="s">
        <v>314</v>
      </c>
      <c r="O311" t="s">
        <v>227</v>
      </c>
      <c r="P311" t="s">
        <v>126</v>
      </c>
      <c r="Q311" t="s">
        <v>126</v>
      </c>
      <c r="R311" t="s">
        <v>126</v>
      </c>
      <c r="S311" t="s">
        <v>126</v>
      </c>
      <c r="T311" t="s">
        <v>427</v>
      </c>
      <c r="U311" t="s">
        <v>126</v>
      </c>
      <c r="V311" t="s">
        <v>427</v>
      </c>
      <c r="W311" t="s">
        <v>126</v>
      </c>
      <c r="X311" t="s">
        <v>126</v>
      </c>
      <c r="Y311" t="s">
        <v>126</v>
      </c>
      <c r="Z311" t="s">
        <v>315</v>
      </c>
      <c r="AA311" t="s">
        <v>229</v>
      </c>
    </row>
    <row r="312" spans="1:27" x14ac:dyDescent="0.2">
      <c r="A312" t="s">
        <v>1452</v>
      </c>
      <c r="B312" t="s">
        <v>1453</v>
      </c>
      <c r="C312" t="s">
        <v>118</v>
      </c>
      <c r="D312" t="s">
        <v>119</v>
      </c>
      <c r="E312" t="s">
        <v>119</v>
      </c>
      <c r="G312" t="s">
        <v>118</v>
      </c>
      <c r="I312" t="s">
        <v>120</v>
      </c>
      <c r="K312" t="s">
        <v>501</v>
      </c>
      <c r="L312" t="s">
        <v>502</v>
      </c>
      <c r="M312" t="s">
        <v>1454</v>
      </c>
      <c r="N312" t="s">
        <v>353</v>
      </c>
      <c r="O312" t="s">
        <v>354</v>
      </c>
      <c r="P312" t="s">
        <v>126</v>
      </c>
      <c r="Q312" t="s">
        <v>126</v>
      </c>
      <c r="R312" t="s">
        <v>126</v>
      </c>
      <c r="S312" t="s">
        <v>126</v>
      </c>
      <c r="T312" t="s">
        <v>126</v>
      </c>
      <c r="U312" t="s">
        <v>126</v>
      </c>
      <c r="V312" t="s">
        <v>126</v>
      </c>
      <c r="W312" t="s">
        <v>126</v>
      </c>
      <c r="X312" t="s">
        <v>126</v>
      </c>
      <c r="Y312" t="s">
        <v>126</v>
      </c>
      <c r="Z312" t="s">
        <v>355</v>
      </c>
      <c r="AA312" t="s">
        <v>356</v>
      </c>
    </row>
    <row r="313" spans="1:27" x14ac:dyDescent="0.2">
      <c r="A313" t="s">
        <v>1455</v>
      </c>
      <c r="B313" t="s">
        <v>1456</v>
      </c>
      <c r="C313" t="s">
        <v>118</v>
      </c>
      <c r="D313" t="s">
        <v>119</v>
      </c>
      <c r="E313" t="s">
        <v>119</v>
      </c>
      <c r="G313" t="s">
        <v>118</v>
      </c>
      <c r="I313" t="s">
        <v>120</v>
      </c>
      <c r="K313" t="s">
        <v>204</v>
      </c>
      <c r="L313" t="s">
        <v>205</v>
      </c>
      <c r="M313" t="s">
        <v>1457</v>
      </c>
      <c r="N313" t="s">
        <v>1211</v>
      </c>
      <c r="O313" t="s">
        <v>708</v>
      </c>
      <c r="P313" t="s">
        <v>126</v>
      </c>
      <c r="Q313" t="s">
        <v>126</v>
      </c>
      <c r="R313" t="s">
        <v>126</v>
      </c>
      <c r="S313" t="s">
        <v>126</v>
      </c>
      <c r="T313" t="s">
        <v>767</v>
      </c>
      <c r="U313" t="s">
        <v>126</v>
      </c>
      <c r="V313" t="s">
        <v>767</v>
      </c>
      <c r="W313" t="s">
        <v>126</v>
      </c>
      <c r="X313" t="s">
        <v>126</v>
      </c>
      <c r="Y313" t="s">
        <v>126</v>
      </c>
      <c r="Z313" t="s">
        <v>1212</v>
      </c>
      <c r="AA313" t="s">
        <v>710</v>
      </c>
    </row>
    <row r="314" spans="1:27" x14ac:dyDescent="0.2">
      <c r="A314" t="s">
        <v>1458</v>
      </c>
      <c r="B314" t="s">
        <v>1459</v>
      </c>
      <c r="C314" t="s">
        <v>118</v>
      </c>
      <c r="D314" t="s">
        <v>119</v>
      </c>
      <c r="E314" t="s">
        <v>119</v>
      </c>
      <c r="G314" t="s">
        <v>118</v>
      </c>
      <c r="I314" t="s">
        <v>120</v>
      </c>
      <c r="K314" t="s">
        <v>130</v>
      </c>
      <c r="L314" t="s">
        <v>131</v>
      </c>
      <c r="M314" t="s">
        <v>1460</v>
      </c>
      <c r="N314" t="s">
        <v>226</v>
      </c>
      <c r="O314" t="s">
        <v>369</v>
      </c>
      <c r="P314" t="s">
        <v>126</v>
      </c>
      <c r="Q314" t="s">
        <v>126</v>
      </c>
      <c r="R314" t="s">
        <v>126</v>
      </c>
      <c r="S314" t="s">
        <v>126</v>
      </c>
      <c r="T314" t="s">
        <v>126</v>
      </c>
      <c r="U314" t="s">
        <v>126</v>
      </c>
      <c r="V314" t="s">
        <v>126</v>
      </c>
      <c r="W314" t="s">
        <v>126</v>
      </c>
      <c r="X314" t="s">
        <v>126</v>
      </c>
      <c r="Y314" t="s">
        <v>126</v>
      </c>
      <c r="Z314" t="s">
        <v>228</v>
      </c>
      <c r="AA314" t="s">
        <v>370</v>
      </c>
    </row>
    <row r="315" spans="1:27" x14ac:dyDescent="0.2">
      <c r="A315" t="s">
        <v>1461</v>
      </c>
      <c r="B315" t="s">
        <v>1462</v>
      </c>
      <c r="C315" t="s">
        <v>118</v>
      </c>
      <c r="D315" t="s">
        <v>119</v>
      </c>
      <c r="E315" t="s">
        <v>119</v>
      </c>
      <c r="G315" t="s">
        <v>118</v>
      </c>
      <c r="I315" t="s">
        <v>120</v>
      </c>
      <c r="K315" t="s">
        <v>204</v>
      </c>
      <c r="L315" t="s">
        <v>205</v>
      </c>
      <c r="M315" t="s">
        <v>1463</v>
      </c>
      <c r="N315" t="s">
        <v>235</v>
      </c>
      <c r="O315" t="s">
        <v>236</v>
      </c>
      <c r="P315" t="s">
        <v>126</v>
      </c>
      <c r="Q315" t="s">
        <v>126</v>
      </c>
      <c r="R315" t="s">
        <v>126</v>
      </c>
      <c r="S315" t="s">
        <v>126</v>
      </c>
      <c r="T315" t="s">
        <v>436</v>
      </c>
      <c r="U315" t="s">
        <v>126</v>
      </c>
      <c r="V315" t="s">
        <v>436</v>
      </c>
      <c r="W315" t="s">
        <v>126</v>
      </c>
      <c r="X315" t="s">
        <v>126</v>
      </c>
      <c r="Y315" t="s">
        <v>126</v>
      </c>
      <c r="Z315" t="s">
        <v>237</v>
      </c>
      <c r="AA315" t="s">
        <v>238</v>
      </c>
    </row>
    <row r="316" spans="1:27" x14ac:dyDescent="0.2">
      <c r="A316" t="s">
        <v>1464</v>
      </c>
      <c r="B316" t="s">
        <v>1465</v>
      </c>
      <c r="C316" t="s">
        <v>118</v>
      </c>
      <c r="D316" t="s">
        <v>119</v>
      </c>
      <c r="E316" t="s">
        <v>119</v>
      </c>
      <c r="G316" t="s">
        <v>118</v>
      </c>
      <c r="I316" t="s">
        <v>120</v>
      </c>
      <c r="K316" t="s">
        <v>204</v>
      </c>
      <c r="L316" t="s">
        <v>205</v>
      </c>
      <c r="M316" t="s">
        <v>1466</v>
      </c>
      <c r="N316" t="s">
        <v>396</v>
      </c>
      <c r="O316" t="s">
        <v>308</v>
      </c>
      <c r="P316" t="s">
        <v>126</v>
      </c>
      <c r="Q316" t="s">
        <v>126</v>
      </c>
      <c r="R316" t="s">
        <v>126</v>
      </c>
      <c r="S316" t="s">
        <v>126</v>
      </c>
      <c r="T316" t="s">
        <v>169</v>
      </c>
      <c r="U316" t="s">
        <v>126</v>
      </c>
      <c r="V316" t="s">
        <v>169</v>
      </c>
      <c r="W316" t="s">
        <v>126</v>
      </c>
      <c r="X316" t="s">
        <v>126</v>
      </c>
      <c r="Y316" t="s">
        <v>126</v>
      </c>
      <c r="Z316" t="s">
        <v>397</v>
      </c>
      <c r="AA316" t="s">
        <v>310</v>
      </c>
    </row>
    <row r="317" spans="1:27" x14ac:dyDescent="0.2">
      <c r="A317" t="s">
        <v>1467</v>
      </c>
      <c r="B317" t="s">
        <v>1468</v>
      </c>
      <c r="C317" t="s">
        <v>118</v>
      </c>
      <c r="D317" t="s">
        <v>119</v>
      </c>
      <c r="E317" t="s">
        <v>119</v>
      </c>
      <c r="G317" t="s">
        <v>118</v>
      </c>
      <c r="I317" t="s">
        <v>120</v>
      </c>
      <c r="K317" t="s">
        <v>1148</v>
      </c>
      <c r="L317" t="s">
        <v>1149</v>
      </c>
      <c r="M317" t="s">
        <v>1469</v>
      </c>
      <c r="N317" t="s">
        <v>155</v>
      </c>
      <c r="O317" t="s">
        <v>1470</v>
      </c>
      <c r="P317" t="s">
        <v>126</v>
      </c>
      <c r="Q317" t="s">
        <v>126</v>
      </c>
      <c r="R317" t="s">
        <v>126</v>
      </c>
      <c r="S317" t="s">
        <v>126</v>
      </c>
      <c r="T317" t="s">
        <v>126</v>
      </c>
      <c r="U317" t="s">
        <v>126</v>
      </c>
      <c r="V317" t="s">
        <v>126</v>
      </c>
      <c r="W317" t="s">
        <v>126</v>
      </c>
      <c r="X317" t="s">
        <v>126</v>
      </c>
      <c r="Y317" t="s">
        <v>126</v>
      </c>
      <c r="Z317" t="s">
        <v>1299</v>
      </c>
      <c r="AA317" t="s">
        <v>1471</v>
      </c>
    </row>
    <row r="318" spans="1:27" x14ac:dyDescent="0.2">
      <c r="A318" t="s">
        <v>1472</v>
      </c>
      <c r="B318" t="s">
        <v>1473</v>
      </c>
      <c r="C318" t="s">
        <v>118</v>
      </c>
      <c r="D318" t="s">
        <v>119</v>
      </c>
      <c r="E318" t="s">
        <v>119</v>
      </c>
      <c r="G318" t="s">
        <v>118</v>
      </c>
      <c r="I318" t="s">
        <v>120</v>
      </c>
      <c r="K318" t="s">
        <v>1148</v>
      </c>
      <c r="L318" t="s">
        <v>1149</v>
      </c>
      <c r="M318" t="s">
        <v>1474</v>
      </c>
      <c r="N318" t="s">
        <v>1377</v>
      </c>
      <c r="O318" t="s">
        <v>1475</v>
      </c>
      <c r="P318" t="s">
        <v>126</v>
      </c>
      <c r="Q318" t="s">
        <v>126</v>
      </c>
      <c r="R318" t="s">
        <v>126</v>
      </c>
      <c r="S318" t="s">
        <v>126</v>
      </c>
      <c r="T318" t="s">
        <v>125</v>
      </c>
      <c r="U318" t="s">
        <v>126</v>
      </c>
      <c r="V318" t="s">
        <v>125</v>
      </c>
      <c r="W318" t="s">
        <v>126</v>
      </c>
      <c r="X318" t="s">
        <v>126</v>
      </c>
      <c r="Y318" t="s">
        <v>126</v>
      </c>
      <c r="Z318" t="s">
        <v>1379</v>
      </c>
      <c r="AA318" t="s">
        <v>1476</v>
      </c>
    </row>
    <row r="319" spans="1:27" x14ac:dyDescent="0.2">
      <c r="A319" t="s">
        <v>1477</v>
      </c>
      <c r="B319" t="s">
        <v>1478</v>
      </c>
      <c r="C319" t="s">
        <v>118</v>
      </c>
      <c r="D319" t="s">
        <v>119</v>
      </c>
      <c r="E319" t="s">
        <v>119</v>
      </c>
      <c r="G319" t="s">
        <v>118</v>
      </c>
      <c r="I319" t="s">
        <v>120</v>
      </c>
      <c r="K319" t="s">
        <v>158</v>
      </c>
      <c r="L319" t="s">
        <v>159</v>
      </c>
      <c r="M319" t="s">
        <v>1479</v>
      </c>
      <c r="N319" t="s">
        <v>214</v>
      </c>
      <c r="O319" t="s">
        <v>396</v>
      </c>
      <c r="P319" t="s">
        <v>126</v>
      </c>
      <c r="Q319" t="s">
        <v>126</v>
      </c>
      <c r="R319" t="s">
        <v>126</v>
      </c>
      <c r="S319" t="s">
        <v>126</v>
      </c>
      <c r="T319" t="s">
        <v>126</v>
      </c>
      <c r="U319" t="s">
        <v>126</v>
      </c>
      <c r="V319" t="s">
        <v>126</v>
      </c>
      <c r="W319" t="s">
        <v>126</v>
      </c>
      <c r="X319" t="s">
        <v>126</v>
      </c>
      <c r="Y319" t="s">
        <v>126</v>
      </c>
      <c r="Z319" t="s">
        <v>215</v>
      </c>
      <c r="AA319" t="s">
        <v>397</v>
      </c>
    </row>
    <row r="320" spans="1:27" x14ac:dyDescent="0.2">
      <c r="A320" t="s">
        <v>1480</v>
      </c>
      <c r="B320" t="s">
        <v>1481</v>
      </c>
      <c r="C320" t="s">
        <v>118</v>
      </c>
      <c r="D320" t="s">
        <v>119</v>
      </c>
      <c r="E320" t="s">
        <v>119</v>
      </c>
      <c r="G320" t="s">
        <v>118</v>
      </c>
      <c r="I320" t="s">
        <v>120</v>
      </c>
      <c r="K320" t="s">
        <v>1148</v>
      </c>
      <c r="L320" t="s">
        <v>1149</v>
      </c>
      <c r="M320" t="s">
        <v>1482</v>
      </c>
      <c r="N320" t="s">
        <v>287</v>
      </c>
      <c r="O320" t="s">
        <v>199</v>
      </c>
      <c r="P320" t="s">
        <v>126</v>
      </c>
      <c r="Q320" t="s">
        <v>126</v>
      </c>
      <c r="R320" t="s">
        <v>126</v>
      </c>
      <c r="S320" t="s">
        <v>126</v>
      </c>
      <c r="T320" t="s">
        <v>126</v>
      </c>
      <c r="U320" t="s">
        <v>126</v>
      </c>
      <c r="V320" t="s">
        <v>126</v>
      </c>
      <c r="W320" t="s">
        <v>126</v>
      </c>
      <c r="X320" t="s">
        <v>126</v>
      </c>
      <c r="Y320" t="s">
        <v>126</v>
      </c>
      <c r="Z320" t="s">
        <v>288</v>
      </c>
      <c r="AA320" t="s">
        <v>201</v>
      </c>
    </row>
    <row r="321" spans="1:27" x14ac:dyDescent="0.2">
      <c r="A321" t="s">
        <v>1483</v>
      </c>
      <c r="B321" t="s">
        <v>1484</v>
      </c>
      <c r="C321" t="s">
        <v>118</v>
      </c>
      <c r="D321" t="s">
        <v>119</v>
      </c>
      <c r="E321" t="s">
        <v>119</v>
      </c>
      <c r="G321" t="s">
        <v>118</v>
      </c>
      <c r="I321" t="s">
        <v>120</v>
      </c>
      <c r="K321" t="s">
        <v>1148</v>
      </c>
      <c r="L321" t="s">
        <v>1149</v>
      </c>
      <c r="M321" t="s">
        <v>1485</v>
      </c>
      <c r="N321" t="s">
        <v>1251</v>
      </c>
      <c r="O321" t="s">
        <v>1486</v>
      </c>
      <c r="P321" t="s">
        <v>126</v>
      </c>
      <c r="Q321" t="s">
        <v>126</v>
      </c>
      <c r="R321" t="s">
        <v>126</v>
      </c>
      <c r="S321" t="s">
        <v>126</v>
      </c>
      <c r="T321" t="s">
        <v>126</v>
      </c>
      <c r="U321" t="s">
        <v>126</v>
      </c>
      <c r="V321" t="s">
        <v>126</v>
      </c>
      <c r="W321" t="s">
        <v>126</v>
      </c>
      <c r="X321" t="s">
        <v>126</v>
      </c>
      <c r="Y321" t="s">
        <v>126</v>
      </c>
      <c r="Z321" t="s">
        <v>1253</v>
      </c>
      <c r="AA321" t="s">
        <v>1487</v>
      </c>
    </row>
    <row r="322" spans="1:27" x14ac:dyDescent="0.2">
      <c r="A322" t="s">
        <v>1488</v>
      </c>
      <c r="B322" t="s">
        <v>1489</v>
      </c>
      <c r="C322" t="s">
        <v>118</v>
      </c>
      <c r="D322" t="s">
        <v>119</v>
      </c>
      <c r="E322" t="s">
        <v>119</v>
      </c>
      <c r="G322" t="s">
        <v>118</v>
      </c>
      <c r="I322" t="s">
        <v>120</v>
      </c>
      <c r="M322" t="s">
        <v>1490</v>
      </c>
      <c r="N322" t="s">
        <v>142</v>
      </c>
      <c r="O322" t="s">
        <v>199</v>
      </c>
      <c r="P322" t="s">
        <v>126</v>
      </c>
      <c r="Q322" t="s">
        <v>126</v>
      </c>
      <c r="R322" t="s">
        <v>126</v>
      </c>
      <c r="S322" t="s">
        <v>126</v>
      </c>
      <c r="T322" t="s">
        <v>126</v>
      </c>
      <c r="U322" t="s">
        <v>126</v>
      </c>
      <c r="V322" t="s">
        <v>126</v>
      </c>
      <c r="W322" t="s">
        <v>126</v>
      </c>
      <c r="X322" t="s">
        <v>126</v>
      </c>
      <c r="Y322" t="s">
        <v>126</v>
      </c>
      <c r="Z322" t="s">
        <v>145</v>
      </c>
      <c r="AA322" t="s">
        <v>201</v>
      </c>
    </row>
    <row r="323" spans="1:27" x14ac:dyDescent="0.2">
      <c r="A323" t="s">
        <v>1491</v>
      </c>
      <c r="B323" t="s">
        <v>1492</v>
      </c>
      <c r="C323" t="s">
        <v>118</v>
      </c>
      <c r="D323" t="s">
        <v>119</v>
      </c>
      <c r="E323" t="s">
        <v>119</v>
      </c>
      <c r="G323" t="s">
        <v>118</v>
      </c>
      <c r="I323" t="s">
        <v>120</v>
      </c>
      <c r="K323" t="s">
        <v>291</v>
      </c>
      <c r="L323" t="s">
        <v>292</v>
      </c>
      <c r="M323" t="s">
        <v>1493</v>
      </c>
      <c r="N323" t="s">
        <v>386</v>
      </c>
      <c r="O323" t="s">
        <v>1278</v>
      </c>
      <c r="P323" t="s">
        <v>126</v>
      </c>
      <c r="Q323" t="s">
        <v>126</v>
      </c>
      <c r="R323" t="s">
        <v>126</v>
      </c>
      <c r="S323" t="s">
        <v>126</v>
      </c>
      <c r="T323" t="s">
        <v>125</v>
      </c>
      <c r="U323" t="s">
        <v>126</v>
      </c>
      <c r="V323" t="s">
        <v>125</v>
      </c>
      <c r="W323" t="s">
        <v>126</v>
      </c>
      <c r="X323" t="s">
        <v>126</v>
      </c>
      <c r="Y323" t="s">
        <v>126</v>
      </c>
      <c r="Z323" t="s">
        <v>387</v>
      </c>
      <c r="AA323" t="s">
        <v>1279</v>
      </c>
    </row>
    <row r="324" spans="1:27" x14ac:dyDescent="0.2">
      <c r="A324" t="s">
        <v>1494</v>
      </c>
      <c r="B324" t="s">
        <v>1495</v>
      </c>
      <c r="C324" t="s">
        <v>118</v>
      </c>
      <c r="D324" t="s">
        <v>119</v>
      </c>
      <c r="E324" t="s">
        <v>119</v>
      </c>
      <c r="G324" t="s">
        <v>118</v>
      </c>
      <c r="I324" t="s">
        <v>120</v>
      </c>
      <c r="K324" t="s">
        <v>204</v>
      </c>
      <c r="L324" t="s">
        <v>205</v>
      </c>
      <c r="M324" t="s">
        <v>1496</v>
      </c>
      <c r="N324" t="s">
        <v>921</v>
      </c>
      <c r="O324" t="s">
        <v>219</v>
      </c>
      <c r="P324" t="s">
        <v>126</v>
      </c>
      <c r="Q324" t="s">
        <v>126</v>
      </c>
      <c r="R324" t="s">
        <v>126</v>
      </c>
      <c r="S324" t="s">
        <v>126</v>
      </c>
      <c r="T324" t="s">
        <v>125</v>
      </c>
      <c r="U324" t="s">
        <v>126</v>
      </c>
      <c r="V324" t="s">
        <v>125</v>
      </c>
      <c r="W324" t="s">
        <v>126</v>
      </c>
      <c r="X324" t="s">
        <v>126</v>
      </c>
      <c r="Y324" t="s">
        <v>126</v>
      </c>
      <c r="Z324" t="s">
        <v>922</v>
      </c>
      <c r="AA324" t="s">
        <v>221</v>
      </c>
    </row>
    <row r="325" spans="1:27" x14ac:dyDescent="0.2">
      <c r="A325" t="s">
        <v>1497</v>
      </c>
      <c r="B325" t="s">
        <v>1498</v>
      </c>
      <c r="C325" t="s">
        <v>118</v>
      </c>
      <c r="D325" t="s">
        <v>119</v>
      </c>
      <c r="E325" t="s">
        <v>119</v>
      </c>
      <c r="G325" t="s">
        <v>118</v>
      </c>
      <c r="I325" t="s">
        <v>120</v>
      </c>
      <c r="K325" t="s">
        <v>204</v>
      </c>
      <c r="L325" t="s">
        <v>205</v>
      </c>
      <c r="M325" t="s">
        <v>1499</v>
      </c>
      <c r="N325" t="s">
        <v>914</v>
      </c>
      <c r="O325" t="s">
        <v>287</v>
      </c>
      <c r="P325" t="s">
        <v>126</v>
      </c>
      <c r="Q325" t="s">
        <v>126</v>
      </c>
      <c r="R325" t="s">
        <v>126</v>
      </c>
      <c r="S325" t="s">
        <v>126</v>
      </c>
      <c r="T325" t="s">
        <v>200</v>
      </c>
      <c r="U325" t="s">
        <v>126</v>
      </c>
      <c r="V325" t="s">
        <v>200</v>
      </c>
      <c r="W325" t="s">
        <v>126</v>
      </c>
      <c r="X325" t="s">
        <v>126</v>
      </c>
      <c r="Y325" t="s">
        <v>126</v>
      </c>
      <c r="Z325" t="s">
        <v>916</v>
      </c>
      <c r="AA325" t="s">
        <v>288</v>
      </c>
    </row>
    <row r="326" spans="1:27" x14ac:dyDescent="0.2">
      <c r="A326" t="s">
        <v>1500</v>
      </c>
      <c r="B326" t="s">
        <v>1501</v>
      </c>
      <c r="C326" t="s">
        <v>118</v>
      </c>
      <c r="D326" t="s">
        <v>119</v>
      </c>
      <c r="E326" t="s">
        <v>119</v>
      </c>
      <c r="G326" t="s">
        <v>118</v>
      </c>
      <c r="I326" t="s">
        <v>120</v>
      </c>
      <c r="K326" t="s">
        <v>173</v>
      </c>
      <c r="L326" t="s">
        <v>174</v>
      </c>
      <c r="M326" t="s">
        <v>1502</v>
      </c>
      <c r="N326" t="s">
        <v>287</v>
      </c>
      <c r="O326" t="s">
        <v>307</v>
      </c>
      <c r="P326" t="s">
        <v>126</v>
      </c>
      <c r="Q326" t="s">
        <v>126</v>
      </c>
      <c r="R326" t="s">
        <v>126</v>
      </c>
      <c r="S326" t="s">
        <v>126</v>
      </c>
      <c r="T326" t="s">
        <v>126</v>
      </c>
      <c r="U326" t="s">
        <v>126</v>
      </c>
      <c r="V326" t="s">
        <v>126</v>
      </c>
      <c r="W326" t="s">
        <v>126</v>
      </c>
      <c r="X326" t="s">
        <v>126</v>
      </c>
      <c r="Y326" t="s">
        <v>126</v>
      </c>
      <c r="Z326" t="s">
        <v>288</v>
      </c>
      <c r="AA326" t="s">
        <v>309</v>
      </c>
    </row>
    <row r="327" spans="1:27" x14ac:dyDescent="0.2">
      <c r="A327" t="s">
        <v>1503</v>
      </c>
      <c r="B327" t="s">
        <v>1504</v>
      </c>
      <c r="C327" t="s">
        <v>118</v>
      </c>
      <c r="D327" t="s">
        <v>119</v>
      </c>
      <c r="E327" t="s">
        <v>119</v>
      </c>
      <c r="G327" t="s">
        <v>118</v>
      </c>
      <c r="I327" t="s">
        <v>120</v>
      </c>
      <c r="K327" t="s">
        <v>149</v>
      </c>
      <c r="L327" t="s">
        <v>150</v>
      </c>
      <c r="M327" t="s">
        <v>1505</v>
      </c>
      <c r="N327" t="s">
        <v>177</v>
      </c>
      <c r="O327" t="s">
        <v>909</v>
      </c>
      <c r="P327" t="s">
        <v>126</v>
      </c>
      <c r="Q327" t="s">
        <v>126</v>
      </c>
      <c r="R327" t="s">
        <v>126</v>
      </c>
      <c r="S327" t="s">
        <v>126</v>
      </c>
      <c r="T327" t="s">
        <v>200</v>
      </c>
      <c r="U327" t="s">
        <v>126</v>
      </c>
      <c r="V327" t="s">
        <v>200</v>
      </c>
      <c r="W327" t="s">
        <v>126</v>
      </c>
      <c r="X327" t="s">
        <v>126</v>
      </c>
      <c r="Y327" t="s">
        <v>126</v>
      </c>
      <c r="Z327" t="s">
        <v>179</v>
      </c>
      <c r="AA327" t="s">
        <v>910</v>
      </c>
    </row>
    <row r="328" spans="1:27" x14ac:dyDescent="0.2">
      <c r="A328" t="s">
        <v>1506</v>
      </c>
      <c r="B328" t="s">
        <v>1507</v>
      </c>
      <c r="C328" t="s">
        <v>118</v>
      </c>
      <c r="D328" t="s">
        <v>119</v>
      </c>
      <c r="E328" t="s">
        <v>119</v>
      </c>
      <c r="G328" t="s">
        <v>118</v>
      </c>
      <c r="I328" t="s">
        <v>120</v>
      </c>
      <c r="K328" t="s">
        <v>149</v>
      </c>
      <c r="L328" t="s">
        <v>150</v>
      </c>
      <c r="M328" t="s">
        <v>1508</v>
      </c>
      <c r="N328" t="s">
        <v>153</v>
      </c>
      <c r="O328" t="s">
        <v>478</v>
      </c>
      <c r="P328" t="s">
        <v>126</v>
      </c>
      <c r="Q328" t="s">
        <v>126</v>
      </c>
      <c r="R328" t="s">
        <v>126</v>
      </c>
      <c r="S328" t="s">
        <v>126</v>
      </c>
      <c r="T328" t="s">
        <v>169</v>
      </c>
      <c r="U328" t="s">
        <v>126</v>
      </c>
      <c r="V328" t="s">
        <v>169</v>
      </c>
      <c r="W328" t="s">
        <v>126</v>
      </c>
      <c r="X328" t="s">
        <v>126</v>
      </c>
      <c r="Y328" t="s">
        <v>126</v>
      </c>
      <c r="Z328" t="s">
        <v>155</v>
      </c>
      <c r="AA328" t="s">
        <v>479</v>
      </c>
    </row>
    <row r="329" spans="1:27" x14ac:dyDescent="0.2">
      <c r="A329" t="s">
        <v>1509</v>
      </c>
      <c r="B329" t="s">
        <v>1510</v>
      </c>
      <c r="C329" t="s">
        <v>118</v>
      </c>
      <c r="D329" t="s">
        <v>119</v>
      </c>
      <c r="E329" t="s">
        <v>119</v>
      </c>
      <c r="G329" t="s">
        <v>118</v>
      </c>
      <c r="I329" t="s">
        <v>120</v>
      </c>
      <c r="K329" t="s">
        <v>149</v>
      </c>
      <c r="L329" t="s">
        <v>150</v>
      </c>
      <c r="M329" t="s">
        <v>1511</v>
      </c>
      <c r="N329" t="s">
        <v>153</v>
      </c>
      <c r="O329" t="s">
        <v>1512</v>
      </c>
      <c r="P329" t="s">
        <v>126</v>
      </c>
      <c r="Q329" t="s">
        <v>126</v>
      </c>
      <c r="R329" t="s">
        <v>126</v>
      </c>
      <c r="S329" t="s">
        <v>126</v>
      </c>
      <c r="T329" t="s">
        <v>125</v>
      </c>
      <c r="U329" t="s">
        <v>126</v>
      </c>
      <c r="V329" t="s">
        <v>125</v>
      </c>
      <c r="W329" t="s">
        <v>126</v>
      </c>
      <c r="X329" t="s">
        <v>126</v>
      </c>
      <c r="Y329" t="s">
        <v>126</v>
      </c>
      <c r="Z329" t="s">
        <v>155</v>
      </c>
      <c r="AA329" t="s">
        <v>1513</v>
      </c>
    </row>
    <row r="330" spans="1:27" x14ac:dyDescent="0.2">
      <c r="A330" t="s">
        <v>1514</v>
      </c>
      <c r="B330" t="s">
        <v>1515</v>
      </c>
      <c r="C330" t="s">
        <v>118</v>
      </c>
      <c r="D330" t="s">
        <v>119</v>
      </c>
      <c r="E330" t="s">
        <v>119</v>
      </c>
      <c r="G330" t="s">
        <v>118</v>
      </c>
      <c r="I330" t="s">
        <v>120</v>
      </c>
      <c r="K330" t="s">
        <v>158</v>
      </c>
      <c r="L330" t="s">
        <v>159</v>
      </c>
      <c r="M330" t="s">
        <v>1516</v>
      </c>
      <c r="N330" t="s">
        <v>243</v>
      </c>
      <c r="O330" t="s">
        <v>747</v>
      </c>
      <c r="P330" t="s">
        <v>126</v>
      </c>
      <c r="Q330" t="s">
        <v>126</v>
      </c>
      <c r="R330" t="s">
        <v>126</v>
      </c>
      <c r="S330" t="s">
        <v>126</v>
      </c>
      <c r="T330" t="s">
        <v>125</v>
      </c>
      <c r="U330" t="s">
        <v>126</v>
      </c>
      <c r="V330" t="s">
        <v>125</v>
      </c>
      <c r="W330" t="s">
        <v>126</v>
      </c>
      <c r="X330" t="s">
        <v>126</v>
      </c>
      <c r="Y330" t="s">
        <v>126</v>
      </c>
      <c r="Z330" t="s">
        <v>245</v>
      </c>
      <c r="AA330" t="s">
        <v>749</v>
      </c>
    </row>
    <row r="331" spans="1:27" x14ac:dyDescent="0.2">
      <c r="A331" t="s">
        <v>1517</v>
      </c>
      <c r="B331" t="s">
        <v>1518</v>
      </c>
      <c r="C331" t="s">
        <v>118</v>
      </c>
      <c r="D331" t="s">
        <v>119</v>
      </c>
      <c r="E331" t="s">
        <v>119</v>
      </c>
      <c r="G331" t="s">
        <v>118</v>
      </c>
      <c r="I331" t="s">
        <v>120</v>
      </c>
      <c r="K331" t="s">
        <v>182</v>
      </c>
      <c r="L331" t="s">
        <v>183</v>
      </c>
      <c r="M331" t="s">
        <v>1519</v>
      </c>
      <c r="N331" t="s">
        <v>219</v>
      </c>
      <c r="O331" t="s">
        <v>703</v>
      </c>
      <c r="P331" t="s">
        <v>126</v>
      </c>
      <c r="Q331" t="s">
        <v>126</v>
      </c>
      <c r="R331" t="s">
        <v>126</v>
      </c>
      <c r="S331" t="s">
        <v>126</v>
      </c>
      <c r="T331" t="s">
        <v>126</v>
      </c>
      <c r="U331" t="s">
        <v>126</v>
      </c>
      <c r="V331" t="s">
        <v>126</v>
      </c>
      <c r="W331" t="s">
        <v>126</v>
      </c>
      <c r="X331" t="s">
        <v>126</v>
      </c>
      <c r="Y331" t="s">
        <v>126</v>
      </c>
      <c r="Z331" t="s">
        <v>221</v>
      </c>
      <c r="AA331" t="s">
        <v>704</v>
      </c>
    </row>
    <row r="332" spans="1:27" x14ac:dyDescent="0.2">
      <c r="A332" t="s">
        <v>1520</v>
      </c>
      <c r="B332" t="s">
        <v>1439</v>
      </c>
      <c r="C332" t="s">
        <v>118</v>
      </c>
      <c r="D332" t="s">
        <v>119</v>
      </c>
      <c r="E332" t="s">
        <v>119</v>
      </c>
      <c r="G332" t="s">
        <v>118</v>
      </c>
      <c r="I332" t="s">
        <v>120</v>
      </c>
      <c r="K332" t="s">
        <v>149</v>
      </c>
      <c r="L332" t="s">
        <v>150</v>
      </c>
      <c r="M332" t="s">
        <v>1521</v>
      </c>
      <c r="N332" t="s">
        <v>401</v>
      </c>
      <c r="O332" t="s">
        <v>235</v>
      </c>
      <c r="P332" t="s">
        <v>126</v>
      </c>
      <c r="Q332" t="s">
        <v>126</v>
      </c>
      <c r="R332" t="s">
        <v>126</v>
      </c>
      <c r="S332" t="s">
        <v>126</v>
      </c>
      <c r="T332" t="s">
        <v>126</v>
      </c>
      <c r="U332" t="s">
        <v>126</v>
      </c>
      <c r="V332" t="s">
        <v>126</v>
      </c>
      <c r="W332" t="s">
        <v>126</v>
      </c>
      <c r="X332" t="s">
        <v>126</v>
      </c>
      <c r="Y332" t="s">
        <v>126</v>
      </c>
      <c r="Z332" t="s">
        <v>403</v>
      </c>
      <c r="AA332" t="s">
        <v>237</v>
      </c>
    </row>
    <row r="333" spans="1:27" x14ac:dyDescent="0.2">
      <c r="A333" t="s">
        <v>1522</v>
      </c>
      <c r="B333" t="s">
        <v>1523</v>
      </c>
      <c r="C333" t="s">
        <v>118</v>
      </c>
      <c r="D333" t="s">
        <v>119</v>
      </c>
      <c r="E333" t="s">
        <v>119</v>
      </c>
      <c r="G333" t="s">
        <v>118</v>
      </c>
      <c r="I333" t="s">
        <v>120</v>
      </c>
      <c r="K333" t="s">
        <v>149</v>
      </c>
      <c r="L333" t="s">
        <v>150</v>
      </c>
      <c r="M333" t="s">
        <v>1524</v>
      </c>
      <c r="N333" t="s">
        <v>262</v>
      </c>
      <c r="O333" t="s">
        <v>263</v>
      </c>
      <c r="P333" t="s">
        <v>126</v>
      </c>
      <c r="Q333" t="s">
        <v>126</v>
      </c>
      <c r="R333" t="s">
        <v>126</v>
      </c>
      <c r="S333" t="s">
        <v>126</v>
      </c>
      <c r="T333" t="s">
        <v>125</v>
      </c>
      <c r="U333" t="s">
        <v>126</v>
      </c>
      <c r="V333" t="s">
        <v>125</v>
      </c>
      <c r="W333" t="s">
        <v>126</v>
      </c>
      <c r="X333" t="s">
        <v>126</v>
      </c>
      <c r="Y333" t="s">
        <v>126</v>
      </c>
      <c r="Z333" t="s">
        <v>265</v>
      </c>
      <c r="AA333" t="s">
        <v>266</v>
      </c>
    </row>
    <row r="334" spans="1:27" x14ac:dyDescent="0.2">
      <c r="A334" t="s">
        <v>1525</v>
      </c>
      <c r="B334" t="s">
        <v>1526</v>
      </c>
      <c r="C334" t="s">
        <v>118</v>
      </c>
      <c r="D334" t="s">
        <v>119</v>
      </c>
      <c r="E334" t="s">
        <v>119</v>
      </c>
      <c r="G334" t="s">
        <v>118</v>
      </c>
      <c r="I334" t="s">
        <v>120</v>
      </c>
      <c r="K334" t="s">
        <v>158</v>
      </c>
      <c r="L334" t="s">
        <v>159</v>
      </c>
      <c r="M334" t="s">
        <v>1527</v>
      </c>
      <c r="N334" t="s">
        <v>287</v>
      </c>
      <c r="O334" t="s">
        <v>307</v>
      </c>
      <c r="P334" t="s">
        <v>126</v>
      </c>
      <c r="Q334" t="s">
        <v>126</v>
      </c>
      <c r="R334" t="s">
        <v>126</v>
      </c>
      <c r="S334" t="s">
        <v>126</v>
      </c>
      <c r="T334" t="s">
        <v>125</v>
      </c>
      <c r="U334" t="s">
        <v>126</v>
      </c>
      <c r="V334" t="s">
        <v>125</v>
      </c>
      <c r="W334" t="s">
        <v>126</v>
      </c>
      <c r="X334" t="s">
        <v>126</v>
      </c>
      <c r="Y334" t="s">
        <v>126</v>
      </c>
      <c r="Z334" t="s">
        <v>288</v>
      </c>
      <c r="AA334" t="s">
        <v>309</v>
      </c>
    </row>
    <row r="335" spans="1:27" x14ac:dyDescent="0.2">
      <c r="A335" t="s">
        <v>1528</v>
      </c>
      <c r="B335" t="s">
        <v>722</v>
      </c>
      <c r="C335" t="s">
        <v>118</v>
      </c>
      <c r="D335" t="s">
        <v>119</v>
      </c>
      <c r="E335" t="s">
        <v>119</v>
      </c>
      <c r="G335" t="s">
        <v>118</v>
      </c>
      <c r="I335" t="s">
        <v>120</v>
      </c>
      <c r="K335" t="s">
        <v>1529</v>
      </c>
      <c r="L335" t="s">
        <v>853</v>
      </c>
      <c r="M335" t="s">
        <v>1530</v>
      </c>
      <c r="N335" t="s">
        <v>448</v>
      </c>
      <c r="O335" t="s">
        <v>1340</v>
      </c>
      <c r="P335" t="s">
        <v>126</v>
      </c>
      <c r="Q335" t="s">
        <v>126</v>
      </c>
      <c r="R335" t="s">
        <v>126</v>
      </c>
      <c r="S335" t="s">
        <v>126</v>
      </c>
      <c r="T335" t="s">
        <v>200</v>
      </c>
      <c r="U335" t="s">
        <v>126</v>
      </c>
      <c r="V335" t="s">
        <v>200</v>
      </c>
      <c r="W335" t="s">
        <v>126</v>
      </c>
      <c r="X335" t="s">
        <v>126</v>
      </c>
      <c r="Y335" t="s">
        <v>126</v>
      </c>
      <c r="Z335" t="s">
        <v>449</v>
      </c>
      <c r="AA335" t="s">
        <v>1341</v>
      </c>
    </row>
    <row r="336" spans="1:27" x14ac:dyDescent="0.2">
      <c r="A336" t="s">
        <v>1531</v>
      </c>
      <c r="B336" t="s">
        <v>1532</v>
      </c>
      <c r="C336" t="s">
        <v>118</v>
      </c>
      <c r="D336" t="s">
        <v>119</v>
      </c>
      <c r="E336" t="s">
        <v>119</v>
      </c>
      <c r="G336" t="s">
        <v>118</v>
      </c>
      <c r="I336" t="s">
        <v>120</v>
      </c>
      <c r="K336" t="s">
        <v>1529</v>
      </c>
      <c r="L336" t="s">
        <v>853</v>
      </c>
      <c r="M336" t="s">
        <v>1533</v>
      </c>
      <c r="N336" t="s">
        <v>448</v>
      </c>
      <c r="O336" t="s">
        <v>1340</v>
      </c>
      <c r="P336" t="s">
        <v>126</v>
      </c>
      <c r="Q336" t="s">
        <v>126</v>
      </c>
      <c r="R336" t="s">
        <v>126</v>
      </c>
      <c r="S336" t="s">
        <v>126</v>
      </c>
      <c r="T336" t="s">
        <v>264</v>
      </c>
      <c r="U336" t="s">
        <v>126</v>
      </c>
      <c r="V336" t="s">
        <v>264</v>
      </c>
      <c r="W336" t="s">
        <v>126</v>
      </c>
      <c r="X336" t="s">
        <v>126</v>
      </c>
      <c r="Y336" t="s">
        <v>126</v>
      </c>
      <c r="Z336" t="s">
        <v>449</v>
      </c>
      <c r="AA336" t="s">
        <v>1341</v>
      </c>
    </row>
    <row r="337" spans="1:27" x14ac:dyDescent="0.2">
      <c r="A337" t="s">
        <v>1534</v>
      </c>
      <c r="B337" t="s">
        <v>1535</v>
      </c>
      <c r="C337" t="s">
        <v>118</v>
      </c>
      <c r="D337" t="s">
        <v>119</v>
      </c>
      <c r="E337" t="s">
        <v>119</v>
      </c>
      <c r="G337" t="s">
        <v>118</v>
      </c>
      <c r="I337" t="s">
        <v>120</v>
      </c>
      <c r="K337" t="s">
        <v>578</v>
      </c>
      <c r="L337" t="s">
        <v>579</v>
      </c>
      <c r="M337" t="s">
        <v>1536</v>
      </c>
      <c r="N337" t="s">
        <v>343</v>
      </c>
      <c r="O337" t="s">
        <v>759</v>
      </c>
      <c r="P337" t="s">
        <v>126</v>
      </c>
      <c r="Q337" t="s">
        <v>126</v>
      </c>
      <c r="R337" t="s">
        <v>126</v>
      </c>
      <c r="S337" t="s">
        <v>126</v>
      </c>
      <c r="T337" t="s">
        <v>126</v>
      </c>
      <c r="U337" t="s">
        <v>126</v>
      </c>
      <c r="V337" t="s">
        <v>126</v>
      </c>
      <c r="W337" t="s">
        <v>126</v>
      </c>
      <c r="X337" t="s">
        <v>126</v>
      </c>
      <c r="Y337" t="s">
        <v>126</v>
      </c>
      <c r="Z337" t="s">
        <v>344</v>
      </c>
      <c r="AA337" t="s">
        <v>760</v>
      </c>
    </row>
    <row r="338" spans="1:27" x14ac:dyDescent="0.2">
      <c r="A338" t="s">
        <v>1537</v>
      </c>
      <c r="B338" t="s">
        <v>1538</v>
      </c>
      <c r="C338" t="s">
        <v>118</v>
      </c>
      <c r="D338" t="s">
        <v>119</v>
      </c>
      <c r="E338" t="s">
        <v>119</v>
      </c>
      <c r="G338" t="s">
        <v>118</v>
      </c>
      <c r="I338" t="s">
        <v>120</v>
      </c>
      <c r="K338" t="s">
        <v>173</v>
      </c>
      <c r="L338" t="s">
        <v>174</v>
      </c>
      <c r="M338" t="s">
        <v>1539</v>
      </c>
      <c r="N338" t="s">
        <v>470</v>
      </c>
      <c r="O338" t="s">
        <v>353</v>
      </c>
      <c r="P338" t="s">
        <v>126</v>
      </c>
      <c r="Q338" t="s">
        <v>126</v>
      </c>
      <c r="R338" t="s">
        <v>126</v>
      </c>
      <c r="S338" t="s">
        <v>126</v>
      </c>
      <c r="T338" t="s">
        <v>125</v>
      </c>
      <c r="U338" t="s">
        <v>126</v>
      </c>
      <c r="V338" t="s">
        <v>125</v>
      </c>
      <c r="W338" t="s">
        <v>126</v>
      </c>
      <c r="X338" t="s">
        <v>126</v>
      </c>
      <c r="Y338" t="s">
        <v>126</v>
      </c>
      <c r="Z338" t="s">
        <v>471</v>
      </c>
      <c r="AA338" t="s">
        <v>355</v>
      </c>
    </row>
    <row r="339" spans="1:27" x14ac:dyDescent="0.2">
      <c r="A339" t="s">
        <v>1540</v>
      </c>
      <c r="B339" t="s">
        <v>1541</v>
      </c>
      <c r="C339" t="s">
        <v>118</v>
      </c>
      <c r="D339" t="s">
        <v>119</v>
      </c>
      <c r="E339" t="s">
        <v>119</v>
      </c>
      <c r="G339" t="s">
        <v>118</v>
      </c>
      <c r="I339" t="s">
        <v>120</v>
      </c>
      <c r="K339" t="s">
        <v>130</v>
      </c>
      <c r="L339" t="s">
        <v>131</v>
      </c>
      <c r="M339" t="s">
        <v>1542</v>
      </c>
      <c r="N339" t="s">
        <v>177</v>
      </c>
      <c r="O339" t="s">
        <v>329</v>
      </c>
      <c r="P339" t="s">
        <v>126</v>
      </c>
      <c r="Q339" t="s">
        <v>126</v>
      </c>
      <c r="R339" t="s">
        <v>126</v>
      </c>
      <c r="S339" t="s">
        <v>126</v>
      </c>
      <c r="T339" t="s">
        <v>680</v>
      </c>
      <c r="U339" t="s">
        <v>125</v>
      </c>
      <c r="V339" t="s">
        <v>144</v>
      </c>
      <c r="W339" t="s">
        <v>126</v>
      </c>
      <c r="X339" t="s">
        <v>126</v>
      </c>
      <c r="Y339" t="s">
        <v>126</v>
      </c>
      <c r="Z339" t="s">
        <v>179</v>
      </c>
      <c r="AA339" t="s">
        <v>330</v>
      </c>
    </row>
    <row r="340" spans="1:27" x14ac:dyDescent="0.2">
      <c r="A340" t="s">
        <v>1543</v>
      </c>
      <c r="B340" t="s">
        <v>1544</v>
      </c>
      <c r="C340" t="s">
        <v>118</v>
      </c>
      <c r="D340" t="s">
        <v>119</v>
      </c>
      <c r="E340" t="s">
        <v>119</v>
      </c>
      <c r="G340" t="s">
        <v>118</v>
      </c>
      <c r="I340" t="s">
        <v>120</v>
      </c>
      <c r="K340" t="s">
        <v>158</v>
      </c>
      <c r="L340" t="s">
        <v>159</v>
      </c>
      <c r="M340" t="s">
        <v>1545</v>
      </c>
      <c r="N340" t="s">
        <v>226</v>
      </c>
      <c r="O340" t="s">
        <v>236</v>
      </c>
      <c r="P340" t="s">
        <v>126</v>
      </c>
      <c r="Q340" t="s">
        <v>126</v>
      </c>
      <c r="R340" t="s">
        <v>126</v>
      </c>
      <c r="S340" t="s">
        <v>126</v>
      </c>
      <c r="T340" t="s">
        <v>125</v>
      </c>
      <c r="U340" t="s">
        <v>126</v>
      </c>
      <c r="V340" t="s">
        <v>125</v>
      </c>
      <c r="W340" t="s">
        <v>126</v>
      </c>
      <c r="X340" t="s">
        <v>126</v>
      </c>
      <c r="Y340" t="s">
        <v>126</v>
      </c>
      <c r="Z340" t="s">
        <v>228</v>
      </c>
      <c r="AA340" t="s">
        <v>238</v>
      </c>
    </row>
    <row r="341" spans="1:27" x14ac:dyDescent="0.2">
      <c r="A341" t="s">
        <v>1546</v>
      </c>
      <c r="B341" t="s">
        <v>1547</v>
      </c>
      <c r="C341" t="s">
        <v>118</v>
      </c>
      <c r="D341" t="s">
        <v>119</v>
      </c>
      <c r="E341" t="s">
        <v>119</v>
      </c>
      <c r="G341" t="s">
        <v>118</v>
      </c>
      <c r="I341" t="s">
        <v>120</v>
      </c>
      <c r="K341" t="s">
        <v>158</v>
      </c>
      <c r="L341" t="s">
        <v>159</v>
      </c>
      <c r="M341" t="s">
        <v>1548</v>
      </c>
      <c r="N341" t="s">
        <v>142</v>
      </c>
      <c r="O341" t="s">
        <v>453</v>
      </c>
      <c r="P341" t="s">
        <v>126</v>
      </c>
      <c r="Q341" t="s">
        <v>126</v>
      </c>
      <c r="R341" t="s">
        <v>126</v>
      </c>
      <c r="S341" t="s">
        <v>126</v>
      </c>
      <c r="T341" t="s">
        <v>264</v>
      </c>
      <c r="U341" t="s">
        <v>126</v>
      </c>
      <c r="V341" t="s">
        <v>264</v>
      </c>
      <c r="W341" t="s">
        <v>126</v>
      </c>
      <c r="X341" t="s">
        <v>126</v>
      </c>
      <c r="Y341" t="s">
        <v>126</v>
      </c>
      <c r="Z341" t="s">
        <v>145</v>
      </c>
      <c r="AA341" t="s">
        <v>454</v>
      </c>
    </row>
    <row r="342" spans="1:27" x14ac:dyDescent="0.2">
      <c r="A342" t="s">
        <v>1549</v>
      </c>
      <c r="B342" t="s">
        <v>1550</v>
      </c>
      <c r="C342" t="s">
        <v>118</v>
      </c>
      <c r="D342" t="s">
        <v>119</v>
      </c>
      <c r="E342" t="s">
        <v>119</v>
      </c>
      <c r="G342" t="s">
        <v>118</v>
      </c>
      <c r="I342" t="s">
        <v>120</v>
      </c>
      <c r="K342" t="s">
        <v>158</v>
      </c>
      <c r="L342" t="s">
        <v>159</v>
      </c>
      <c r="M342" t="s">
        <v>1551</v>
      </c>
      <c r="N342" t="s">
        <v>361</v>
      </c>
      <c r="O342" t="s">
        <v>226</v>
      </c>
      <c r="P342" t="s">
        <v>126</v>
      </c>
      <c r="Q342" t="s">
        <v>126</v>
      </c>
      <c r="R342" t="s">
        <v>126</v>
      </c>
      <c r="S342" t="s">
        <v>126</v>
      </c>
      <c r="T342" t="s">
        <v>126</v>
      </c>
      <c r="U342" t="s">
        <v>126</v>
      </c>
      <c r="V342" t="s">
        <v>126</v>
      </c>
      <c r="W342" t="s">
        <v>126</v>
      </c>
      <c r="X342" t="s">
        <v>126</v>
      </c>
      <c r="Y342" t="s">
        <v>126</v>
      </c>
      <c r="Z342" t="s">
        <v>362</v>
      </c>
      <c r="AA342" t="s">
        <v>228</v>
      </c>
    </row>
    <row r="343" spans="1:27" x14ac:dyDescent="0.2">
      <c r="A343" t="s">
        <v>1552</v>
      </c>
      <c r="B343" t="s">
        <v>1553</v>
      </c>
      <c r="C343" t="s">
        <v>118</v>
      </c>
      <c r="D343" t="s">
        <v>119</v>
      </c>
      <c r="E343" t="s">
        <v>119</v>
      </c>
      <c r="G343" t="s">
        <v>118</v>
      </c>
      <c r="I343" t="s">
        <v>120</v>
      </c>
      <c r="K343" t="s">
        <v>204</v>
      </c>
      <c r="L343" t="s">
        <v>205</v>
      </c>
      <c r="M343" t="s">
        <v>1554</v>
      </c>
      <c r="N343" t="s">
        <v>153</v>
      </c>
      <c r="O343" t="s">
        <v>353</v>
      </c>
      <c r="P343" t="s">
        <v>126</v>
      </c>
      <c r="Q343" t="s">
        <v>126</v>
      </c>
      <c r="R343" t="s">
        <v>126</v>
      </c>
      <c r="S343" t="s">
        <v>126</v>
      </c>
      <c r="T343" t="s">
        <v>126</v>
      </c>
      <c r="U343" t="s">
        <v>126</v>
      </c>
      <c r="V343" t="s">
        <v>126</v>
      </c>
      <c r="W343" t="s">
        <v>126</v>
      </c>
      <c r="X343" t="s">
        <v>126</v>
      </c>
      <c r="Y343" t="s">
        <v>126</v>
      </c>
      <c r="Z343" t="s">
        <v>155</v>
      </c>
      <c r="AA343" t="s">
        <v>355</v>
      </c>
    </row>
    <row r="344" spans="1:27" x14ac:dyDescent="0.2">
      <c r="A344" t="s">
        <v>1555</v>
      </c>
      <c r="B344" t="s">
        <v>1556</v>
      </c>
      <c r="C344" t="s">
        <v>118</v>
      </c>
      <c r="D344" t="s">
        <v>119</v>
      </c>
      <c r="E344" t="s">
        <v>119</v>
      </c>
      <c r="G344" t="s">
        <v>118</v>
      </c>
      <c r="I344" t="s">
        <v>120</v>
      </c>
      <c r="K344" t="s">
        <v>121</v>
      </c>
      <c r="L344" t="s">
        <v>122</v>
      </c>
      <c r="M344" t="s">
        <v>1557</v>
      </c>
      <c r="N344" t="s">
        <v>1558</v>
      </c>
      <c r="O344" t="s">
        <v>1559</v>
      </c>
      <c r="P344" t="s">
        <v>126</v>
      </c>
      <c r="Q344" t="s">
        <v>126</v>
      </c>
      <c r="R344" t="s">
        <v>126</v>
      </c>
      <c r="S344" t="s">
        <v>126</v>
      </c>
      <c r="T344" t="s">
        <v>125</v>
      </c>
      <c r="U344" t="s">
        <v>126</v>
      </c>
      <c r="V344" t="s">
        <v>125</v>
      </c>
      <c r="W344" t="s">
        <v>126</v>
      </c>
      <c r="X344" t="s">
        <v>126</v>
      </c>
      <c r="Y344" t="s">
        <v>126</v>
      </c>
      <c r="Z344" t="s">
        <v>1560</v>
      </c>
      <c r="AA344" t="s">
        <v>1561</v>
      </c>
    </row>
    <row r="345" spans="1:27" x14ac:dyDescent="0.2">
      <c r="A345" t="s">
        <v>1562</v>
      </c>
      <c r="B345" t="s">
        <v>947</v>
      </c>
      <c r="C345" t="s">
        <v>118</v>
      </c>
      <c r="D345" t="s">
        <v>119</v>
      </c>
      <c r="E345" t="s">
        <v>119</v>
      </c>
      <c r="G345" t="s">
        <v>118</v>
      </c>
      <c r="I345" t="s">
        <v>120</v>
      </c>
      <c r="K345" t="s">
        <v>553</v>
      </c>
      <c r="L345" t="s">
        <v>554</v>
      </c>
      <c r="M345" t="s">
        <v>1563</v>
      </c>
      <c r="N345" t="s">
        <v>453</v>
      </c>
      <c r="O345" t="s">
        <v>168</v>
      </c>
      <c r="P345" t="s">
        <v>126</v>
      </c>
      <c r="Q345" t="s">
        <v>126</v>
      </c>
      <c r="R345" t="s">
        <v>126</v>
      </c>
      <c r="S345" t="s">
        <v>126</v>
      </c>
      <c r="T345" t="s">
        <v>264</v>
      </c>
      <c r="U345" t="s">
        <v>126</v>
      </c>
      <c r="V345" t="s">
        <v>264</v>
      </c>
      <c r="W345" t="s">
        <v>126</v>
      </c>
      <c r="X345" t="s">
        <v>126</v>
      </c>
      <c r="Y345" t="s">
        <v>126</v>
      </c>
      <c r="Z345" t="s">
        <v>454</v>
      </c>
      <c r="AA345" t="s">
        <v>170</v>
      </c>
    </row>
    <row r="346" spans="1:27" x14ac:dyDescent="0.2">
      <c r="A346" t="s">
        <v>1564</v>
      </c>
      <c r="B346" t="s">
        <v>1565</v>
      </c>
      <c r="C346" t="s">
        <v>118</v>
      </c>
      <c r="D346" t="s">
        <v>119</v>
      </c>
      <c r="E346" t="s">
        <v>119</v>
      </c>
      <c r="G346" t="s">
        <v>118</v>
      </c>
      <c r="I346" t="s">
        <v>120</v>
      </c>
      <c r="K346" t="s">
        <v>130</v>
      </c>
      <c r="L346" t="s">
        <v>131</v>
      </c>
      <c r="M346" t="s">
        <v>1566</v>
      </c>
      <c r="N346" t="s">
        <v>226</v>
      </c>
      <c r="O346" t="s">
        <v>227</v>
      </c>
      <c r="P346" t="s">
        <v>126</v>
      </c>
      <c r="Q346" t="s">
        <v>126</v>
      </c>
      <c r="R346" t="s">
        <v>126</v>
      </c>
      <c r="S346" t="s">
        <v>126</v>
      </c>
      <c r="T346" t="s">
        <v>126</v>
      </c>
      <c r="U346" t="s">
        <v>126</v>
      </c>
      <c r="V346" t="s">
        <v>126</v>
      </c>
      <c r="W346" t="s">
        <v>126</v>
      </c>
      <c r="X346" t="s">
        <v>126</v>
      </c>
      <c r="Y346" t="s">
        <v>126</v>
      </c>
      <c r="Z346" t="s">
        <v>228</v>
      </c>
      <c r="AA346" t="s">
        <v>229</v>
      </c>
    </row>
    <row r="347" spans="1:27" x14ac:dyDescent="0.2">
      <c r="A347" t="s">
        <v>1567</v>
      </c>
      <c r="B347" t="s">
        <v>1568</v>
      </c>
      <c r="C347" t="s">
        <v>118</v>
      </c>
      <c r="D347" t="s">
        <v>119</v>
      </c>
      <c r="E347" t="s">
        <v>119</v>
      </c>
      <c r="G347" t="s">
        <v>118</v>
      </c>
      <c r="I347" t="s">
        <v>120</v>
      </c>
      <c r="K347" t="s">
        <v>130</v>
      </c>
      <c r="L347" t="s">
        <v>131</v>
      </c>
      <c r="M347" t="s">
        <v>1569</v>
      </c>
      <c r="N347" t="s">
        <v>287</v>
      </c>
      <c r="O347" t="s">
        <v>396</v>
      </c>
      <c r="P347" t="s">
        <v>126</v>
      </c>
      <c r="Q347" t="s">
        <v>126</v>
      </c>
      <c r="R347" t="s">
        <v>126</v>
      </c>
      <c r="S347" t="s">
        <v>126</v>
      </c>
      <c r="T347" t="s">
        <v>200</v>
      </c>
      <c r="U347" t="s">
        <v>126</v>
      </c>
      <c r="V347" t="s">
        <v>200</v>
      </c>
      <c r="W347" t="s">
        <v>126</v>
      </c>
      <c r="X347" t="s">
        <v>126</v>
      </c>
      <c r="Y347" t="s">
        <v>126</v>
      </c>
      <c r="Z347" t="s">
        <v>288</v>
      </c>
      <c r="AA347" t="s">
        <v>397</v>
      </c>
    </row>
    <row r="348" spans="1:27" x14ac:dyDescent="0.2">
      <c r="A348" t="s">
        <v>1570</v>
      </c>
      <c r="B348" t="s">
        <v>1571</v>
      </c>
      <c r="C348" t="s">
        <v>118</v>
      </c>
      <c r="D348" t="s">
        <v>119</v>
      </c>
      <c r="E348" t="s">
        <v>119</v>
      </c>
      <c r="G348" t="s">
        <v>118</v>
      </c>
      <c r="I348" t="s">
        <v>120</v>
      </c>
      <c r="K348" t="s">
        <v>149</v>
      </c>
      <c r="L348" t="s">
        <v>150</v>
      </c>
      <c r="M348" t="s">
        <v>1572</v>
      </c>
      <c r="N348" t="s">
        <v>1340</v>
      </c>
      <c r="O348" t="s">
        <v>176</v>
      </c>
      <c r="P348" t="s">
        <v>126</v>
      </c>
      <c r="Q348" t="s">
        <v>126</v>
      </c>
      <c r="R348" t="s">
        <v>126</v>
      </c>
      <c r="S348" t="s">
        <v>126</v>
      </c>
      <c r="T348" t="s">
        <v>125</v>
      </c>
      <c r="U348" t="s">
        <v>126</v>
      </c>
      <c r="V348" t="s">
        <v>125</v>
      </c>
      <c r="W348" t="s">
        <v>126</v>
      </c>
      <c r="X348" t="s">
        <v>126</v>
      </c>
      <c r="Y348" t="s">
        <v>126</v>
      </c>
      <c r="Z348" t="s">
        <v>1341</v>
      </c>
      <c r="AA348" t="s">
        <v>178</v>
      </c>
    </row>
    <row r="349" spans="1:27" x14ac:dyDescent="0.2">
      <c r="A349" t="s">
        <v>1573</v>
      </c>
      <c r="B349" t="s">
        <v>1574</v>
      </c>
      <c r="C349" t="s">
        <v>118</v>
      </c>
      <c r="D349" t="s">
        <v>119</v>
      </c>
      <c r="E349" t="s">
        <v>119</v>
      </c>
      <c r="G349" t="s">
        <v>118</v>
      </c>
      <c r="I349" t="s">
        <v>120</v>
      </c>
      <c r="K349" t="s">
        <v>204</v>
      </c>
      <c r="L349" t="s">
        <v>205</v>
      </c>
      <c r="M349" t="s">
        <v>1575</v>
      </c>
      <c r="N349" t="s">
        <v>152</v>
      </c>
      <c r="O349" t="s">
        <v>153</v>
      </c>
      <c r="P349" t="s">
        <v>126</v>
      </c>
      <c r="Q349" t="s">
        <v>126</v>
      </c>
      <c r="R349" t="s">
        <v>126</v>
      </c>
      <c r="S349" t="s">
        <v>126</v>
      </c>
      <c r="T349" t="s">
        <v>125</v>
      </c>
      <c r="U349" t="s">
        <v>126</v>
      </c>
      <c r="V349" t="s">
        <v>125</v>
      </c>
      <c r="W349" t="s">
        <v>126</v>
      </c>
      <c r="X349" t="s">
        <v>126</v>
      </c>
      <c r="Y349" t="s">
        <v>126</v>
      </c>
      <c r="Z349" t="s">
        <v>154</v>
      </c>
      <c r="AA349" t="s">
        <v>155</v>
      </c>
    </row>
    <row r="350" spans="1:27" x14ac:dyDescent="0.2">
      <c r="A350" t="s">
        <v>1576</v>
      </c>
      <c r="B350" t="s">
        <v>1577</v>
      </c>
      <c r="C350" t="s">
        <v>118</v>
      </c>
      <c r="D350" t="s">
        <v>119</v>
      </c>
      <c r="E350" t="s">
        <v>119</v>
      </c>
      <c r="G350" t="s">
        <v>118</v>
      </c>
      <c r="I350" t="s">
        <v>120</v>
      </c>
      <c r="K350" t="s">
        <v>232</v>
      </c>
      <c r="L350" t="s">
        <v>233</v>
      </c>
      <c r="M350" t="s">
        <v>1578</v>
      </c>
      <c r="N350" t="s">
        <v>386</v>
      </c>
      <c r="O350" t="s">
        <v>329</v>
      </c>
      <c r="P350" t="s">
        <v>126</v>
      </c>
      <c r="Q350" t="s">
        <v>126</v>
      </c>
      <c r="R350" t="s">
        <v>126</v>
      </c>
      <c r="S350" t="s">
        <v>126</v>
      </c>
      <c r="T350" t="s">
        <v>264</v>
      </c>
      <c r="U350" t="s">
        <v>126</v>
      </c>
      <c r="V350" t="s">
        <v>264</v>
      </c>
      <c r="W350" t="s">
        <v>126</v>
      </c>
      <c r="X350" t="s">
        <v>126</v>
      </c>
      <c r="Y350" t="s">
        <v>126</v>
      </c>
      <c r="Z350" t="s">
        <v>387</v>
      </c>
      <c r="AA350" t="s">
        <v>330</v>
      </c>
    </row>
    <row r="351" spans="1:27" x14ac:dyDescent="0.2">
      <c r="A351" t="s">
        <v>1579</v>
      </c>
      <c r="B351" t="s">
        <v>1580</v>
      </c>
      <c r="C351" t="s">
        <v>118</v>
      </c>
      <c r="D351" t="s">
        <v>119</v>
      </c>
      <c r="E351" t="s">
        <v>119</v>
      </c>
      <c r="G351" t="s">
        <v>118</v>
      </c>
      <c r="I351" t="s">
        <v>120</v>
      </c>
      <c r="K351" t="s">
        <v>204</v>
      </c>
      <c r="L351" t="s">
        <v>205</v>
      </c>
      <c r="M351" t="s">
        <v>1581</v>
      </c>
      <c r="N351" t="s">
        <v>133</v>
      </c>
      <c r="O351" t="s">
        <v>257</v>
      </c>
      <c r="P351" t="s">
        <v>126</v>
      </c>
      <c r="Q351" t="s">
        <v>126</v>
      </c>
      <c r="R351" t="s">
        <v>126</v>
      </c>
      <c r="S351" t="s">
        <v>126</v>
      </c>
      <c r="T351" t="s">
        <v>264</v>
      </c>
      <c r="U351" t="s">
        <v>126</v>
      </c>
      <c r="V351" t="s">
        <v>264</v>
      </c>
      <c r="W351" t="s">
        <v>126</v>
      </c>
      <c r="X351" t="s">
        <v>126</v>
      </c>
      <c r="Y351" t="s">
        <v>126</v>
      </c>
      <c r="Z351" t="s">
        <v>135</v>
      </c>
      <c r="AA351" t="s">
        <v>258</v>
      </c>
    </row>
    <row r="352" spans="1:27" x14ac:dyDescent="0.2">
      <c r="A352" t="s">
        <v>1582</v>
      </c>
      <c r="B352" t="s">
        <v>1583</v>
      </c>
      <c r="C352" t="s">
        <v>118</v>
      </c>
      <c r="D352" t="s">
        <v>119</v>
      </c>
      <c r="E352" t="s">
        <v>119</v>
      </c>
      <c r="G352" t="s">
        <v>118</v>
      </c>
      <c r="I352" t="s">
        <v>120</v>
      </c>
      <c r="K352" t="s">
        <v>553</v>
      </c>
      <c r="L352" t="s">
        <v>554</v>
      </c>
      <c r="M352" t="s">
        <v>1584</v>
      </c>
      <c r="N352" t="s">
        <v>478</v>
      </c>
      <c r="O352" t="s">
        <v>322</v>
      </c>
      <c r="P352" t="s">
        <v>126</v>
      </c>
      <c r="Q352" t="s">
        <v>126</v>
      </c>
      <c r="R352" t="s">
        <v>126</v>
      </c>
      <c r="S352" t="s">
        <v>126</v>
      </c>
      <c r="T352" t="s">
        <v>125</v>
      </c>
      <c r="U352" t="s">
        <v>126</v>
      </c>
      <c r="V352" t="s">
        <v>125</v>
      </c>
      <c r="W352" t="s">
        <v>126</v>
      </c>
      <c r="X352" t="s">
        <v>126</v>
      </c>
      <c r="Y352" t="s">
        <v>126</v>
      </c>
      <c r="Z352" t="s">
        <v>479</v>
      </c>
      <c r="AA352" t="s">
        <v>324</v>
      </c>
    </row>
    <row r="353" spans="1:27" x14ac:dyDescent="0.2">
      <c r="A353" t="s">
        <v>1585</v>
      </c>
      <c r="B353" t="s">
        <v>1586</v>
      </c>
      <c r="C353" t="s">
        <v>118</v>
      </c>
      <c r="D353" t="s">
        <v>119</v>
      </c>
      <c r="E353" t="s">
        <v>119</v>
      </c>
      <c r="G353" t="s">
        <v>118</v>
      </c>
      <c r="I353" t="s">
        <v>120</v>
      </c>
      <c r="K353" t="s">
        <v>158</v>
      </c>
      <c r="L353" t="s">
        <v>159</v>
      </c>
      <c r="M353" t="s">
        <v>1587</v>
      </c>
      <c r="N353" t="s">
        <v>448</v>
      </c>
      <c r="O353" t="s">
        <v>491</v>
      </c>
      <c r="P353" t="s">
        <v>126</v>
      </c>
      <c r="Q353" t="s">
        <v>126</v>
      </c>
      <c r="R353" t="s">
        <v>126</v>
      </c>
      <c r="S353" t="s">
        <v>126</v>
      </c>
      <c r="T353" t="s">
        <v>169</v>
      </c>
      <c r="U353" t="s">
        <v>126</v>
      </c>
      <c r="V353" t="s">
        <v>169</v>
      </c>
      <c r="W353" t="s">
        <v>126</v>
      </c>
      <c r="X353" t="s">
        <v>126</v>
      </c>
      <c r="Y353" t="s">
        <v>126</v>
      </c>
      <c r="Z353" t="s">
        <v>449</v>
      </c>
      <c r="AA353" t="s">
        <v>492</v>
      </c>
    </row>
    <row r="354" spans="1:27" x14ac:dyDescent="0.2">
      <c r="A354" t="s">
        <v>1588</v>
      </c>
      <c r="B354" t="s">
        <v>1589</v>
      </c>
      <c r="C354" t="s">
        <v>118</v>
      </c>
      <c r="D354" t="s">
        <v>119</v>
      </c>
      <c r="E354" t="s">
        <v>119</v>
      </c>
      <c r="G354" t="s">
        <v>118</v>
      </c>
      <c r="I354" t="s">
        <v>120</v>
      </c>
      <c r="K354" t="s">
        <v>173</v>
      </c>
      <c r="L354" t="s">
        <v>174</v>
      </c>
      <c r="M354" t="s">
        <v>1590</v>
      </c>
      <c r="N354" t="s">
        <v>478</v>
      </c>
      <c r="O354" t="s">
        <v>322</v>
      </c>
      <c r="P354" t="s">
        <v>126</v>
      </c>
      <c r="Q354" t="s">
        <v>126</v>
      </c>
      <c r="R354" t="s">
        <v>126</v>
      </c>
      <c r="S354" t="s">
        <v>126</v>
      </c>
      <c r="T354" t="s">
        <v>126</v>
      </c>
      <c r="U354" t="s">
        <v>126</v>
      </c>
      <c r="V354" t="s">
        <v>126</v>
      </c>
      <c r="W354" t="s">
        <v>126</v>
      </c>
      <c r="X354" t="s">
        <v>126</v>
      </c>
      <c r="Y354" t="s">
        <v>126</v>
      </c>
      <c r="Z354" t="s">
        <v>479</v>
      </c>
      <c r="AA354" t="s">
        <v>324</v>
      </c>
    </row>
    <row r="355" spans="1:27" x14ac:dyDescent="0.2">
      <c r="A355" t="s">
        <v>1591</v>
      </c>
      <c r="B355" t="s">
        <v>1592</v>
      </c>
      <c r="C355" t="s">
        <v>118</v>
      </c>
      <c r="D355" t="s">
        <v>119</v>
      </c>
      <c r="E355" t="s">
        <v>119</v>
      </c>
      <c r="G355" t="s">
        <v>118</v>
      </c>
      <c r="I355" t="s">
        <v>120</v>
      </c>
      <c r="K355" t="s">
        <v>182</v>
      </c>
      <c r="L355" t="s">
        <v>183</v>
      </c>
      <c r="M355" t="s">
        <v>1593</v>
      </c>
      <c r="N355" t="s">
        <v>226</v>
      </c>
      <c r="O355" t="s">
        <v>236</v>
      </c>
      <c r="P355" t="s">
        <v>126</v>
      </c>
      <c r="Q355" t="s">
        <v>126</v>
      </c>
      <c r="R355" t="s">
        <v>126</v>
      </c>
      <c r="S355" t="s">
        <v>126</v>
      </c>
      <c r="T355" t="s">
        <v>125</v>
      </c>
      <c r="U355" t="s">
        <v>126</v>
      </c>
      <c r="V355" t="s">
        <v>125</v>
      </c>
      <c r="W355" t="s">
        <v>126</v>
      </c>
      <c r="X355" t="s">
        <v>126</v>
      </c>
      <c r="Y355" t="s">
        <v>126</v>
      </c>
      <c r="Z355" t="s">
        <v>228</v>
      </c>
      <c r="AA355" t="s">
        <v>238</v>
      </c>
    </row>
    <row r="356" spans="1:27" x14ac:dyDescent="0.2">
      <c r="A356" t="s">
        <v>1594</v>
      </c>
      <c r="B356" t="s">
        <v>1595</v>
      </c>
      <c r="C356" t="s">
        <v>118</v>
      </c>
      <c r="D356" t="s">
        <v>119</v>
      </c>
      <c r="E356" t="s">
        <v>119</v>
      </c>
      <c r="G356" t="s">
        <v>118</v>
      </c>
      <c r="I356" t="s">
        <v>120</v>
      </c>
      <c r="K356" t="s">
        <v>232</v>
      </c>
      <c r="L356" t="s">
        <v>233</v>
      </c>
      <c r="M356" t="s">
        <v>1596</v>
      </c>
      <c r="N356" t="s">
        <v>448</v>
      </c>
      <c r="O356" t="s">
        <v>491</v>
      </c>
      <c r="P356" t="s">
        <v>126</v>
      </c>
      <c r="Q356" t="s">
        <v>126</v>
      </c>
      <c r="R356" t="s">
        <v>126</v>
      </c>
      <c r="S356" t="s">
        <v>126</v>
      </c>
      <c r="T356" t="s">
        <v>125</v>
      </c>
      <c r="U356" t="s">
        <v>126</v>
      </c>
      <c r="V356" t="s">
        <v>125</v>
      </c>
      <c r="W356" t="s">
        <v>126</v>
      </c>
      <c r="X356" t="s">
        <v>126</v>
      </c>
      <c r="Y356" t="s">
        <v>126</v>
      </c>
      <c r="Z356" t="s">
        <v>449</v>
      </c>
      <c r="AA356" t="s">
        <v>492</v>
      </c>
    </row>
    <row r="357" spans="1:27" x14ac:dyDescent="0.2">
      <c r="A357" t="s">
        <v>1597</v>
      </c>
      <c r="B357" t="s">
        <v>1039</v>
      </c>
      <c r="C357" t="s">
        <v>118</v>
      </c>
      <c r="D357" t="s">
        <v>119</v>
      </c>
      <c r="E357" t="s">
        <v>119</v>
      </c>
      <c r="G357" t="s">
        <v>118</v>
      </c>
      <c r="I357" t="s">
        <v>120</v>
      </c>
      <c r="K357" t="s">
        <v>182</v>
      </c>
      <c r="L357" t="s">
        <v>183</v>
      </c>
      <c r="M357" t="s">
        <v>1598</v>
      </c>
      <c r="N357" t="s">
        <v>199</v>
      </c>
      <c r="O357" t="s">
        <v>300</v>
      </c>
      <c r="P357" t="s">
        <v>126</v>
      </c>
      <c r="Q357" t="s">
        <v>126</v>
      </c>
      <c r="R357" t="s">
        <v>126</v>
      </c>
      <c r="S357" t="s">
        <v>126</v>
      </c>
      <c r="T357" t="s">
        <v>169</v>
      </c>
      <c r="U357" t="s">
        <v>126</v>
      </c>
      <c r="V357" t="s">
        <v>169</v>
      </c>
      <c r="W357" t="s">
        <v>126</v>
      </c>
      <c r="X357" t="s">
        <v>126</v>
      </c>
      <c r="Y357" t="s">
        <v>126</v>
      </c>
      <c r="Z357" t="s">
        <v>201</v>
      </c>
      <c r="AA357" t="s">
        <v>303</v>
      </c>
    </row>
    <row r="358" spans="1:27" x14ac:dyDescent="0.2">
      <c r="A358" t="s">
        <v>1599</v>
      </c>
      <c r="B358" t="s">
        <v>1600</v>
      </c>
      <c r="C358" t="s">
        <v>118</v>
      </c>
      <c r="D358" t="s">
        <v>119</v>
      </c>
      <c r="E358" t="s">
        <v>119</v>
      </c>
      <c r="G358" t="s">
        <v>118</v>
      </c>
      <c r="I358" t="s">
        <v>120</v>
      </c>
      <c r="K358" t="s">
        <v>291</v>
      </c>
      <c r="L358" t="s">
        <v>292</v>
      </c>
      <c r="M358" t="s">
        <v>1601</v>
      </c>
      <c r="N358" t="s">
        <v>448</v>
      </c>
      <c r="O358" t="s">
        <v>491</v>
      </c>
      <c r="P358" t="s">
        <v>126</v>
      </c>
      <c r="Q358" t="s">
        <v>126</v>
      </c>
      <c r="R358" t="s">
        <v>126</v>
      </c>
      <c r="S358" t="s">
        <v>126</v>
      </c>
      <c r="T358" t="s">
        <v>125</v>
      </c>
      <c r="U358" t="s">
        <v>126</v>
      </c>
      <c r="V358" t="s">
        <v>125</v>
      </c>
      <c r="W358" t="s">
        <v>126</v>
      </c>
      <c r="X358" t="s">
        <v>126</v>
      </c>
      <c r="Y358" t="s">
        <v>126</v>
      </c>
      <c r="Z358" t="s">
        <v>449</v>
      </c>
      <c r="AA358" t="s">
        <v>492</v>
      </c>
    </row>
    <row r="359" spans="1:27" x14ac:dyDescent="0.2">
      <c r="A359" t="s">
        <v>1602</v>
      </c>
      <c r="B359" t="s">
        <v>1603</v>
      </c>
      <c r="C359" t="s">
        <v>118</v>
      </c>
      <c r="D359" t="s">
        <v>119</v>
      </c>
      <c r="E359" t="s">
        <v>119</v>
      </c>
      <c r="G359" t="s">
        <v>118</v>
      </c>
      <c r="I359" t="s">
        <v>120</v>
      </c>
      <c r="K359" t="s">
        <v>182</v>
      </c>
      <c r="L359" t="s">
        <v>183</v>
      </c>
      <c r="M359" t="s">
        <v>1604</v>
      </c>
      <c r="N359" t="s">
        <v>478</v>
      </c>
      <c r="O359" t="s">
        <v>322</v>
      </c>
      <c r="P359" t="s">
        <v>126</v>
      </c>
      <c r="Q359" t="s">
        <v>126</v>
      </c>
      <c r="R359" t="s">
        <v>126</v>
      </c>
      <c r="S359" t="s">
        <v>126</v>
      </c>
      <c r="T359" t="s">
        <v>125</v>
      </c>
      <c r="U359" t="s">
        <v>126</v>
      </c>
      <c r="V359" t="s">
        <v>125</v>
      </c>
      <c r="W359" t="s">
        <v>126</v>
      </c>
      <c r="X359" t="s">
        <v>126</v>
      </c>
      <c r="Y359" t="s">
        <v>126</v>
      </c>
      <c r="Z359" t="s">
        <v>479</v>
      </c>
      <c r="AA359" t="s">
        <v>324</v>
      </c>
    </row>
    <row r="360" spans="1:27" x14ac:dyDescent="0.2">
      <c r="A360" t="s">
        <v>1605</v>
      </c>
      <c r="B360" t="s">
        <v>1606</v>
      </c>
      <c r="C360" t="s">
        <v>118</v>
      </c>
      <c r="D360" t="s">
        <v>119</v>
      </c>
      <c r="E360" t="s">
        <v>119</v>
      </c>
      <c r="G360" t="s">
        <v>118</v>
      </c>
      <c r="I360" t="s">
        <v>120</v>
      </c>
      <c r="K360" t="s">
        <v>182</v>
      </c>
      <c r="L360" t="s">
        <v>183</v>
      </c>
      <c r="M360" t="s">
        <v>1607</v>
      </c>
      <c r="N360" t="s">
        <v>914</v>
      </c>
      <c r="O360" t="s">
        <v>287</v>
      </c>
      <c r="P360" t="s">
        <v>126</v>
      </c>
      <c r="Q360" t="s">
        <v>126</v>
      </c>
      <c r="R360" t="s">
        <v>126</v>
      </c>
      <c r="S360" t="s">
        <v>126</v>
      </c>
      <c r="T360" t="s">
        <v>125</v>
      </c>
      <c r="U360" t="s">
        <v>126</v>
      </c>
      <c r="V360" t="s">
        <v>125</v>
      </c>
      <c r="W360" t="s">
        <v>126</v>
      </c>
      <c r="X360" t="s">
        <v>126</v>
      </c>
      <c r="Y360" t="s">
        <v>126</v>
      </c>
      <c r="Z360" t="s">
        <v>916</v>
      </c>
      <c r="AA360" t="s">
        <v>288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75AD4-C0D4-4753-8875-2DDB41E5B8E9}">
  <sheetPr codeName="Hoja5"/>
  <dimension ref="A4:R363"/>
  <sheetViews>
    <sheetView workbookViewId="0"/>
  </sheetViews>
  <sheetFormatPr baseColWidth="10" defaultRowHeight="12.75" x14ac:dyDescent="0.2"/>
  <sheetData>
    <row r="4" spans="1:16" x14ac:dyDescent="0.2">
      <c r="A4" s="84" t="s">
        <v>116</v>
      </c>
      <c r="B4" s="84" t="s">
        <v>117</v>
      </c>
      <c r="C4" t="s">
        <v>2452</v>
      </c>
      <c r="D4" t="s">
        <v>2454</v>
      </c>
      <c r="F4" t="s">
        <v>117</v>
      </c>
      <c r="G4" t="s">
        <v>1609</v>
      </c>
      <c r="H4" t="s">
        <v>1610</v>
      </c>
      <c r="I4" t="s">
        <v>1611</v>
      </c>
      <c r="J4" t="s">
        <v>1612</v>
      </c>
      <c r="K4" t="s">
        <v>1613</v>
      </c>
      <c r="L4" t="s">
        <v>1614</v>
      </c>
      <c r="M4" t="s">
        <v>1615</v>
      </c>
    </row>
    <row r="5" spans="1:16" x14ac:dyDescent="0.2">
      <c r="A5" s="84" t="s">
        <v>128</v>
      </c>
      <c r="B5" s="84" t="s">
        <v>129</v>
      </c>
      <c r="C5" t="s">
        <v>182</v>
      </c>
      <c r="D5" t="s">
        <v>2455</v>
      </c>
      <c r="F5" t="s">
        <v>129</v>
      </c>
      <c r="G5" t="s">
        <v>1609</v>
      </c>
      <c r="H5" t="s">
        <v>1616</v>
      </c>
      <c r="I5" t="s">
        <v>1617</v>
      </c>
      <c r="J5" t="s">
        <v>1618</v>
      </c>
      <c r="K5" t="s">
        <v>1619</v>
      </c>
      <c r="L5" t="s">
        <v>1620</v>
      </c>
      <c r="M5" t="s">
        <v>1613</v>
      </c>
      <c r="N5" t="s">
        <v>1621</v>
      </c>
      <c r="O5" t="s">
        <v>1622</v>
      </c>
    </row>
    <row r="6" spans="1:16" x14ac:dyDescent="0.2">
      <c r="A6" s="84" t="s">
        <v>137</v>
      </c>
      <c r="B6" s="84" t="s">
        <v>138</v>
      </c>
      <c r="C6" t="s">
        <v>182</v>
      </c>
      <c r="D6" t="s">
        <v>2455</v>
      </c>
      <c r="F6" t="s">
        <v>138</v>
      </c>
      <c r="G6" t="s">
        <v>1609</v>
      </c>
      <c r="H6" t="s">
        <v>1616</v>
      </c>
      <c r="I6" t="s">
        <v>1617</v>
      </c>
      <c r="J6" t="s">
        <v>1618</v>
      </c>
      <c r="K6" t="s">
        <v>1623</v>
      </c>
      <c r="L6" t="s">
        <v>1624</v>
      </c>
      <c r="M6" t="s">
        <v>1613</v>
      </c>
      <c r="N6" t="s">
        <v>1621</v>
      </c>
      <c r="O6" t="s">
        <v>1622</v>
      </c>
    </row>
    <row r="7" spans="1:16" x14ac:dyDescent="0.2">
      <c r="A7" s="84" t="s">
        <v>147</v>
      </c>
      <c r="B7" s="84" t="s">
        <v>148</v>
      </c>
      <c r="C7" t="s">
        <v>182</v>
      </c>
      <c r="D7" t="s">
        <v>2456</v>
      </c>
      <c r="F7" t="s">
        <v>148</v>
      </c>
      <c r="G7" t="s">
        <v>1609</v>
      </c>
      <c r="H7" t="s">
        <v>1625</v>
      </c>
      <c r="I7" t="s">
        <v>1626</v>
      </c>
      <c r="J7" t="s">
        <v>1627</v>
      </c>
      <c r="K7" t="s">
        <v>1621</v>
      </c>
      <c r="L7" t="s">
        <v>1628</v>
      </c>
    </row>
    <row r="8" spans="1:16" x14ac:dyDescent="0.2">
      <c r="A8" s="84" t="s">
        <v>156</v>
      </c>
      <c r="B8" s="84" t="s">
        <v>157</v>
      </c>
      <c r="C8" t="s">
        <v>2452</v>
      </c>
      <c r="D8" t="s">
        <v>2457</v>
      </c>
      <c r="F8" t="s">
        <v>157</v>
      </c>
      <c r="G8" t="s">
        <v>1609</v>
      </c>
      <c r="H8" t="s">
        <v>1629</v>
      </c>
      <c r="I8" t="s">
        <v>1630</v>
      </c>
      <c r="J8" t="s">
        <v>1614</v>
      </c>
      <c r="K8" t="s">
        <v>1631</v>
      </c>
      <c r="L8" t="s">
        <v>1632</v>
      </c>
      <c r="M8" t="s">
        <v>1633</v>
      </c>
      <c r="N8" t="s">
        <v>1613</v>
      </c>
      <c r="O8" t="s">
        <v>1614</v>
      </c>
      <c r="P8" t="s">
        <v>1634</v>
      </c>
    </row>
    <row r="9" spans="1:16" x14ac:dyDescent="0.2">
      <c r="A9" s="84" t="s">
        <v>165</v>
      </c>
      <c r="B9" s="84" t="s">
        <v>166</v>
      </c>
      <c r="C9" t="s">
        <v>182</v>
      </c>
      <c r="D9" t="s">
        <v>2458</v>
      </c>
      <c r="F9" t="s">
        <v>166</v>
      </c>
      <c r="G9" t="s">
        <v>1609</v>
      </c>
      <c r="H9" t="s">
        <v>1635</v>
      </c>
      <c r="I9" t="s">
        <v>1636</v>
      </c>
      <c r="J9" t="s">
        <v>1637</v>
      </c>
      <c r="K9" t="s">
        <v>1638</v>
      </c>
      <c r="L9" t="s">
        <v>1613</v>
      </c>
      <c r="M9" t="s">
        <v>1621</v>
      </c>
      <c r="N9" t="s">
        <v>1639</v>
      </c>
    </row>
    <row r="10" spans="1:16" x14ac:dyDescent="0.2">
      <c r="A10" s="84" t="s">
        <v>171</v>
      </c>
      <c r="B10" s="84" t="s">
        <v>172</v>
      </c>
      <c r="C10" t="s">
        <v>182</v>
      </c>
      <c r="D10" t="s">
        <v>2459</v>
      </c>
      <c r="F10" t="s">
        <v>172</v>
      </c>
      <c r="G10" t="s">
        <v>1609</v>
      </c>
      <c r="H10" t="s">
        <v>1640</v>
      </c>
      <c r="I10" t="s">
        <v>1641</v>
      </c>
      <c r="J10" t="s">
        <v>1642</v>
      </c>
      <c r="K10" t="s">
        <v>1621</v>
      </c>
      <c r="L10" t="s">
        <v>1643</v>
      </c>
    </row>
    <row r="11" spans="1:16" x14ac:dyDescent="0.2">
      <c r="A11" s="84" t="s">
        <v>180</v>
      </c>
      <c r="B11" s="84" t="s">
        <v>181</v>
      </c>
      <c r="C11" t="s">
        <v>2452</v>
      </c>
      <c r="D11" t="s">
        <v>2460</v>
      </c>
      <c r="F11" t="s">
        <v>181</v>
      </c>
      <c r="G11" t="s">
        <v>1609</v>
      </c>
      <c r="H11" t="s">
        <v>1644</v>
      </c>
      <c r="I11" t="s">
        <v>1645</v>
      </c>
      <c r="J11" t="s">
        <v>1610</v>
      </c>
      <c r="K11" t="s">
        <v>122</v>
      </c>
      <c r="L11" t="s">
        <v>1646</v>
      </c>
      <c r="M11" t="s">
        <v>1613</v>
      </c>
      <c r="N11" t="s">
        <v>1614</v>
      </c>
      <c r="O11" t="s">
        <v>1647</v>
      </c>
    </row>
    <row r="12" spans="1:16" x14ac:dyDescent="0.2">
      <c r="A12" s="84" t="s">
        <v>189</v>
      </c>
      <c r="B12" s="84" t="s">
        <v>190</v>
      </c>
      <c r="C12" t="s">
        <v>182</v>
      </c>
      <c r="D12" t="s">
        <v>2458</v>
      </c>
      <c r="F12" t="s">
        <v>190</v>
      </c>
      <c r="G12" t="s">
        <v>1609</v>
      </c>
      <c r="H12" t="s">
        <v>1644</v>
      </c>
      <c r="I12" t="s">
        <v>1648</v>
      </c>
      <c r="J12" t="s">
        <v>1649</v>
      </c>
      <c r="K12" t="s">
        <v>1650</v>
      </c>
      <c r="L12" t="s">
        <v>122</v>
      </c>
      <c r="M12" t="s">
        <v>1613</v>
      </c>
      <c r="N12" t="s">
        <v>1621</v>
      </c>
      <c r="O12" t="s">
        <v>1639</v>
      </c>
    </row>
    <row r="13" spans="1:16" x14ac:dyDescent="0.2">
      <c r="A13" s="84" t="s">
        <v>196</v>
      </c>
      <c r="B13" s="84" t="s">
        <v>197</v>
      </c>
      <c r="C13" t="s">
        <v>182</v>
      </c>
      <c r="D13" t="s">
        <v>2461</v>
      </c>
      <c r="F13" t="s">
        <v>197</v>
      </c>
      <c r="G13" t="s">
        <v>1609</v>
      </c>
      <c r="H13" t="s">
        <v>1644</v>
      </c>
      <c r="I13" t="s">
        <v>1650</v>
      </c>
      <c r="J13" t="s">
        <v>122</v>
      </c>
      <c r="K13" t="s">
        <v>1651</v>
      </c>
      <c r="L13" t="s">
        <v>1613</v>
      </c>
      <c r="M13" t="s">
        <v>1621</v>
      </c>
      <c r="N13" t="s">
        <v>1652</v>
      </c>
    </row>
    <row r="14" spans="1:16" x14ac:dyDescent="0.2">
      <c r="A14" s="84" t="s">
        <v>202</v>
      </c>
      <c r="B14" s="84" t="s">
        <v>203</v>
      </c>
      <c r="C14" t="s">
        <v>182</v>
      </c>
      <c r="D14" t="s">
        <v>2462</v>
      </c>
      <c r="F14" t="s">
        <v>2496</v>
      </c>
      <c r="G14" t="s">
        <v>1609</v>
      </c>
      <c r="H14" t="s">
        <v>1616</v>
      </c>
      <c r="I14" t="s">
        <v>1653</v>
      </c>
      <c r="J14" t="s">
        <v>1654</v>
      </c>
      <c r="K14" t="s">
        <v>1655</v>
      </c>
      <c r="L14" t="s">
        <v>1656</v>
      </c>
      <c r="M14" t="s">
        <v>1657</v>
      </c>
      <c r="N14" t="s">
        <v>1613</v>
      </c>
      <c r="O14" t="s">
        <v>1621</v>
      </c>
      <c r="P14" t="s">
        <v>1658</v>
      </c>
    </row>
    <row r="15" spans="1:16" x14ac:dyDescent="0.2">
      <c r="A15" s="84" t="s">
        <v>211</v>
      </c>
      <c r="B15" s="84" t="s">
        <v>212</v>
      </c>
      <c r="C15" t="s">
        <v>182</v>
      </c>
      <c r="D15" t="s">
        <v>2454</v>
      </c>
      <c r="F15" t="s">
        <v>212</v>
      </c>
      <c r="G15" t="s">
        <v>1609</v>
      </c>
      <c r="H15" t="s">
        <v>1616</v>
      </c>
      <c r="I15" t="s">
        <v>1659</v>
      </c>
      <c r="J15" t="s">
        <v>1660</v>
      </c>
      <c r="K15" t="s">
        <v>1661</v>
      </c>
      <c r="L15" t="s">
        <v>1662</v>
      </c>
      <c r="M15" t="s">
        <v>1613</v>
      </c>
      <c r="N15" t="s">
        <v>1621</v>
      </c>
      <c r="O15" t="s">
        <v>1615</v>
      </c>
    </row>
    <row r="16" spans="1:16" x14ac:dyDescent="0.2">
      <c r="A16" s="84" t="s">
        <v>216</v>
      </c>
      <c r="B16" s="84" t="s">
        <v>217</v>
      </c>
      <c r="C16" t="s">
        <v>2452</v>
      </c>
      <c r="D16" t="s">
        <v>2463</v>
      </c>
      <c r="F16" t="s">
        <v>217</v>
      </c>
      <c r="G16" t="s">
        <v>1609</v>
      </c>
      <c r="H16" t="s">
        <v>1616</v>
      </c>
      <c r="I16" t="s">
        <v>1663</v>
      </c>
      <c r="J16" t="s">
        <v>1613</v>
      </c>
      <c r="K16" t="s">
        <v>1614</v>
      </c>
      <c r="L16" t="s">
        <v>1664</v>
      </c>
    </row>
    <row r="17" spans="1:17" x14ac:dyDescent="0.2">
      <c r="A17" s="84" t="s">
        <v>223</v>
      </c>
      <c r="B17" s="84" t="s">
        <v>224</v>
      </c>
      <c r="C17" t="s">
        <v>182</v>
      </c>
      <c r="D17" t="s">
        <v>2464</v>
      </c>
      <c r="F17" t="s">
        <v>224</v>
      </c>
      <c r="G17" t="s">
        <v>1609</v>
      </c>
      <c r="H17" t="s">
        <v>1611</v>
      </c>
      <c r="I17" t="s">
        <v>1610</v>
      </c>
      <c r="J17" t="s">
        <v>1665</v>
      </c>
      <c r="K17" t="s">
        <v>122</v>
      </c>
      <c r="L17" t="s">
        <v>1613</v>
      </c>
      <c r="M17" t="s">
        <v>1621</v>
      </c>
      <c r="N17" t="s">
        <v>1666</v>
      </c>
      <c r="O17" t="s">
        <v>1667</v>
      </c>
    </row>
    <row r="18" spans="1:17" x14ac:dyDescent="0.2">
      <c r="A18" s="84" t="s">
        <v>230</v>
      </c>
      <c r="B18" s="84" t="s">
        <v>231</v>
      </c>
      <c r="C18" t="s">
        <v>2452</v>
      </c>
      <c r="D18" t="s">
        <v>2465</v>
      </c>
      <c r="F18" t="s">
        <v>231</v>
      </c>
      <c r="G18" t="s">
        <v>1609</v>
      </c>
      <c r="H18" t="s">
        <v>1611</v>
      </c>
      <c r="I18" t="s">
        <v>1610</v>
      </c>
      <c r="J18" t="s">
        <v>1668</v>
      </c>
      <c r="K18" t="s">
        <v>1669</v>
      </c>
      <c r="L18" t="s">
        <v>1665</v>
      </c>
      <c r="M18" t="s">
        <v>1613</v>
      </c>
      <c r="N18" t="s">
        <v>1614</v>
      </c>
      <c r="O18" t="s">
        <v>1670</v>
      </c>
    </row>
    <row r="19" spans="1:17" x14ac:dyDescent="0.2">
      <c r="A19" s="84" t="s">
        <v>239</v>
      </c>
      <c r="B19" s="84" t="s">
        <v>240</v>
      </c>
      <c r="C19" t="s">
        <v>2452</v>
      </c>
      <c r="D19" t="s">
        <v>2464</v>
      </c>
      <c r="F19" t="s">
        <v>240</v>
      </c>
      <c r="G19" t="s">
        <v>1609</v>
      </c>
      <c r="H19" t="s">
        <v>1644</v>
      </c>
      <c r="I19" t="s">
        <v>1648</v>
      </c>
      <c r="J19" t="s">
        <v>1649</v>
      </c>
      <c r="K19" t="s">
        <v>1671</v>
      </c>
      <c r="L19" t="s">
        <v>1668</v>
      </c>
      <c r="M19" t="s">
        <v>1613</v>
      </c>
      <c r="N19" t="s">
        <v>1614</v>
      </c>
      <c r="O19" t="s">
        <v>1666</v>
      </c>
    </row>
    <row r="20" spans="1:17" x14ac:dyDescent="0.2">
      <c r="A20" s="84" t="s">
        <v>246</v>
      </c>
      <c r="B20" s="84" t="s">
        <v>247</v>
      </c>
      <c r="F20" t="s">
        <v>247</v>
      </c>
      <c r="G20" t="s">
        <v>1609</v>
      </c>
      <c r="H20" t="s">
        <v>1672</v>
      </c>
      <c r="I20" t="s">
        <v>1673</v>
      </c>
      <c r="J20" t="s">
        <v>1674</v>
      </c>
      <c r="K20" t="s">
        <v>1675</v>
      </c>
      <c r="L20" t="s">
        <v>1676</v>
      </c>
      <c r="M20" t="s">
        <v>1677</v>
      </c>
      <c r="N20" t="s">
        <v>1678</v>
      </c>
    </row>
    <row r="21" spans="1:17" x14ac:dyDescent="0.2">
      <c r="A21" s="84" t="s">
        <v>251</v>
      </c>
      <c r="B21" s="84" t="s">
        <v>252</v>
      </c>
      <c r="C21" t="s">
        <v>182</v>
      </c>
      <c r="D21" t="s">
        <v>2466</v>
      </c>
      <c r="F21" t="s">
        <v>2497</v>
      </c>
      <c r="G21" t="s">
        <v>1609</v>
      </c>
      <c r="H21" t="s">
        <v>1616</v>
      </c>
      <c r="I21" t="s">
        <v>1679</v>
      </c>
      <c r="J21" t="s">
        <v>1680</v>
      </c>
      <c r="K21" t="s">
        <v>1681</v>
      </c>
      <c r="L21" t="s">
        <v>1682</v>
      </c>
      <c r="M21" t="s">
        <v>1683</v>
      </c>
      <c r="N21" t="s">
        <v>1684</v>
      </c>
      <c r="O21" t="s">
        <v>1613</v>
      </c>
      <c r="P21" t="s">
        <v>1621</v>
      </c>
      <c r="Q21" t="s">
        <v>1685</v>
      </c>
    </row>
    <row r="22" spans="1:17" x14ac:dyDescent="0.2">
      <c r="A22" s="84" t="s">
        <v>254</v>
      </c>
      <c r="B22" s="84" t="s">
        <v>255</v>
      </c>
      <c r="C22" t="s">
        <v>182</v>
      </c>
      <c r="D22" t="s">
        <v>2466</v>
      </c>
      <c r="F22" t="s">
        <v>2498</v>
      </c>
      <c r="G22" t="s">
        <v>1609</v>
      </c>
      <c r="H22" t="s">
        <v>1616</v>
      </c>
      <c r="I22" t="s">
        <v>1679</v>
      </c>
      <c r="J22" t="s">
        <v>1680</v>
      </c>
      <c r="K22" t="s">
        <v>1681</v>
      </c>
      <c r="L22" t="s">
        <v>1665</v>
      </c>
      <c r="M22" t="s">
        <v>1683</v>
      </c>
      <c r="N22" t="s">
        <v>1686</v>
      </c>
      <c r="O22" t="s">
        <v>1621</v>
      </c>
      <c r="P22" t="s">
        <v>1685</v>
      </c>
    </row>
    <row r="23" spans="1:17" x14ac:dyDescent="0.2">
      <c r="A23" s="84" t="s">
        <v>259</v>
      </c>
      <c r="B23" s="84" t="s">
        <v>260</v>
      </c>
      <c r="C23" t="s">
        <v>182</v>
      </c>
      <c r="D23" t="s">
        <v>2466</v>
      </c>
      <c r="F23" t="s">
        <v>2499</v>
      </c>
      <c r="G23" t="s">
        <v>1609</v>
      </c>
      <c r="H23" t="s">
        <v>1616</v>
      </c>
      <c r="I23" t="s">
        <v>1679</v>
      </c>
      <c r="J23" t="s">
        <v>1687</v>
      </c>
      <c r="K23" t="s">
        <v>1665</v>
      </c>
      <c r="L23" t="s">
        <v>1688</v>
      </c>
      <c r="M23" t="s">
        <v>1689</v>
      </c>
      <c r="N23" t="s">
        <v>1686</v>
      </c>
      <c r="O23" t="s">
        <v>1621</v>
      </c>
      <c r="P23" t="s">
        <v>1685</v>
      </c>
    </row>
    <row r="24" spans="1:17" x14ac:dyDescent="0.2">
      <c r="A24" s="84" t="s">
        <v>267</v>
      </c>
      <c r="B24" s="84" t="s">
        <v>268</v>
      </c>
      <c r="C24" t="s">
        <v>182</v>
      </c>
      <c r="D24" t="s">
        <v>2466</v>
      </c>
      <c r="F24" t="s">
        <v>268</v>
      </c>
      <c r="G24" t="s">
        <v>1609</v>
      </c>
      <c r="H24" t="s">
        <v>1616</v>
      </c>
      <c r="I24" t="s">
        <v>1679</v>
      </c>
      <c r="J24" t="s">
        <v>1690</v>
      </c>
      <c r="K24" t="s">
        <v>1681</v>
      </c>
      <c r="L24" t="s">
        <v>1682</v>
      </c>
      <c r="M24" t="s">
        <v>1691</v>
      </c>
      <c r="N24" t="s">
        <v>1621</v>
      </c>
      <c r="O24" t="s">
        <v>1685</v>
      </c>
    </row>
    <row r="25" spans="1:17" x14ac:dyDescent="0.2">
      <c r="A25" s="84" t="s">
        <v>270</v>
      </c>
      <c r="B25" s="84" t="s">
        <v>271</v>
      </c>
      <c r="C25" t="s">
        <v>2452</v>
      </c>
      <c r="D25" t="s">
        <v>2467</v>
      </c>
      <c r="F25" t="s">
        <v>271</v>
      </c>
      <c r="G25" t="s">
        <v>1609</v>
      </c>
      <c r="H25" t="s">
        <v>1633</v>
      </c>
      <c r="I25" t="s">
        <v>1692</v>
      </c>
      <c r="J25" t="s">
        <v>1614</v>
      </c>
      <c r="K25" t="s">
        <v>1693</v>
      </c>
      <c r="L25" t="s">
        <v>1694</v>
      </c>
    </row>
    <row r="26" spans="1:17" x14ac:dyDescent="0.2">
      <c r="A26" s="84" t="s">
        <v>277</v>
      </c>
      <c r="B26" s="84" t="s">
        <v>278</v>
      </c>
      <c r="C26" t="s">
        <v>182</v>
      </c>
      <c r="D26" t="s">
        <v>2466</v>
      </c>
      <c r="F26" t="s">
        <v>278</v>
      </c>
      <c r="G26" t="s">
        <v>1609</v>
      </c>
      <c r="H26" t="s">
        <v>1616</v>
      </c>
      <c r="I26" t="s">
        <v>1695</v>
      </c>
      <c r="J26" t="s">
        <v>1683</v>
      </c>
      <c r="K26" t="s">
        <v>1696</v>
      </c>
      <c r="L26" t="s">
        <v>1613</v>
      </c>
      <c r="M26" t="s">
        <v>1621</v>
      </c>
      <c r="N26" t="s">
        <v>1685</v>
      </c>
    </row>
    <row r="27" spans="1:17" x14ac:dyDescent="0.2">
      <c r="A27" s="84" t="s">
        <v>284</v>
      </c>
      <c r="B27" s="84" t="s">
        <v>285</v>
      </c>
      <c r="C27" t="s">
        <v>182</v>
      </c>
      <c r="D27" t="s">
        <v>2468</v>
      </c>
      <c r="F27" t="s">
        <v>285</v>
      </c>
      <c r="G27" t="s">
        <v>1609</v>
      </c>
      <c r="H27" t="s">
        <v>1697</v>
      </c>
      <c r="I27" t="s">
        <v>1698</v>
      </c>
      <c r="J27" t="s">
        <v>1699</v>
      </c>
      <c r="K27" t="s">
        <v>1700</v>
      </c>
      <c r="L27" t="s">
        <v>1621</v>
      </c>
      <c r="M27" t="s">
        <v>1701</v>
      </c>
      <c r="N27" t="s">
        <v>1702</v>
      </c>
    </row>
    <row r="28" spans="1:17" x14ac:dyDescent="0.2">
      <c r="A28" s="84" t="s">
        <v>289</v>
      </c>
      <c r="B28" s="84" t="s">
        <v>290</v>
      </c>
      <c r="C28" t="s">
        <v>182</v>
      </c>
      <c r="D28" t="s">
        <v>2469</v>
      </c>
      <c r="F28" t="s">
        <v>290</v>
      </c>
      <c r="G28" t="s">
        <v>1609</v>
      </c>
      <c r="H28" t="s">
        <v>1703</v>
      </c>
      <c r="I28" t="s">
        <v>1692</v>
      </c>
      <c r="J28" t="s">
        <v>1704</v>
      </c>
      <c r="K28" t="s">
        <v>1705</v>
      </c>
      <c r="L28" t="s">
        <v>1613</v>
      </c>
      <c r="M28" t="s">
        <v>1621</v>
      </c>
      <c r="N28" t="s">
        <v>1706</v>
      </c>
    </row>
    <row r="29" spans="1:17" x14ac:dyDescent="0.2">
      <c r="A29" s="84" t="s">
        <v>296</v>
      </c>
      <c r="B29" s="84" t="s">
        <v>297</v>
      </c>
      <c r="C29" t="s">
        <v>182</v>
      </c>
      <c r="D29" t="s">
        <v>2466</v>
      </c>
      <c r="F29" t="s">
        <v>2500</v>
      </c>
      <c r="G29" t="s">
        <v>1609</v>
      </c>
      <c r="H29" t="s">
        <v>1616</v>
      </c>
      <c r="I29" t="s">
        <v>1707</v>
      </c>
      <c r="J29" t="s">
        <v>1708</v>
      </c>
      <c r="K29" t="s">
        <v>1709</v>
      </c>
      <c r="L29" t="s">
        <v>1710</v>
      </c>
      <c r="M29" t="s">
        <v>1711</v>
      </c>
      <c r="N29" t="s">
        <v>1613</v>
      </c>
      <c r="O29" t="s">
        <v>1621</v>
      </c>
      <c r="P29" t="s">
        <v>1685</v>
      </c>
    </row>
    <row r="30" spans="1:17" x14ac:dyDescent="0.2">
      <c r="A30" s="84" t="s">
        <v>304</v>
      </c>
      <c r="B30" s="84" t="s">
        <v>305</v>
      </c>
      <c r="C30" t="s">
        <v>182</v>
      </c>
      <c r="D30" t="s">
        <v>2466</v>
      </c>
      <c r="F30" t="s">
        <v>305</v>
      </c>
      <c r="G30" t="s">
        <v>1609</v>
      </c>
      <c r="H30" t="s">
        <v>1616</v>
      </c>
      <c r="I30" t="s">
        <v>1708</v>
      </c>
      <c r="J30" t="s">
        <v>1712</v>
      </c>
      <c r="K30" t="s">
        <v>1713</v>
      </c>
      <c r="L30" t="s">
        <v>1714</v>
      </c>
      <c r="M30" t="s">
        <v>1621</v>
      </c>
      <c r="N30" t="s">
        <v>1685</v>
      </c>
    </row>
    <row r="31" spans="1:17" x14ac:dyDescent="0.2">
      <c r="A31" s="84" t="s">
        <v>311</v>
      </c>
      <c r="B31" s="84" t="s">
        <v>312</v>
      </c>
      <c r="C31" t="s">
        <v>182</v>
      </c>
      <c r="D31" t="s">
        <v>2466</v>
      </c>
      <c r="F31" t="s">
        <v>312</v>
      </c>
      <c r="G31" t="s">
        <v>1609</v>
      </c>
      <c r="H31" t="s">
        <v>1616</v>
      </c>
      <c r="I31" t="s">
        <v>1708</v>
      </c>
      <c r="J31" t="s">
        <v>1712</v>
      </c>
      <c r="K31" t="s">
        <v>1713</v>
      </c>
      <c r="L31" t="s">
        <v>1715</v>
      </c>
      <c r="M31" t="s">
        <v>1716</v>
      </c>
      <c r="N31" t="s">
        <v>1621</v>
      </c>
      <c r="O31" t="s">
        <v>1685</v>
      </c>
    </row>
    <row r="32" spans="1:17" x14ac:dyDescent="0.2">
      <c r="A32" s="84" t="s">
        <v>316</v>
      </c>
      <c r="B32" s="84" t="s">
        <v>317</v>
      </c>
      <c r="C32" t="s">
        <v>182</v>
      </c>
      <c r="D32" t="s">
        <v>2470</v>
      </c>
      <c r="F32" t="s">
        <v>317</v>
      </c>
      <c r="G32" t="s">
        <v>1609</v>
      </c>
      <c r="H32" t="s">
        <v>1717</v>
      </c>
      <c r="I32" t="s">
        <v>1718</v>
      </c>
      <c r="J32" t="s">
        <v>1719</v>
      </c>
      <c r="K32" t="s">
        <v>1720</v>
      </c>
      <c r="L32" t="s">
        <v>1613</v>
      </c>
      <c r="M32" t="s">
        <v>1621</v>
      </c>
      <c r="N32" t="s">
        <v>1721</v>
      </c>
    </row>
    <row r="33" spans="1:17" x14ac:dyDescent="0.2">
      <c r="A33" s="84" t="s">
        <v>319</v>
      </c>
      <c r="B33" s="84" t="s">
        <v>320</v>
      </c>
      <c r="C33" t="s">
        <v>182</v>
      </c>
      <c r="D33" t="s">
        <v>2471</v>
      </c>
      <c r="F33" t="s">
        <v>320</v>
      </c>
      <c r="G33" t="s">
        <v>1609</v>
      </c>
      <c r="H33" t="s">
        <v>1722</v>
      </c>
      <c r="I33" t="s">
        <v>1723</v>
      </c>
      <c r="J33" t="s">
        <v>1724</v>
      </c>
      <c r="K33" t="s">
        <v>1725</v>
      </c>
      <c r="L33" t="s">
        <v>1726</v>
      </c>
      <c r="M33" t="s">
        <v>1613</v>
      </c>
      <c r="N33" t="s">
        <v>1621</v>
      </c>
      <c r="O33" t="s">
        <v>1727</v>
      </c>
    </row>
    <row r="34" spans="1:17" x14ac:dyDescent="0.2">
      <c r="A34" s="84" t="s">
        <v>326</v>
      </c>
      <c r="B34" s="84" t="s">
        <v>327</v>
      </c>
      <c r="C34" t="s">
        <v>182</v>
      </c>
      <c r="D34" t="s">
        <v>2471</v>
      </c>
      <c r="F34" t="s">
        <v>327</v>
      </c>
      <c r="G34" t="s">
        <v>1609</v>
      </c>
      <c r="H34" t="s">
        <v>1722</v>
      </c>
      <c r="I34" t="s">
        <v>1728</v>
      </c>
      <c r="J34" t="s">
        <v>1724</v>
      </c>
      <c r="K34" t="s">
        <v>1729</v>
      </c>
      <c r="L34" t="s">
        <v>1730</v>
      </c>
      <c r="M34" t="s">
        <v>1613</v>
      </c>
      <c r="N34" t="s">
        <v>1621</v>
      </c>
      <c r="O34" t="s">
        <v>1727</v>
      </c>
    </row>
    <row r="35" spans="1:17" x14ac:dyDescent="0.2">
      <c r="A35" s="84" t="s">
        <v>333</v>
      </c>
      <c r="B35" s="84" t="s">
        <v>334</v>
      </c>
      <c r="C35" t="s">
        <v>2452</v>
      </c>
      <c r="D35" t="s">
        <v>2458</v>
      </c>
      <c r="F35" t="s">
        <v>334</v>
      </c>
      <c r="G35" t="s">
        <v>1609</v>
      </c>
      <c r="H35" t="s">
        <v>1705</v>
      </c>
      <c r="I35" t="s">
        <v>122</v>
      </c>
      <c r="J35" t="s">
        <v>1731</v>
      </c>
      <c r="K35" t="s">
        <v>1732</v>
      </c>
      <c r="L35" t="s">
        <v>1614</v>
      </c>
      <c r="M35" t="s">
        <v>1639</v>
      </c>
    </row>
    <row r="36" spans="1:17" x14ac:dyDescent="0.2">
      <c r="A36" s="84" t="s">
        <v>340</v>
      </c>
      <c r="B36" s="84" t="s">
        <v>341</v>
      </c>
      <c r="C36" t="s">
        <v>182</v>
      </c>
      <c r="D36" t="s">
        <v>2472</v>
      </c>
      <c r="F36" t="s">
        <v>341</v>
      </c>
      <c r="G36" t="s">
        <v>1609</v>
      </c>
      <c r="H36" t="s">
        <v>1635</v>
      </c>
      <c r="I36" t="s">
        <v>1733</v>
      </c>
      <c r="J36" t="s">
        <v>1734</v>
      </c>
      <c r="K36" t="s">
        <v>1621</v>
      </c>
    </row>
    <row r="37" spans="1:17" x14ac:dyDescent="0.2">
      <c r="A37" s="84" t="s">
        <v>345</v>
      </c>
      <c r="B37" s="84" t="s">
        <v>346</v>
      </c>
      <c r="C37" t="s">
        <v>182</v>
      </c>
      <c r="D37" t="s">
        <v>2473</v>
      </c>
      <c r="F37" t="s">
        <v>346</v>
      </c>
      <c r="G37" t="s">
        <v>1609</v>
      </c>
      <c r="H37" t="s">
        <v>1697</v>
      </c>
      <c r="I37" t="s">
        <v>1735</v>
      </c>
      <c r="J37" t="s">
        <v>1736</v>
      </c>
      <c r="K37" t="s">
        <v>1613</v>
      </c>
      <c r="L37" t="s">
        <v>1621</v>
      </c>
      <c r="M37" t="s">
        <v>1737</v>
      </c>
    </row>
    <row r="38" spans="1:17" x14ac:dyDescent="0.2">
      <c r="A38" s="84" t="s">
        <v>350</v>
      </c>
      <c r="B38" s="84" t="s">
        <v>351</v>
      </c>
      <c r="C38" t="s">
        <v>182</v>
      </c>
      <c r="D38" t="s">
        <v>2267</v>
      </c>
      <c r="F38" t="s">
        <v>2501</v>
      </c>
      <c r="G38" t="s">
        <v>1609</v>
      </c>
      <c r="H38" t="s">
        <v>1616</v>
      </c>
      <c r="I38" t="s">
        <v>1738</v>
      </c>
      <c r="J38" t="s">
        <v>169</v>
      </c>
      <c r="K38" t="s">
        <v>1739</v>
      </c>
      <c r="L38" t="s">
        <v>1613</v>
      </c>
      <c r="M38" t="s">
        <v>1621</v>
      </c>
      <c r="N38" t="s">
        <v>1740</v>
      </c>
      <c r="O38" t="s">
        <v>1741</v>
      </c>
      <c r="P38" t="s">
        <v>1742</v>
      </c>
    </row>
    <row r="39" spans="1:17" x14ac:dyDescent="0.2">
      <c r="A39" s="84" t="s">
        <v>357</v>
      </c>
      <c r="B39" s="84" t="s">
        <v>358</v>
      </c>
      <c r="D39" t="s">
        <v>2467</v>
      </c>
      <c r="F39" t="s">
        <v>2502</v>
      </c>
      <c r="G39" t="s">
        <v>1609</v>
      </c>
      <c r="H39" t="s">
        <v>1648</v>
      </c>
      <c r="I39" t="s">
        <v>1743</v>
      </c>
      <c r="J39" t="s">
        <v>1744</v>
      </c>
      <c r="K39" t="s">
        <v>1726</v>
      </c>
      <c r="L39" t="s">
        <v>1745</v>
      </c>
      <c r="M39" t="s">
        <v>1746</v>
      </c>
      <c r="N39" t="s">
        <v>1693</v>
      </c>
      <c r="O39" t="s">
        <v>1747</v>
      </c>
    </row>
    <row r="40" spans="1:17" x14ac:dyDescent="0.2">
      <c r="A40" s="84" t="s">
        <v>363</v>
      </c>
      <c r="B40" s="84" t="s">
        <v>364</v>
      </c>
      <c r="C40" t="s">
        <v>182</v>
      </c>
      <c r="D40" t="s">
        <v>2474</v>
      </c>
      <c r="F40" t="s">
        <v>364</v>
      </c>
      <c r="G40" t="s">
        <v>1609</v>
      </c>
      <c r="H40" t="s">
        <v>1648</v>
      </c>
      <c r="I40" t="s">
        <v>1748</v>
      </c>
      <c r="J40" t="s">
        <v>1749</v>
      </c>
      <c r="K40" t="s">
        <v>1750</v>
      </c>
      <c r="L40" t="s">
        <v>1621</v>
      </c>
      <c r="M40" t="s">
        <v>1751</v>
      </c>
      <c r="N40" t="s">
        <v>1752</v>
      </c>
      <c r="O40" t="s">
        <v>1729</v>
      </c>
      <c r="P40" t="s">
        <v>1689</v>
      </c>
      <c r="Q40" t="s">
        <v>1753</v>
      </c>
    </row>
    <row r="41" spans="1:17" x14ac:dyDescent="0.2">
      <c r="A41" s="84" t="s">
        <v>366</v>
      </c>
      <c r="B41" s="84" t="s">
        <v>367</v>
      </c>
      <c r="D41" t="s">
        <v>2474</v>
      </c>
      <c r="F41" t="s">
        <v>367</v>
      </c>
      <c r="G41" t="s">
        <v>1609</v>
      </c>
      <c r="H41" t="s">
        <v>1648</v>
      </c>
      <c r="I41" t="s">
        <v>1743</v>
      </c>
      <c r="J41" t="s">
        <v>1754</v>
      </c>
      <c r="K41" t="s">
        <v>1755</v>
      </c>
      <c r="L41" t="s">
        <v>1750</v>
      </c>
      <c r="M41" t="s">
        <v>1756</v>
      </c>
      <c r="N41" t="s">
        <v>1726</v>
      </c>
    </row>
    <row r="42" spans="1:17" x14ac:dyDescent="0.2">
      <c r="A42" s="84" t="s">
        <v>371</v>
      </c>
      <c r="B42" s="84" t="s">
        <v>372</v>
      </c>
      <c r="C42" t="s">
        <v>182</v>
      </c>
      <c r="F42" t="s">
        <v>372</v>
      </c>
      <c r="G42" t="s">
        <v>1609</v>
      </c>
      <c r="H42" t="s">
        <v>1648</v>
      </c>
      <c r="I42" t="s">
        <v>1757</v>
      </c>
      <c r="J42" t="s">
        <v>1758</v>
      </c>
      <c r="K42" t="s">
        <v>1613</v>
      </c>
      <c r="L42" t="s">
        <v>1621</v>
      </c>
    </row>
    <row r="43" spans="1:17" x14ac:dyDescent="0.2">
      <c r="A43" s="84" t="s">
        <v>378</v>
      </c>
      <c r="B43" s="84" t="s">
        <v>379</v>
      </c>
      <c r="C43" t="s">
        <v>2452</v>
      </c>
      <c r="D43" t="s">
        <v>204</v>
      </c>
      <c r="F43" t="s">
        <v>379</v>
      </c>
      <c r="G43" t="s">
        <v>1609</v>
      </c>
      <c r="H43" t="s">
        <v>1759</v>
      </c>
      <c r="I43" t="s">
        <v>1760</v>
      </c>
      <c r="J43" t="s">
        <v>1761</v>
      </c>
      <c r="K43" t="s">
        <v>1762</v>
      </c>
      <c r="L43" t="s">
        <v>1614</v>
      </c>
      <c r="M43" t="s">
        <v>1763</v>
      </c>
    </row>
    <row r="44" spans="1:17" x14ac:dyDescent="0.2">
      <c r="A44" s="84" t="s">
        <v>383</v>
      </c>
      <c r="B44" s="84" t="s">
        <v>384</v>
      </c>
      <c r="C44" t="s">
        <v>182</v>
      </c>
      <c r="D44" t="s">
        <v>2468</v>
      </c>
      <c r="F44" t="s">
        <v>384</v>
      </c>
      <c r="G44" t="s">
        <v>1609</v>
      </c>
      <c r="H44" t="s">
        <v>1616</v>
      </c>
      <c r="I44" t="s">
        <v>1738</v>
      </c>
      <c r="J44" t="s">
        <v>169</v>
      </c>
      <c r="K44" t="s">
        <v>1621</v>
      </c>
      <c r="L44" t="s">
        <v>1701</v>
      </c>
    </row>
    <row r="45" spans="1:17" x14ac:dyDescent="0.2">
      <c r="A45" s="84" t="s">
        <v>388</v>
      </c>
      <c r="B45" s="84" t="s">
        <v>389</v>
      </c>
      <c r="C45" t="s">
        <v>182</v>
      </c>
      <c r="D45" t="s">
        <v>2475</v>
      </c>
      <c r="F45" t="s">
        <v>389</v>
      </c>
      <c r="G45" t="s">
        <v>1609</v>
      </c>
      <c r="H45" t="s">
        <v>1697</v>
      </c>
      <c r="I45" t="s">
        <v>1764</v>
      </c>
      <c r="J45" t="s">
        <v>1621</v>
      </c>
      <c r="K45" t="s">
        <v>1765</v>
      </c>
      <c r="L45" t="s">
        <v>1766</v>
      </c>
    </row>
    <row r="46" spans="1:17" x14ac:dyDescent="0.2">
      <c r="A46" s="84" t="s">
        <v>393</v>
      </c>
      <c r="B46" s="84" t="s">
        <v>394</v>
      </c>
      <c r="C46" t="s">
        <v>182</v>
      </c>
      <c r="D46" t="s">
        <v>2468</v>
      </c>
      <c r="F46" t="s">
        <v>2503</v>
      </c>
      <c r="G46" t="s">
        <v>1609</v>
      </c>
      <c r="H46" t="s">
        <v>1616</v>
      </c>
      <c r="I46" t="s">
        <v>1767</v>
      </c>
      <c r="J46" t="s">
        <v>1768</v>
      </c>
      <c r="K46" t="s">
        <v>1769</v>
      </c>
      <c r="L46" t="s">
        <v>1770</v>
      </c>
      <c r="M46" t="s">
        <v>1771</v>
      </c>
      <c r="N46" t="s">
        <v>1613</v>
      </c>
      <c r="O46" t="s">
        <v>1621</v>
      </c>
      <c r="P46" t="s">
        <v>1772</v>
      </c>
    </row>
    <row r="47" spans="1:17" x14ac:dyDescent="0.2">
      <c r="A47" s="84" t="s">
        <v>398</v>
      </c>
      <c r="B47" s="84" t="s">
        <v>399</v>
      </c>
      <c r="C47" t="s">
        <v>182</v>
      </c>
      <c r="D47" t="s">
        <v>2472</v>
      </c>
      <c r="F47" t="s">
        <v>2504</v>
      </c>
      <c r="G47" t="s">
        <v>1609</v>
      </c>
      <c r="H47" t="s">
        <v>1616</v>
      </c>
      <c r="I47" t="s">
        <v>1767</v>
      </c>
      <c r="J47" t="s">
        <v>1768</v>
      </c>
      <c r="K47" t="s">
        <v>1613</v>
      </c>
      <c r="L47" t="s">
        <v>1621</v>
      </c>
      <c r="M47" t="s">
        <v>1734</v>
      </c>
    </row>
    <row r="48" spans="1:17" x14ac:dyDescent="0.2">
      <c r="A48" s="84" t="s">
        <v>404</v>
      </c>
      <c r="B48" s="84" t="s">
        <v>405</v>
      </c>
      <c r="C48" t="s">
        <v>182</v>
      </c>
      <c r="D48" t="s">
        <v>2455</v>
      </c>
      <c r="F48" t="s">
        <v>405</v>
      </c>
      <c r="G48" t="s">
        <v>1609</v>
      </c>
      <c r="H48" t="s">
        <v>1773</v>
      </c>
      <c r="I48" t="s">
        <v>1774</v>
      </c>
      <c r="J48" t="s">
        <v>1617</v>
      </c>
      <c r="K48" t="s">
        <v>1618</v>
      </c>
      <c r="L48" t="s">
        <v>1619</v>
      </c>
      <c r="M48" t="s">
        <v>1775</v>
      </c>
      <c r="N48" t="s">
        <v>1613</v>
      </c>
      <c r="O48" t="s">
        <v>1621</v>
      </c>
      <c r="P48" t="s">
        <v>1622</v>
      </c>
    </row>
    <row r="49" spans="1:16" x14ac:dyDescent="0.2">
      <c r="A49" s="84" t="s">
        <v>411</v>
      </c>
      <c r="B49" s="84" t="s">
        <v>412</v>
      </c>
      <c r="C49" t="s">
        <v>182</v>
      </c>
      <c r="D49" t="s">
        <v>2460</v>
      </c>
      <c r="F49" t="s">
        <v>2505</v>
      </c>
      <c r="G49" t="s">
        <v>1609</v>
      </c>
      <c r="H49" t="s">
        <v>1718</v>
      </c>
      <c r="I49" t="s">
        <v>1776</v>
      </c>
      <c r="J49" t="s">
        <v>1777</v>
      </c>
      <c r="K49" t="s">
        <v>1778</v>
      </c>
      <c r="L49" t="s">
        <v>1779</v>
      </c>
      <c r="M49" t="s">
        <v>1780</v>
      </c>
      <c r="N49" t="s">
        <v>1613</v>
      </c>
      <c r="O49" t="s">
        <v>1621</v>
      </c>
      <c r="P49" t="s">
        <v>1647</v>
      </c>
    </row>
    <row r="50" spans="1:16" x14ac:dyDescent="0.2">
      <c r="A50" s="84" t="s">
        <v>416</v>
      </c>
      <c r="B50" s="84" t="s">
        <v>417</v>
      </c>
      <c r="C50" t="s">
        <v>2452</v>
      </c>
      <c r="D50" t="s">
        <v>2460</v>
      </c>
      <c r="F50" t="s">
        <v>417</v>
      </c>
      <c r="G50" t="s">
        <v>1609</v>
      </c>
      <c r="H50" t="s">
        <v>1759</v>
      </c>
      <c r="I50" t="s">
        <v>1760</v>
      </c>
      <c r="J50" t="s">
        <v>1781</v>
      </c>
      <c r="K50" t="s">
        <v>1782</v>
      </c>
      <c r="L50" t="s">
        <v>1783</v>
      </c>
      <c r="M50" t="s">
        <v>1613</v>
      </c>
      <c r="N50" t="s">
        <v>1614</v>
      </c>
      <c r="O50" t="s">
        <v>1647</v>
      </c>
    </row>
    <row r="51" spans="1:16" x14ac:dyDescent="0.2">
      <c r="A51" s="84" t="s">
        <v>420</v>
      </c>
      <c r="B51" s="84" t="s">
        <v>421</v>
      </c>
      <c r="C51" t="s">
        <v>182</v>
      </c>
      <c r="D51" t="s">
        <v>2468</v>
      </c>
      <c r="F51" t="s">
        <v>421</v>
      </c>
      <c r="G51" t="s">
        <v>1609</v>
      </c>
      <c r="H51" t="s">
        <v>1635</v>
      </c>
      <c r="I51" t="s">
        <v>1784</v>
      </c>
      <c r="J51" t="s">
        <v>1785</v>
      </c>
      <c r="K51" t="s">
        <v>1786</v>
      </c>
      <c r="L51" t="s">
        <v>1787</v>
      </c>
      <c r="M51" t="s">
        <v>1788</v>
      </c>
      <c r="N51" t="s">
        <v>1613</v>
      </c>
      <c r="O51" t="s">
        <v>1621</v>
      </c>
      <c r="P51" t="s">
        <v>1772</v>
      </c>
    </row>
    <row r="52" spans="1:16" x14ac:dyDescent="0.2">
      <c r="A52" s="84" t="s">
        <v>423</v>
      </c>
      <c r="B52" s="84" t="s">
        <v>424</v>
      </c>
      <c r="C52" t="s">
        <v>182</v>
      </c>
      <c r="D52" t="s">
        <v>2465</v>
      </c>
      <c r="F52" t="s">
        <v>2506</v>
      </c>
      <c r="G52" t="s">
        <v>1609</v>
      </c>
      <c r="H52" t="s">
        <v>1616</v>
      </c>
      <c r="I52" t="s">
        <v>1789</v>
      </c>
      <c r="J52" t="s">
        <v>1790</v>
      </c>
      <c r="K52" t="s">
        <v>1629</v>
      </c>
      <c r="L52" t="s">
        <v>1619</v>
      </c>
      <c r="M52" t="s">
        <v>1613</v>
      </c>
      <c r="N52" t="s">
        <v>1621</v>
      </c>
      <c r="O52" t="s">
        <v>1670</v>
      </c>
      <c r="P52" t="s">
        <v>1791</v>
      </c>
    </row>
    <row r="53" spans="1:16" x14ac:dyDescent="0.2">
      <c r="A53" s="84" t="s">
        <v>429</v>
      </c>
      <c r="B53" s="84" t="s">
        <v>430</v>
      </c>
      <c r="C53" t="s">
        <v>2453</v>
      </c>
      <c r="D53" t="s">
        <v>2476</v>
      </c>
      <c r="F53" t="s">
        <v>430</v>
      </c>
      <c r="G53" t="s">
        <v>1609</v>
      </c>
      <c r="H53" t="s">
        <v>1635</v>
      </c>
      <c r="I53" t="s">
        <v>1636</v>
      </c>
      <c r="J53" t="s">
        <v>1792</v>
      </c>
      <c r="K53" t="s">
        <v>1781</v>
      </c>
      <c r="L53" t="s">
        <v>853</v>
      </c>
      <c r="M53" t="s">
        <v>1613</v>
      </c>
      <c r="N53" t="s">
        <v>1793</v>
      </c>
      <c r="O53" t="s">
        <v>1634</v>
      </c>
    </row>
    <row r="54" spans="1:16" x14ac:dyDescent="0.2">
      <c r="A54" s="84" t="s">
        <v>432</v>
      </c>
      <c r="B54" s="84" t="s">
        <v>433</v>
      </c>
      <c r="C54" t="s">
        <v>182</v>
      </c>
      <c r="D54" t="s">
        <v>2458</v>
      </c>
      <c r="F54" t="s">
        <v>433</v>
      </c>
      <c r="G54" t="s">
        <v>1609</v>
      </c>
      <c r="H54" t="s">
        <v>1616</v>
      </c>
      <c r="I54" t="s">
        <v>1794</v>
      </c>
      <c r="J54" t="s">
        <v>1795</v>
      </c>
      <c r="K54" t="s">
        <v>1796</v>
      </c>
      <c r="L54" t="s">
        <v>1797</v>
      </c>
      <c r="M54" t="s">
        <v>1613</v>
      </c>
      <c r="N54" t="s">
        <v>1621</v>
      </c>
      <c r="O54" t="s">
        <v>1639</v>
      </c>
    </row>
    <row r="55" spans="1:16" x14ac:dyDescent="0.2">
      <c r="A55" s="84" t="s">
        <v>438</v>
      </c>
      <c r="B55" s="84" t="s">
        <v>439</v>
      </c>
      <c r="C55" t="s">
        <v>182</v>
      </c>
      <c r="D55" t="s">
        <v>2458</v>
      </c>
      <c r="F55" t="s">
        <v>439</v>
      </c>
      <c r="G55" t="s">
        <v>1609</v>
      </c>
      <c r="H55" t="s">
        <v>1616</v>
      </c>
      <c r="I55" t="s">
        <v>1794</v>
      </c>
      <c r="J55" t="s">
        <v>1798</v>
      </c>
      <c r="K55" t="s">
        <v>1797</v>
      </c>
      <c r="L55" t="s">
        <v>1716</v>
      </c>
      <c r="M55" t="s">
        <v>1621</v>
      </c>
      <c r="N55" t="s">
        <v>1639</v>
      </c>
    </row>
    <row r="56" spans="1:16" x14ac:dyDescent="0.2">
      <c r="A56" s="84" t="s">
        <v>445</v>
      </c>
      <c r="B56" s="84" t="s">
        <v>446</v>
      </c>
      <c r="C56" t="s">
        <v>182</v>
      </c>
      <c r="D56" t="s">
        <v>2477</v>
      </c>
      <c r="F56" t="s">
        <v>2507</v>
      </c>
      <c r="G56" t="s">
        <v>1609</v>
      </c>
      <c r="H56" t="s">
        <v>1799</v>
      </c>
      <c r="I56" t="s">
        <v>1800</v>
      </c>
      <c r="J56" t="s">
        <v>1801</v>
      </c>
      <c r="K56" t="s">
        <v>122</v>
      </c>
      <c r="L56" t="s">
        <v>1716</v>
      </c>
      <c r="M56" t="s">
        <v>1621</v>
      </c>
      <c r="N56" t="s">
        <v>1802</v>
      </c>
    </row>
    <row r="57" spans="1:16" x14ac:dyDescent="0.2">
      <c r="A57" s="84" t="s">
        <v>450</v>
      </c>
      <c r="B57" s="84" t="s">
        <v>451</v>
      </c>
      <c r="D57" t="s">
        <v>2461</v>
      </c>
      <c r="F57" t="s">
        <v>451</v>
      </c>
      <c r="G57" t="s">
        <v>1609</v>
      </c>
      <c r="H57" t="s">
        <v>1803</v>
      </c>
      <c r="I57" t="s">
        <v>1804</v>
      </c>
      <c r="J57" t="s">
        <v>1652</v>
      </c>
      <c r="K57" t="s">
        <v>1805</v>
      </c>
      <c r="L57" t="s">
        <v>1806</v>
      </c>
      <c r="M57" t="s">
        <v>1807</v>
      </c>
      <c r="N57" t="s">
        <v>1808</v>
      </c>
    </row>
    <row r="58" spans="1:16" x14ac:dyDescent="0.2">
      <c r="A58" s="84" t="s">
        <v>455</v>
      </c>
      <c r="B58" s="84" t="s">
        <v>456</v>
      </c>
      <c r="D58" t="s">
        <v>2459</v>
      </c>
      <c r="F58" t="s">
        <v>456</v>
      </c>
      <c r="G58" t="s">
        <v>1609</v>
      </c>
      <c r="H58" t="s">
        <v>1809</v>
      </c>
      <c r="I58" t="s">
        <v>1810</v>
      </c>
      <c r="J58" t="s">
        <v>1811</v>
      </c>
      <c r="K58" t="s">
        <v>1712</v>
      </c>
      <c r="L58" t="s">
        <v>1812</v>
      </c>
      <c r="M58" t="s">
        <v>1813</v>
      </c>
      <c r="N58" t="s">
        <v>1814</v>
      </c>
    </row>
    <row r="59" spans="1:16" x14ac:dyDescent="0.2">
      <c r="A59" s="84" t="s">
        <v>458</v>
      </c>
      <c r="B59" s="84" t="s">
        <v>459</v>
      </c>
      <c r="C59" t="s">
        <v>2452</v>
      </c>
      <c r="D59" t="s">
        <v>2465</v>
      </c>
      <c r="F59" t="s">
        <v>459</v>
      </c>
      <c r="G59" t="s">
        <v>1609</v>
      </c>
      <c r="H59" t="s">
        <v>1645</v>
      </c>
      <c r="I59" t="s">
        <v>1815</v>
      </c>
      <c r="J59" t="s">
        <v>1816</v>
      </c>
      <c r="K59" t="s">
        <v>1817</v>
      </c>
      <c r="L59" t="s">
        <v>1613</v>
      </c>
      <c r="M59" t="s">
        <v>1614</v>
      </c>
      <c r="N59" t="s">
        <v>1670</v>
      </c>
    </row>
    <row r="60" spans="1:16" x14ac:dyDescent="0.2">
      <c r="A60" s="84" t="s">
        <v>461</v>
      </c>
      <c r="B60" s="84" t="s">
        <v>462</v>
      </c>
      <c r="C60" t="s">
        <v>182</v>
      </c>
      <c r="D60" t="s">
        <v>2474</v>
      </c>
      <c r="F60" t="s">
        <v>462</v>
      </c>
      <c r="G60" t="s">
        <v>1609</v>
      </c>
      <c r="H60" t="s">
        <v>1818</v>
      </c>
      <c r="I60" t="s">
        <v>1819</v>
      </c>
      <c r="J60" t="s">
        <v>1820</v>
      </c>
      <c r="K60" t="s">
        <v>1821</v>
      </c>
      <c r="L60" t="s">
        <v>1822</v>
      </c>
      <c r="M60" t="s">
        <v>1823</v>
      </c>
      <c r="N60" t="s">
        <v>1824</v>
      </c>
      <c r="O60" t="s">
        <v>1621</v>
      </c>
      <c r="P60" t="s">
        <v>1750</v>
      </c>
    </row>
    <row r="61" spans="1:16" x14ac:dyDescent="0.2">
      <c r="A61" s="84" t="s">
        <v>464</v>
      </c>
      <c r="B61" s="84" t="s">
        <v>465</v>
      </c>
      <c r="C61" t="s">
        <v>182</v>
      </c>
      <c r="D61" t="s">
        <v>2459</v>
      </c>
      <c r="F61" t="s">
        <v>465</v>
      </c>
      <c r="G61" t="s">
        <v>1609</v>
      </c>
      <c r="H61" t="s">
        <v>1616</v>
      </c>
      <c r="I61" t="s">
        <v>1767</v>
      </c>
      <c r="J61" t="s">
        <v>1768</v>
      </c>
      <c r="K61" t="s">
        <v>1769</v>
      </c>
      <c r="L61" t="s">
        <v>1770</v>
      </c>
      <c r="M61" t="s">
        <v>1651</v>
      </c>
      <c r="N61" t="s">
        <v>1613</v>
      </c>
      <c r="O61" t="s">
        <v>1621</v>
      </c>
      <c r="P61" t="s">
        <v>1813</v>
      </c>
    </row>
    <row r="62" spans="1:16" x14ac:dyDescent="0.2">
      <c r="A62" s="84" t="s">
        <v>467</v>
      </c>
      <c r="B62" s="84" t="s">
        <v>468</v>
      </c>
      <c r="C62" t="s">
        <v>182</v>
      </c>
      <c r="D62" t="s">
        <v>2267</v>
      </c>
      <c r="F62" t="s">
        <v>2508</v>
      </c>
      <c r="G62" t="s">
        <v>1609</v>
      </c>
      <c r="H62" t="s">
        <v>1773</v>
      </c>
      <c r="I62" t="s">
        <v>1825</v>
      </c>
      <c r="J62" t="s">
        <v>1826</v>
      </c>
      <c r="K62" t="s">
        <v>1827</v>
      </c>
      <c r="L62" t="s">
        <v>1613</v>
      </c>
      <c r="M62" t="s">
        <v>1621</v>
      </c>
      <c r="N62" t="s">
        <v>1740</v>
      </c>
    </row>
    <row r="63" spans="1:16" x14ac:dyDescent="0.2">
      <c r="A63" s="84" t="s">
        <v>472</v>
      </c>
      <c r="B63" s="84" t="s">
        <v>473</v>
      </c>
      <c r="C63" t="s">
        <v>182</v>
      </c>
      <c r="D63" t="s">
        <v>2461</v>
      </c>
      <c r="F63" t="s">
        <v>2509</v>
      </c>
      <c r="G63" t="s">
        <v>1609</v>
      </c>
      <c r="H63" t="s">
        <v>1803</v>
      </c>
      <c r="I63" t="s">
        <v>1828</v>
      </c>
      <c r="J63" t="s">
        <v>1829</v>
      </c>
      <c r="K63" t="s">
        <v>1830</v>
      </c>
      <c r="L63" t="s">
        <v>1831</v>
      </c>
      <c r="M63" t="s">
        <v>1621</v>
      </c>
      <c r="N63" t="s">
        <v>1832</v>
      </c>
    </row>
    <row r="64" spans="1:16" x14ac:dyDescent="0.2">
      <c r="A64" s="84" t="s">
        <v>475</v>
      </c>
      <c r="B64" s="84" t="s">
        <v>476</v>
      </c>
      <c r="C64" t="s">
        <v>182</v>
      </c>
      <c r="D64" t="s">
        <v>2474</v>
      </c>
      <c r="F64" t="s">
        <v>476</v>
      </c>
      <c r="G64" t="s">
        <v>1609</v>
      </c>
      <c r="H64" t="s">
        <v>1773</v>
      </c>
      <c r="I64" t="s">
        <v>1825</v>
      </c>
      <c r="J64" t="s">
        <v>1833</v>
      </c>
      <c r="K64" t="s">
        <v>1834</v>
      </c>
      <c r="L64" t="s">
        <v>1710</v>
      </c>
      <c r="M64" t="s">
        <v>1613</v>
      </c>
      <c r="N64" t="s">
        <v>1621</v>
      </c>
      <c r="O64" t="s">
        <v>1750</v>
      </c>
    </row>
    <row r="65" spans="1:17" x14ac:dyDescent="0.2">
      <c r="A65" s="84" t="s">
        <v>480</v>
      </c>
      <c r="B65" s="84" t="s">
        <v>481</v>
      </c>
      <c r="C65" t="s">
        <v>182</v>
      </c>
      <c r="D65" t="s">
        <v>2478</v>
      </c>
      <c r="F65" t="s">
        <v>2510</v>
      </c>
      <c r="G65" t="s">
        <v>1609</v>
      </c>
      <c r="H65" t="s">
        <v>1672</v>
      </c>
      <c r="I65" t="s">
        <v>1835</v>
      </c>
      <c r="J65" t="s">
        <v>1836</v>
      </c>
      <c r="K65" t="s">
        <v>1837</v>
      </c>
      <c r="L65" t="s">
        <v>1621</v>
      </c>
      <c r="M65" t="s">
        <v>1838</v>
      </c>
      <c r="N65" t="s">
        <v>1839</v>
      </c>
      <c r="O65" t="s">
        <v>1840</v>
      </c>
    </row>
    <row r="66" spans="1:17" x14ac:dyDescent="0.2">
      <c r="A66" s="84" t="s">
        <v>485</v>
      </c>
      <c r="B66" s="84" t="s">
        <v>486</v>
      </c>
      <c r="C66" t="s">
        <v>182</v>
      </c>
      <c r="D66" t="s">
        <v>2479</v>
      </c>
      <c r="F66" t="s">
        <v>486</v>
      </c>
      <c r="G66" t="s">
        <v>1609</v>
      </c>
      <c r="H66" t="s">
        <v>1648</v>
      </c>
      <c r="I66" t="s">
        <v>1841</v>
      </c>
      <c r="J66" t="s">
        <v>1842</v>
      </c>
      <c r="K66" t="s">
        <v>1843</v>
      </c>
      <c r="L66" t="s">
        <v>1844</v>
      </c>
      <c r="M66" t="s">
        <v>1621</v>
      </c>
      <c r="N66" t="s">
        <v>1845</v>
      </c>
    </row>
    <row r="67" spans="1:17" x14ac:dyDescent="0.2">
      <c r="A67" s="84" t="s">
        <v>488</v>
      </c>
      <c r="B67" s="84" t="s">
        <v>489</v>
      </c>
      <c r="C67" t="s">
        <v>182</v>
      </c>
      <c r="D67" t="s">
        <v>2456</v>
      </c>
      <c r="F67" t="s">
        <v>489</v>
      </c>
      <c r="G67" t="s">
        <v>1609</v>
      </c>
      <c r="H67" t="s">
        <v>1627</v>
      </c>
      <c r="I67" t="s">
        <v>1846</v>
      </c>
      <c r="J67" t="s">
        <v>1625</v>
      </c>
      <c r="K67" t="s">
        <v>1847</v>
      </c>
      <c r="L67" t="s">
        <v>1621</v>
      </c>
      <c r="M67" t="s">
        <v>1848</v>
      </c>
    </row>
    <row r="68" spans="1:17" x14ac:dyDescent="0.2">
      <c r="A68" s="84" t="s">
        <v>493</v>
      </c>
      <c r="B68" s="84" t="s">
        <v>494</v>
      </c>
      <c r="C68" t="s">
        <v>182</v>
      </c>
      <c r="D68" t="s">
        <v>2480</v>
      </c>
      <c r="F68" t="s">
        <v>494</v>
      </c>
      <c r="G68" t="s">
        <v>1609</v>
      </c>
      <c r="H68" t="s">
        <v>1616</v>
      </c>
      <c r="I68" t="s">
        <v>1849</v>
      </c>
      <c r="J68" t="s">
        <v>1850</v>
      </c>
      <c r="K68" t="s">
        <v>1613</v>
      </c>
      <c r="L68" t="s">
        <v>1621</v>
      </c>
      <c r="M68" t="s">
        <v>1851</v>
      </c>
    </row>
    <row r="69" spans="1:17" x14ac:dyDescent="0.2">
      <c r="A69" s="84" t="s">
        <v>496</v>
      </c>
      <c r="B69" s="84" t="s">
        <v>497</v>
      </c>
      <c r="F69" t="s">
        <v>497</v>
      </c>
      <c r="G69" t="s">
        <v>1609</v>
      </c>
      <c r="H69" t="s">
        <v>1616</v>
      </c>
      <c r="I69" t="s">
        <v>1849</v>
      </c>
      <c r="J69" t="s">
        <v>1852</v>
      </c>
      <c r="K69" t="s">
        <v>1853</v>
      </c>
      <c r="L69" t="s">
        <v>1854</v>
      </c>
      <c r="M69" t="s">
        <v>1716</v>
      </c>
    </row>
    <row r="70" spans="1:17" x14ac:dyDescent="0.2">
      <c r="A70" s="84" t="s">
        <v>499</v>
      </c>
      <c r="B70" s="84" t="s">
        <v>500</v>
      </c>
      <c r="D70" t="s">
        <v>2478</v>
      </c>
      <c r="F70" t="s">
        <v>500</v>
      </c>
      <c r="G70" t="s">
        <v>1609</v>
      </c>
      <c r="H70" t="s">
        <v>1818</v>
      </c>
      <c r="I70" t="s">
        <v>1855</v>
      </c>
      <c r="J70" t="s">
        <v>1856</v>
      </c>
      <c r="K70" t="s">
        <v>1857</v>
      </c>
      <c r="L70" t="s">
        <v>1858</v>
      </c>
      <c r="M70" t="s">
        <v>1859</v>
      </c>
      <c r="N70" t="s">
        <v>1860</v>
      </c>
    </row>
    <row r="71" spans="1:17" x14ac:dyDescent="0.2">
      <c r="A71" s="84" t="s">
        <v>504</v>
      </c>
      <c r="B71" s="84" t="s">
        <v>505</v>
      </c>
      <c r="C71" t="s">
        <v>182</v>
      </c>
      <c r="D71" t="s">
        <v>2474</v>
      </c>
      <c r="F71" t="s">
        <v>505</v>
      </c>
      <c r="G71" t="s">
        <v>1609</v>
      </c>
      <c r="H71" t="s">
        <v>1809</v>
      </c>
      <c r="I71" t="s">
        <v>1861</v>
      </c>
      <c r="J71" t="s">
        <v>150</v>
      </c>
      <c r="K71" t="s">
        <v>1862</v>
      </c>
      <c r="L71" t="s">
        <v>1621</v>
      </c>
      <c r="M71" t="s">
        <v>1863</v>
      </c>
    </row>
    <row r="72" spans="1:17" x14ac:dyDescent="0.2">
      <c r="A72" s="84" t="s">
        <v>511</v>
      </c>
      <c r="B72" s="84" t="s">
        <v>512</v>
      </c>
      <c r="D72" t="s">
        <v>2481</v>
      </c>
      <c r="F72" t="s">
        <v>512</v>
      </c>
      <c r="G72" t="s">
        <v>1609</v>
      </c>
      <c r="H72" t="s">
        <v>1852</v>
      </c>
      <c r="I72" t="s">
        <v>1864</v>
      </c>
      <c r="J72" t="s">
        <v>200</v>
      </c>
      <c r="K72" t="s">
        <v>1865</v>
      </c>
      <c r="L72" t="s">
        <v>1866</v>
      </c>
      <c r="M72" t="s">
        <v>1736</v>
      </c>
    </row>
    <row r="73" spans="1:17" x14ac:dyDescent="0.2">
      <c r="A73" s="84" t="s">
        <v>514</v>
      </c>
      <c r="B73" s="84" t="s">
        <v>515</v>
      </c>
      <c r="C73" t="s">
        <v>182</v>
      </c>
      <c r="D73" t="s">
        <v>2470</v>
      </c>
      <c r="F73" t="s">
        <v>2511</v>
      </c>
      <c r="G73" t="s">
        <v>1609</v>
      </c>
      <c r="H73" t="s">
        <v>1819</v>
      </c>
      <c r="I73" t="s">
        <v>1867</v>
      </c>
      <c r="J73" t="s">
        <v>1816</v>
      </c>
      <c r="K73" t="s">
        <v>1868</v>
      </c>
      <c r="L73" t="s">
        <v>1613</v>
      </c>
      <c r="M73" t="s">
        <v>1621</v>
      </c>
      <c r="N73" t="s">
        <v>1721</v>
      </c>
      <c r="O73" t="s">
        <v>1869</v>
      </c>
      <c r="P73" t="s">
        <v>1870</v>
      </c>
      <c r="Q73" t="s">
        <v>1871</v>
      </c>
    </row>
    <row r="74" spans="1:17" x14ac:dyDescent="0.2">
      <c r="A74" s="84" t="s">
        <v>517</v>
      </c>
      <c r="B74" s="84" t="s">
        <v>518</v>
      </c>
      <c r="C74" t="s">
        <v>182</v>
      </c>
      <c r="D74" t="s">
        <v>2267</v>
      </c>
      <c r="F74" t="s">
        <v>518</v>
      </c>
      <c r="G74" t="s">
        <v>1609</v>
      </c>
      <c r="H74" t="s">
        <v>1872</v>
      </c>
      <c r="I74" t="s">
        <v>1687</v>
      </c>
      <c r="J74" t="s">
        <v>1873</v>
      </c>
      <c r="K74" t="s">
        <v>1621</v>
      </c>
      <c r="L74" t="s">
        <v>1874</v>
      </c>
    </row>
    <row r="75" spans="1:17" x14ac:dyDescent="0.2">
      <c r="A75" s="84" t="s">
        <v>520</v>
      </c>
      <c r="B75" s="84" t="s">
        <v>521</v>
      </c>
      <c r="C75" t="s">
        <v>182</v>
      </c>
      <c r="D75" t="s">
        <v>2474</v>
      </c>
      <c r="F75" t="s">
        <v>2512</v>
      </c>
      <c r="G75" t="s">
        <v>1609</v>
      </c>
      <c r="H75" t="s">
        <v>1616</v>
      </c>
      <c r="I75" t="s">
        <v>1738</v>
      </c>
      <c r="J75" t="s">
        <v>1875</v>
      </c>
      <c r="K75" t="s">
        <v>1876</v>
      </c>
      <c r="L75" t="s">
        <v>1877</v>
      </c>
      <c r="M75" t="s">
        <v>1621</v>
      </c>
      <c r="N75" t="s">
        <v>1750</v>
      </c>
    </row>
    <row r="76" spans="1:17" x14ac:dyDescent="0.2">
      <c r="A76" s="84" t="s">
        <v>523</v>
      </c>
      <c r="B76" s="84" t="s">
        <v>524</v>
      </c>
      <c r="C76" t="s">
        <v>2452</v>
      </c>
      <c r="D76" t="s">
        <v>2472</v>
      </c>
      <c r="F76" t="s">
        <v>524</v>
      </c>
      <c r="G76" t="s">
        <v>1609</v>
      </c>
      <c r="H76" t="s">
        <v>1878</v>
      </c>
      <c r="I76" t="s">
        <v>1730</v>
      </c>
      <c r="J76" t="s">
        <v>1611</v>
      </c>
      <c r="K76" t="s">
        <v>1879</v>
      </c>
      <c r="L76" t="s">
        <v>1880</v>
      </c>
      <c r="M76" t="s">
        <v>1613</v>
      </c>
      <c r="N76" t="s">
        <v>1614</v>
      </c>
      <c r="O76" t="s">
        <v>1734</v>
      </c>
    </row>
    <row r="77" spans="1:17" x14ac:dyDescent="0.2">
      <c r="A77" s="84" t="s">
        <v>526</v>
      </c>
      <c r="B77" s="84" t="s">
        <v>527</v>
      </c>
      <c r="C77" t="s">
        <v>182</v>
      </c>
      <c r="D77" t="s">
        <v>2456</v>
      </c>
      <c r="F77" t="s">
        <v>527</v>
      </c>
      <c r="G77" t="s">
        <v>1609</v>
      </c>
      <c r="H77" t="s">
        <v>1878</v>
      </c>
      <c r="I77" t="s">
        <v>1730</v>
      </c>
      <c r="J77" t="s">
        <v>1881</v>
      </c>
      <c r="K77" t="s">
        <v>1882</v>
      </c>
      <c r="L77" t="s">
        <v>1621</v>
      </c>
      <c r="M77" t="s">
        <v>1628</v>
      </c>
    </row>
    <row r="78" spans="1:17" x14ac:dyDescent="0.2">
      <c r="A78" s="84" t="s">
        <v>532</v>
      </c>
      <c r="B78" s="84" t="s">
        <v>533</v>
      </c>
      <c r="C78" t="s">
        <v>182</v>
      </c>
      <c r="D78" t="s">
        <v>2482</v>
      </c>
      <c r="F78" t="s">
        <v>533</v>
      </c>
      <c r="G78" t="s">
        <v>1609</v>
      </c>
      <c r="H78" t="s">
        <v>1672</v>
      </c>
      <c r="I78" t="s">
        <v>1883</v>
      </c>
      <c r="J78" t="s">
        <v>1884</v>
      </c>
      <c r="K78" t="s">
        <v>1613</v>
      </c>
      <c r="L78" t="s">
        <v>1621</v>
      </c>
      <c r="M78" t="s">
        <v>1885</v>
      </c>
    </row>
    <row r="79" spans="1:17" x14ac:dyDescent="0.2">
      <c r="A79" s="84" t="s">
        <v>537</v>
      </c>
      <c r="B79" s="84" t="s">
        <v>538</v>
      </c>
      <c r="C79" t="s">
        <v>182</v>
      </c>
      <c r="D79" t="s">
        <v>2461</v>
      </c>
      <c r="F79" t="s">
        <v>538</v>
      </c>
      <c r="G79" t="s">
        <v>1609</v>
      </c>
      <c r="H79" t="s">
        <v>1773</v>
      </c>
      <c r="I79" t="s">
        <v>1886</v>
      </c>
      <c r="J79" t="s">
        <v>1887</v>
      </c>
      <c r="K79" t="s">
        <v>1888</v>
      </c>
      <c r="L79" t="s">
        <v>1889</v>
      </c>
      <c r="M79" t="s">
        <v>1621</v>
      </c>
      <c r="N79" t="s">
        <v>1832</v>
      </c>
    </row>
    <row r="80" spans="1:17" x14ac:dyDescent="0.2">
      <c r="A80" s="84" t="s">
        <v>540</v>
      </c>
      <c r="B80" s="84" t="s">
        <v>541</v>
      </c>
      <c r="C80" t="s">
        <v>182</v>
      </c>
      <c r="D80" t="s">
        <v>2478</v>
      </c>
      <c r="F80" t="s">
        <v>541</v>
      </c>
      <c r="G80" t="s">
        <v>1609</v>
      </c>
      <c r="H80" t="s">
        <v>1672</v>
      </c>
      <c r="I80" t="s">
        <v>1890</v>
      </c>
      <c r="J80" t="s">
        <v>1891</v>
      </c>
      <c r="K80" t="s">
        <v>1773</v>
      </c>
      <c r="L80" t="s">
        <v>1892</v>
      </c>
      <c r="M80" t="s">
        <v>1613</v>
      </c>
      <c r="N80" t="s">
        <v>1621</v>
      </c>
      <c r="O80" t="s">
        <v>1859</v>
      </c>
      <c r="P80" t="s">
        <v>1893</v>
      </c>
    </row>
    <row r="81" spans="1:16" x14ac:dyDescent="0.2">
      <c r="A81" s="84" t="s">
        <v>543</v>
      </c>
      <c r="B81" s="84" t="s">
        <v>544</v>
      </c>
      <c r="C81" t="s">
        <v>182</v>
      </c>
      <c r="D81" t="s">
        <v>2465</v>
      </c>
      <c r="F81" t="s">
        <v>544</v>
      </c>
      <c r="G81" t="s">
        <v>1609</v>
      </c>
      <c r="H81" t="s">
        <v>1773</v>
      </c>
      <c r="I81" t="s">
        <v>1894</v>
      </c>
      <c r="J81" t="s">
        <v>1613</v>
      </c>
      <c r="K81" t="s">
        <v>1621</v>
      </c>
      <c r="L81" t="s">
        <v>1670</v>
      </c>
      <c r="M81" t="s">
        <v>1895</v>
      </c>
      <c r="N81" t="s">
        <v>1896</v>
      </c>
    </row>
    <row r="82" spans="1:16" x14ac:dyDescent="0.2">
      <c r="A82" s="84" t="s">
        <v>546</v>
      </c>
      <c r="B82" s="84" t="s">
        <v>547</v>
      </c>
      <c r="C82" t="s">
        <v>182</v>
      </c>
      <c r="D82" t="s">
        <v>2472</v>
      </c>
      <c r="F82" t="s">
        <v>547</v>
      </c>
      <c r="G82" t="s">
        <v>1609</v>
      </c>
      <c r="H82" t="s">
        <v>1819</v>
      </c>
      <c r="I82" t="s">
        <v>1897</v>
      </c>
      <c r="J82" t="s">
        <v>1867</v>
      </c>
      <c r="K82" t="s">
        <v>1898</v>
      </c>
      <c r="L82" t="s">
        <v>1621</v>
      </c>
      <c r="M82" t="s">
        <v>1734</v>
      </c>
    </row>
    <row r="83" spans="1:16" x14ac:dyDescent="0.2">
      <c r="A83" s="84" t="s">
        <v>551</v>
      </c>
      <c r="B83" s="84" t="s">
        <v>552</v>
      </c>
      <c r="C83" t="s">
        <v>182</v>
      </c>
      <c r="D83" t="s">
        <v>2470</v>
      </c>
      <c r="F83" t="s">
        <v>2513</v>
      </c>
      <c r="G83" t="s">
        <v>1609</v>
      </c>
      <c r="H83" t="s">
        <v>1672</v>
      </c>
      <c r="I83" t="s">
        <v>1676</v>
      </c>
      <c r="J83" t="s">
        <v>1899</v>
      </c>
      <c r="K83" t="s">
        <v>1900</v>
      </c>
      <c r="L83" t="s">
        <v>1901</v>
      </c>
      <c r="M83" t="s">
        <v>1902</v>
      </c>
      <c r="N83" t="s">
        <v>1613</v>
      </c>
      <c r="O83" t="s">
        <v>1621</v>
      </c>
      <c r="P83" t="s">
        <v>1721</v>
      </c>
    </row>
    <row r="84" spans="1:16" x14ac:dyDescent="0.2">
      <c r="A84" s="84" t="s">
        <v>556</v>
      </c>
      <c r="B84" s="84" t="s">
        <v>557</v>
      </c>
      <c r="C84" t="s">
        <v>182</v>
      </c>
      <c r="D84" t="s">
        <v>2478</v>
      </c>
      <c r="F84" t="s">
        <v>557</v>
      </c>
      <c r="G84" t="s">
        <v>1609</v>
      </c>
      <c r="H84" t="s">
        <v>1773</v>
      </c>
      <c r="I84" t="s">
        <v>1886</v>
      </c>
      <c r="J84" t="s">
        <v>1887</v>
      </c>
      <c r="K84" t="s">
        <v>1889</v>
      </c>
      <c r="L84" t="s">
        <v>1903</v>
      </c>
      <c r="M84" t="s">
        <v>1621</v>
      </c>
      <c r="N84" t="s">
        <v>1838</v>
      </c>
    </row>
    <row r="85" spans="1:16" x14ac:dyDescent="0.2">
      <c r="A85" s="84" t="s">
        <v>559</v>
      </c>
      <c r="B85" s="84" t="s">
        <v>560</v>
      </c>
      <c r="C85" t="s">
        <v>182</v>
      </c>
      <c r="D85" t="s">
        <v>2468</v>
      </c>
      <c r="F85" t="s">
        <v>560</v>
      </c>
      <c r="G85" t="s">
        <v>1609</v>
      </c>
      <c r="H85" t="s">
        <v>1610</v>
      </c>
      <c r="I85" t="s">
        <v>1621</v>
      </c>
      <c r="J85" t="s">
        <v>1701</v>
      </c>
      <c r="K85" t="s">
        <v>1904</v>
      </c>
    </row>
    <row r="86" spans="1:16" x14ac:dyDescent="0.2">
      <c r="A86" s="84" t="s">
        <v>562</v>
      </c>
      <c r="B86" s="84" t="s">
        <v>563</v>
      </c>
      <c r="C86" t="s">
        <v>2452</v>
      </c>
      <c r="D86" t="s">
        <v>2460</v>
      </c>
      <c r="F86" t="s">
        <v>563</v>
      </c>
      <c r="G86" t="s">
        <v>1609</v>
      </c>
      <c r="H86" t="s">
        <v>1645</v>
      </c>
      <c r="I86" t="s">
        <v>1815</v>
      </c>
      <c r="J86" t="s">
        <v>1816</v>
      </c>
      <c r="K86" t="s">
        <v>1618</v>
      </c>
      <c r="L86" t="s">
        <v>1781</v>
      </c>
      <c r="M86" t="s">
        <v>1905</v>
      </c>
      <c r="N86" t="s">
        <v>1613</v>
      </c>
      <c r="O86" t="s">
        <v>1614</v>
      </c>
      <c r="P86" t="s">
        <v>1647</v>
      </c>
    </row>
    <row r="87" spans="1:16" x14ac:dyDescent="0.2">
      <c r="A87" s="84" t="s">
        <v>565</v>
      </c>
      <c r="B87" s="84" t="s">
        <v>566</v>
      </c>
      <c r="C87" t="s">
        <v>2452</v>
      </c>
      <c r="D87" t="s">
        <v>2460</v>
      </c>
      <c r="F87" t="s">
        <v>566</v>
      </c>
      <c r="G87" t="s">
        <v>1609</v>
      </c>
      <c r="H87" t="s">
        <v>1645</v>
      </c>
      <c r="I87" t="s">
        <v>1906</v>
      </c>
      <c r="J87" t="s">
        <v>1907</v>
      </c>
      <c r="K87" t="s">
        <v>1613</v>
      </c>
      <c r="L87" t="s">
        <v>1614</v>
      </c>
      <c r="M87" t="s">
        <v>1647</v>
      </c>
    </row>
    <row r="88" spans="1:16" x14ac:dyDescent="0.2">
      <c r="A88" s="84" t="s">
        <v>568</v>
      </c>
      <c r="B88" s="84" t="s">
        <v>569</v>
      </c>
      <c r="C88" t="s">
        <v>182</v>
      </c>
      <c r="D88" t="s">
        <v>2458</v>
      </c>
      <c r="F88" t="s">
        <v>2514</v>
      </c>
      <c r="G88" t="s">
        <v>1609</v>
      </c>
      <c r="H88" t="s">
        <v>1809</v>
      </c>
      <c r="I88" t="s">
        <v>1908</v>
      </c>
      <c r="J88" t="s">
        <v>1909</v>
      </c>
      <c r="K88" t="s">
        <v>1910</v>
      </c>
      <c r="L88" t="s">
        <v>1613</v>
      </c>
      <c r="M88" t="s">
        <v>1621</v>
      </c>
      <c r="N88" t="s">
        <v>1639</v>
      </c>
      <c r="O88" t="s">
        <v>1911</v>
      </c>
      <c r="P88" t="s">
        <v>1912</v>
      </c>
    </row>
    <row r="89" spans="1:16" x14ac:dyDescent="0.2">
      <c r="A89" s="84" t="s">
        <v>571</v>
      </c>
      <c r="B89" s="84" t="s">
        <v>572</v>
      </c>
      <c r="D89" t="s">
        <v>2459</v>
      </c>
      <c r="F89" t="s">
        <v>572</v>
      </c>
      <c r="G89" t="s">
        <v>1609</v>
      </c>
      <c r="H89" t="s">
        <v>1809</v>
      </c>
      <c r="I89" t="s">
        <v>1810</v>
      </c>
      <c r="J89" t="s">
        <v>1811</v>
      </c>
      <c r="K89" t="s">
        <v>1712</v>
      </c>
      <c r="L89" t="s">
        <v>1812</v>
      </c>
      <c r="M89" t="s">
        <v>1813</v>
      </c>
      <c r="N89" t="s">
        <v>1689</v>
      </c>
    </row>
    <row r="90" spans="1:16" x14ac:dyDescent="0.2">
      <c r="A90" s="84" t="s">
        <v>576</v>
      </c>
      <c r="B90" s="84" t="s">
        <v>577</v>
      </c>
      <c r="C90" t="s">
        <v>182</v>
      </c>
      <c r="D90" t="s">
        <v>2454</v>
      </c>
      <c r="F90" t="s">
        <v>577</v>
      </c>
      <c r="G90" t="s">
        <v>1609</v>
      </c>
      <c r="H90" t="s">
        <v>1809</v>
      </c>
      <c r="I90" t="s">
        <v>1908</v>
      </c>
      <c r="J90" t="s">
        <v>169</v>
      </c>
      <c r="K90" t="s">
        <v>1909</v>
      </c>
      <c r="L90" t="s">
        <v>1694</v>
      </c>
      <c r="M90" t="s">
        <v>1749</v>
      </c>
      <c r="N90" t="s">
        <v>1613</v>
      </c>
      <c r="O90" t="s">
        <v>1621</v>
      </c>
      <c r="P90" t="s">
        <v>1615</v>
      </c>
    </row>
    <row r="91" spans="1:16" x14ac:dyDescent="0.2">
      <c r="A91" s="84" t="s">
        <v>584</v>
      </c>
      <c r="B91" s="84" t="s">
        <v>585</v>
      </c>
      <c r="C91" t="s">
        <v>182</v>
      </c>
      <c r="D91" t="s">
        <v>2483</v>
      </c>
      <c r="F91" t="s">
        <v>585</v>
      </c>
      <c r="G91" t="s">
        <v>1609</v>
      </c>
      <c r="H91" t="s">
        <v>1610</v>
      </c>
      <c r="I91" t="s">
        <v>1913</v>
      </c>
      <c r="J91" t="s">
        <v>1914</v>
      </c>
      <c r="K91" t="s">
        <v>1915</v>
      </c>
      <c r="L91" t="s">
        <v>1916</v>
      </c>
      <c r="M91" t="s">
        <v>1621</v>
      </c>
      <c r="N91" t="s">
        <v>1917</v>
      </c>
    </row>
    <row r="92" spans="1:16" x14ac:dyDescent="0.2">
      <c r="A92" s="84" t="s">
        <v>587</v>
      </c>
      <c r="B92" s="84" t="s">
        <v>588</v>
      </c>
      <c r="C92" t="s">
        <v>182</v>
      </c>
      <c r="D92" t="s">
        <v>2484</v>
      </c>
      <c r="F92" t="s">
        <v>2515</v>
      </c>
      <c r="G92" t="s">
        <v>1609</v>
      </c>
      <c r="H92" t="s">
        <v>1918</v>
      </c>
      <c r="I92" t="s">
        <v>1621</v>
      </c>
      <c r="J92" t="s">
        <v>1919</v>
      </c>
      <c r="K92" t="s">
        <v>1920</v>
      </c>
    </row>
    <row r="93" spans="1:16" x14ac:dyDescent="0.2">
      <c r="A93" s="84" t="s">
        <v>590</v>
      </c>
      <c r="B93" s="84" t="s">
        <v>591</v>
      </c>
      <c r="C93" t="s">
        <v>182</v>
      </c>
      <c r="D93" t="s">
        <v>2267</v>
      </c>
      <c r="F93" t="s">
        <v>591</v>
      </c>
      <c r="G93" t="s">
        <v>1609</v>
      </c>
      <c r="H93" t="s">
        <v>1610</v>
      </c>
      <c r="I93" t="s">
        <v>1921</v>
      </c>
      <c r="J93" t="s">
        <v>1922</v>
      </c>
      <c r="K93" t="s">
        <v>1621</v>
      </c>
      <c r="L93" t="s">
        <v>1874</v>
      </c>
    </row>
    <row r="94" spans="1:16" x14ac:dyDescent="0.2">
      <c r="A94" s="84" t="s">
        <v>593</v>
      </c>
      <c r="B94" s="84" t="s">
        <v>594</v>
      </c>
      <c r="C94" t="s">
        <v>182</v>
      </c>
      <c r="D94" t="s">
        <v>2474</v>
      </c>
      <c r="F94" t="s">
        <v>594</v>
      </c>
      <c r="G94" t="s">
        <v>1609</v>
      </c>
      <c r="H94" t="s">
        <v>1809</v>
      </c>
      <c r="I94" t="s">
        <v>1861</v>
      </c>
      <c r="J94" t="s">
        <v>1613</v>
      </c>
      <c r="K94" t="s">
        <v>1621</v>
      </c>
      <c r="L94" t="s">
        <v>1750</v>
      </c>
    </row>
    <row r="95" spans="1:16" x14ac:dyDescent="0.2">
      <c r="A95" s="84" t="s">
        <v>596</v>
      </c>
      <c r="B95" s="84" t="s">
        <v>597</v>
      </c>
      <c r="C95" t="s">
        <v>182</v>
      </c>
      <c r="D95" t="s">
        <v>2485</v>
      </c>
      <c r="F95" t="s">
        <v>597</v>
      </c>
      <c r="G95" t="s">
        <v>1609</v>
      </c>
      <c r="H95" t="s">
        <v>1809</v>
      </c>
      <c r="I95" t="s">
        <v>1923</v>
      </c>
      <c r="J95" t="s">
        <v>1924</v>
      </c>
      <c r="K95" t="s">
        <v>1925</v>
      </c>
      <c r="L95" t="s">
        <v>1926</v>
      </c>
      <c r="M95" t="s">
        <v>1613</v>
      </c>
      <c r="N95" t="s">
        <v>1621</v>
      </c>
      <c r="O95" t="s">
        <v>1927</v>
      </c>
    </row>
    <row r="96" spans="1:16" x14ac:dyDescent="0.2">
      <c r="A96" s="84" t="s">
        <v>603</v>
      </c>
      <c r="B96" s="84" t="s">
        <v>604</v>
      </c>
      <c r="D96" t="s">
        <v>2459</v>
      </c>
      <c r="F96" t="s">
        <v>604</v>
      </c>
      <c r="G96" t="s">
        <v>1609</v>
      </c>
      <c r="H96" t="s">
        <v>1809</v>
      </c>
      <c r="I96" t="s">
        <v>1928</v>
      </c>
      <c r="J96" t="s">
        <v>1929</v>
      </c>
      <c r="K96" t="s">
        <v>1813</v>
      </c>
      <c r="L96" t="s">
        <v>1618</v>
      </c>
      <c r="M96" t="s">
        <v>1930</v>
      </c>
    </row>
    <row r="97" spans="1:17" x14ac:dyDescent="0.2">
      <c r="A97" s="84" t="s">
        <v>606</v>
      </c>
      <c r="B97" s="84" t="s">
        <v>607</v>
      </c>
      <c r="C97" t="s">
        <v>182</v>
      </c>
      <c r="D97" t="s">
        <v>2459</v>
      </c>
      <c r="F97" t="s">
        <v>607</v>
      </c>
      <c r="G97" t="s">
        <v>1609</v>
      </c>
      <c r="H97" t="s">
        <v>1809</v>
      </c>
      <c r="I97" t="s">
        <v>1928</v>
      </c>
      <c r="J97" t="s">
        <v>1929</v>
      </c>
      <c r="K97" t="s">
        <v>1931</v>
      </c>
      <c r="L97" t="s">
        <v>1932</v>
      </c>
      <c r="M97" t="s">
        <v>1621</v>
      </c>
      <c r="N97" t="s">
        <v>1813</v>
      </c>
    </row>
    <row r="98" spans="1:17" x14ac:dyDescent="0.2">
      <c r="A98" s="84" t="s">
        <v>609</v>
      </c>
      <c r="B98" s="84" t="s">
        <v>610</v>
      </c>
      <c r="C98" t="s">
        <v>182</v>
      </c>
      <c r="D98" t="s">
        <v>2474</v>
      </c>
      <c r="F98" t="s">
        <v>610</v>
      </c>
      <c r="G98" t="s">
        <v>1609</v>
      </c>
      <c r="H98" t="s">
        <v>1809</v>
      </c>
      <c r="I98" t="s">
        <v>1909</v>
      </c>
      <c r="J98" t="s">
        <v>1933</v>
      </c>
      <c r="K98" t="s">
        <v>1934</v>
      </c>
      <c r="L98" t="s">
        <v>1613</v>
      </c>
      <c r="M98" t="s">
        <v>1621</v>
      </c>
      <c r="N98" t="s">
        <v>1750</v>
      </c>
    </row>
    <row r="99" spans="1:17" x14ac:dyDescent="0.2">
      <c r="A99" s="84" t="s">
        <v>612</v>
      </c>
      <c r="B99" s="84" t="s">
        <v>613</v>
      </c>
      <c r="C99" t="s">
        <v>182</v>
      </c>
      <c r="D99" t="s">
        <v>2478</v>
      </c>
      <c r="F99" t="s">
        <v>613</v>
      </c>
      <c r="G99" t="s">
        <v>1609</v>
      </c>
      <c r="H99" t="s">
        <v>1648</v>
      </c>
      <c r="I99" t="s">
        <v>1843</v>
      </c>
      <c r="J99" t="s">
        <v>1935</v>
      </c>
      <c r="K99" t="s">
        <v>1621</v>
      </c>
      <c r="L99" t="s">
        <v>1838</v>
      </c>
    </row>
    <row r="100" spans="1:17" x14ac:dyDescent="0.2">
      <c r="A100" s="84" t="s">
        <v>615</v>
      </c>
      <c r="B100" s="84" t="s">
        <v>616</v>
      </c>
      <c r="F100" t="s">
        <v>616</v>
      </c>
      <c r="G100" t="s">
        <v>1609</v>
      </c>
      <c r="H100" t="s">
        <v>1656</v>
      </c>
      <c r="I100" t="s">
        <v>1936</v>
      </c>
      <c r="J100" t="s">
        <v>1937</v>
      </c>
      <c r="K100" t="s">
        <v>1938</v>
      </c>
      <c r="L100" t="s">
        <v>1811</v>
      </c>
      <c r="M100" t="s">
        <v>1939</v>
      </c>
    </row>
    <row r="101" spans="1:17" x14ac:dyDescent="0.2">
      <c r="A101" s="84" t="s">
        <v>622</v>
      </c>
      <c r="B101" s="84" t="s">
        <v>623</v>
      </c>
      <c r="C101" t="s">
        <v>182</v>
      </c>
      <c r="D101" t="s">
        <v>2456</v>
      </c>
      <c r="F101" t="s">
        <v>623</v>
      </c>
      <c r="G101" t="s">
        <v>1609</v>
      </c>
      <c r="H101" t="s">
        <v>1940</v>
      </c>
      <c r="I101" t="s">
        <v>1941</v>
      </c>
      <c r="J101" t="s">
        <v>1621</v>
      </c>
      <c r="K101" t="s">
        <v>1848</v>
      </c>
      <c r="L101" t="s">
        <v>1942</v>
      </c>
    </row>
    <row r="102" spans="1:17" x14ac:dyDescent="0.2">
      <c r="A102" s="84" t="s">
        <v>625</v>
      </c>
      <c r="B102" s="84" t="s">
        <v>626</v>
      </c>
      <c r="C102" t="s">
        <v>182</v>
      </c>
      <c r="D102" t="s">
        <v>2454</v>
      </c>
      <c r="F102" t="s">
        <v>2516</v>
      </c>
      <c r="G102" t="s">
        <v>1609</v>
      </c>
      <c r="H102" t="s">
        <v>1818</v>
      </c>
      <c r="I102" t="s">
        <v>1943</v>
      </c>
      <c r="J102" t="s">
        <v>1944</v>
      </c>
      <c r="K102" t="s">
        <v>1945</v>
      </c>
      <c r="L102" t="s">
        <v>1946</v>
      </c>
      <c r="M102" t="s">
        <v>1947</v>
      </c>
      <c r="N102" t="s">
        <v>1621</v>
      </c>
      <c r="O102" t="s">
        <v>1615</v>
      </c>
    </row>
    <row r="103" spans="1:17" x14ac:dyDescent="0.2">
      <c r="A103" s="84" t="s">
        <v>629</v>
      </c>
      <c r="B103" s="84" t="s">
        <v>630</v>
      </c>
      <c r="D103" t="s">
        <v>2472</v>
      </c>
      <c r="F103" t="s">
        <v>630</v>
      </c>
      <c r="G103" t="s">
        <v>1609</v>
      </c>
      <c r="H103" t="s">
        <v>1818</v>
      </c>
      <c r="I103" t="s">
        <v>1943</v>
      </c>
      <c r="J103" t="s">
        <v>1944</v>
      </c>
      <c r="K103" t="s">
        <v>1948</v>
      </c>
      <c r="L103" t="s">
        <v>1949</v>
      </c>
      <c r="M103" t="s">
        <v>1734</v>
      </c>
    </row>
    <row r="104" spans="1:17" x14ac:dyDescent="0.2">
      <c r="A104" s="84" t="s">
        <v>634</v>
      </c>
      <c r="B104" s="84" t="s">
        <v>635</v>
      </c>
      <c r="C104" t="s">
        <v>182</v>
      </c>
      <c r="D104" t="s">
        <v>2470</v>
      </c>
      <c r="F104" t="s">
        <v>2517</v>
      </c>
      <c r="G104" t="s">
        <v>1609</v>
      </c>
      <c r="H104" t="s">
        <v>1819</v>
      </c>
      <c r="I104" t="s">
        <v>1897</v>
      </c>
      <c r="J104" t="s">
        <v>1867</v>
      </c>
      <c r="K104" t="s">
        <v>1950</v>
      </c>
      <c r="L104" t="s">
        <v>1951</v>
      </c>
      <c r="M104" t="s">
        <v>1952</v>
      </c>
      <c r="N104" t="s">
        <v>1953</v>
      </c>
      <c r="O104" t="s">
        <v>1613</v>
      </c>
      <c r="P104" t="s">
        <v>1621</v>
      </c>
      <c r="Q104" t="s">
        <v>1721</v>
      </c>
    </row>
    <row r="105" spans="1:17" x14ac:dyDescent="0.2">
      <c r="A105" s="84" t="s">
        <v>639</v>
      </c>
      <c r="B105" s="84" t="s">
        <v>640</v>
      </c>
      <c r="F105" t="s">
        <v>640</v>
      </c>
      <c r="G105" t="s">
        <v>1609</v>
      </c>
      <c r="H105" t="s">
        <v>1819</v>
      </c>
      <c r="I105" t="s">
        <v>1867</v>
      </c>
      <c r="J105" t="s">
        <v>1828</v>
      </c>
      <c r="K105" t="s">
        <v>1954</v>
      </c>
    </row>
    <row r="106" spans="1:17" x14ac:dyDescent="0.2">
      <c r="A106" s="84" t="s">
        <v>646</v>
      </c>
      <c r="B106" s="84" t="s">
        <v>647</v>
      </c>
      <c r="C106" t="s">
        <v>182</v>
      </c>
      <c r="D106" t="s">
        <v>2472</v>
      </c>
      <c r="F106" t="s">
        <v>647</v>
      </c>
      <c r="G106" t="s">
        <v>1609</v>
      </c>
      <c r="H106" t="s">
        <v>1818</v>
      </c>
      <c r="I106" t="s">
        <v>1955</v>
      </c>
      <c r="J106" t="s">
        <v>1819</v>
      </c>
      <c r="K106" t="s">
        <v>1867</v>
      </c>
      <c r="L106" t="s">
        <v>1956</v>
      </c>
      <c r="M106" t="s">
        <v>1621</v>
      </c>
      <c r="N106" t="s">
        <v>1734</v>
      </c>
    </row>
    <row r="107" spans="1:17" x14ac:dyDescent="0.2">
      <c r="A107" s="84" t="s">
        <v>649</v>
      </c>
      <c r="B107" s="84" t="s">
        <v>650</v>
      </c>
      <c r="C107" t="s">
        <v>182</v>
      </c>
      <c r="D107" t="s">
        <v>2454</v>
      </c>
      <c r="F107" t="s">
        <v>650</v>
      </c>
      <c r="G107" t="s">
        <v>1609</v>
      </c>
      <c r="H107" t="s">
        <v>1818</v>
      </c>
      <c r="I107" t="s">
        <v>1957</v>
      </c>
      <c r="J107" t="s">
        <v>1621</v>
      </c>
      <c r="K107" t="s">
        <v>1615</v>
      </c>
      <c r="L107" t="s">
        <v>1958</v>
      </c>
      <c r="M107" t="s">
        <v>1959</v>
      </c>
    </row>
    <row r="108" spans="1:17" x14ac:dyDescent="0.2">
      <c r="A108" s="84" t="s">
        <v>654</v>
      </c>
      <c r="B108" s="84" t="s">
        <v>655</v>
      </c>
      <c r="D108" t="s">
        <v>2461</v>
      </c>
      <c r="F108" t="s">
        <v>655</v>
      </c>
      <c r="G108" t="s">
        <v>1609</v>
      </c>
      <c r="H108" t="s">
        <v>1818</v>
      </c>
      <c r="I108" t="s">
        <v>1957</v>
      </c>
      <c r="J108" t="s">
        <v>1960</v>
      </c>
      <c r="K108" t="s">
        <v>1652</v>
      </c>
      <c r="L108" t="s">
        <v>1961</v>
      </c>
    </row>
    <row r="109" spans="1:17" x14ac:dyDescent="0.2">
      <c r="A109" s="84" t="s">
        <v>660</v>
      </c>
      <c r="B109" s="84" t="s">
        <v>661</v>
      </c>
      <c r="C109" t="s">
        <v>182</v>
      </c>
      <c r="D109" t="s">
        <v>2466</v>
      </c>
      <c r="F109" t="s">
        <v>661</v>
      </c>
      <c r="G109" t="s">
        <v>1609</v>
      </c>
      <c r="H109" t="s">
        <v>1818</v>
      </c>
      <c r="I109" t="s">
        <v>1957</v>
      </c>
      <c r="J109" t="s">
        <v>1960</v>
      </c>
      <c r="K109" t="s">
        <v>1621</v>
      </c>
      <c r="L109" t="s">
        <v>1685</v>
      </c>
      <c r="M109" t="s">
        <v>1959</v>
      </c>
    </row>
    <row r="110" spans="1:17" x14ac:dyDescent="0.2">
      <c r="A110" s="84" t="s">
        <v>663</v>
      </c>
      <c r="B110" s="84" t="s">
        <v>664</v>
      </c>
      <c r="D110" t="s">
        <v>2459</v>
      </c>
      <c r="F110" t="s">
        <v>664</v>
      </c>
      <c r="G110" t="s">
        <v>1609</v>
      </c>
      <c r="H110" t="s">
        <v>1818</v>
      </c>
      <c r="I110" t="s">
        <v>1957</v>
      </c>
      <c r="J110" t="s">
        <v>1857</v>
      </c>
      <c r="K110" t="s">
        <v>1813</v>
      </c>
      <c r="L110" t="s">
        <v>1819</v>
      </c>
      <c r="M110" t="s">
        <v>1962</v>
      </c>
      <c r="N110" t="s">
        <v>1963</v>
      </c>
    </row>
    <row r="111" spans="1:17" x14ac:dyDescent="0.2">
      <c r="A111" s="84" t="s">
        <v>669</v>
      </c>
      <c r="B111" s="84" t="s">
        <v>670</v>
      </c>
      <c r="C111" t="s">
        <v>182</v>
      </c>
      <c r="D111" t="s">
        <v>2478</v>
      </c>
      <c r="F111" t="s">
        <v>2518</v>
      </c>
      <c r="G111" t="s">
        <v>1609</v>
      </c>
      <c r="H111" t="s">
        <v>1819</v>
      </c>
      <c r="I111" t="s">
        <v>1964</v>
      </c>
      <c r="J111" t="s">
        <v>200</v>
      </c>
      <c r="K111" t="s">
        <v>1736</v>
      </c>
      <c r="L111" t="s">
        <v>1858</v>
      </c>
      <c r="M111" t="s">
        <v>1965</v>
      </c>
      <c r="N111" t="s">
        <v>1966</v>
      </c>
      <c r="O111" t="s">
        <v>1967</v>
      </c>
      <c r="P111" t="s">
        <v>1621</v>
      </c>
      <c r="Q111" t="s">
        <v>1859</v>
      </c>
    </row>
    <row r="112" spans="1:17" x14ac:dyDescent="0.2">
      <c r="A112" s="84" t="s">
        <v>672</v>
      </c>
      <c r="B112" s="84" t="s">
        <v>673</v>
      </c>
      <c r="C112" t="s">
        <v>182</v>
      </c>
      <c r="D112" t="s">
        <v>2458</v>
      </c>
      <c r="F112" t="s">
        <v>2519</v>
      </c>
      <c r="G112" t="s">
        <v>1609</v>
      </c>
      <c r="H112" t="s">
        <v>1818</v>
      </c>
      <c r="I112" t="s">
        <v>1968</v>
      </c>
      <c r="J112" t="s">
        <v>1819</v>
      </c>
      <c r="K112" t="s">
        <v>1964</v>
      </c>
      <c r="L112" t="s">
        <v>1969</v>
      </c>
      <c r="M112" t="s">
        <v>1811</v>
      </c>
      <c r="N112" t="s">
        <v>1970</v>
      </c>
      <c r="O112" t="s">
        <v>1971</v>
      </c>
      <c r="P112" t="s">
        <v>1621</v>
      </c>
      <c r="Q112" t="s">
        <v>1639</v>
      </c>
    </row>
    <row r="113" spans="1:17" x14ac:dyDescent="0.2">
      <c r="A113" s="84" t="s">
        <v>677</v>
      </c>
      <c r="B113" s="84" t="s">
        <v>678</v>
      </c>
      <c r="F113" t="s">
        <v>678</v>
      </c>
      <c r="G113" t="s">
        <v>1609</v>
      </c>
      <c r="H113" t="s">
        <v>1819</v>
      </c>
      <c r="I113" t="s">
        <v>1972</v>
      </c>
      <c r="J113" t="s">
        <v>1964</v>
      </c>
      <c r="K113" t="s">
        <v>1973</v>
      </c>
      <c r="L113" t="s">
        <v>1868</v>
      </c>
      <c r="M113" t="s">
        <v>1974</v>
      </c>
    </row>
    <row r="114" spans="1:17" x14ac:dyDescent="0.2">
      <c r="A114" s="84" t="s">
        <v>681</v>
      </c>
      <c r="B114" s="84" t="s">
        <v>682</v>
      </c>
      <c r="C114" t="s">
        <v>182</v>
      </c>
      <c r="D114" t="s">
        <v>2458</v>
      </c>
      <c r="F114" t="s">
        <v>682</v>
      </c>
      <c r="G114" t="s">
        <v>1609</v>
      </c>
      <c r="H114" t="s">
        <v>1819</v>
      </c>
      <c r="I114" t="s">
        <v>1964</v>
      </c>
      <c r="J114" t="s">
        <v>1969</v>
      </c>
      <c r="K114" t="s">
        <v>1975</v>
      </c>
      <c r="L114" t="s">
        <v>1613</v>
      </c>
      <c r="M114" t="s">
        <v>1621</v>
      </c>
      <c r="N114" t="s">
        <v>1639</v>
      </c>
    </row>
    <row r="115" spans="1:17" x14ac:dyDescent="0.2">
      <c r="A115" s="84" t="s">
        <v>684</v>
      </c>
      <c r="B115" s="84" t="s">
        <v>685</v>
      </c>
      <c r="C115" t="s">
        <v>182</v>
      </c>
      <c r="D115" t="s">
        <v>2478</v>
      </c>
      <c r="F115" t="s">
        <v>685</v>
      </c>
      <c r="G115" t="s">
        <v>1609</v>
      </c>
      <c r="H115" t="s">
        <v>1818</v>
      </c>
      <c r="I115" t="s">
        <v>1976</v>
      </c>
      <c r="J115" t="s">
        <v>1977</v>
      </c>
      <c r="K115" t="s">
        <v>1619</v>
      </c>
      <c r="L115" t="s">
        <v>1618</v>
      </c>
      <c r="M115" t="s">
        <v>1621</v>
      </c>
      <c r="N115" t="s">
        <v>1978</v>
      </c>
      <c r="O115" t="s">
        <v>1613</v>
      </c>
      <c r="P115" t="s">
        <v>1621</v>
      </c>
      <c r="Q115" t="s">
        <v>1859</v>
      </c>
    </row>
    <row r="116" spans="1:17" x14ac:dyDescent="0.2">
      <c r="A116" s="84" t="s">
        <v>689</v>
      </c>
      <c r="B116" s="84" t="s">
        <v>690</v>
      </c>
      <c r="D116" t="s">
        <v>2478</v>
      </c>
      <c r="F116" t="s">
        <v>690</v>
      </c>
      <c r="G116" t="s">
        <v>1609</v>
      </c>
      <c r="H116" t="s">
        <v>1819</v>
      </c>
      <c r="I116" t="s">
        <v>1979</v>
      </c>
      <c r="J116" t="s">
        <v>1980</v>
      </c>
      <c r="K116" t="s">
        <v>1856</v>
      </c>
      <c r="L116" t="s">
        <v>1790</v>
      </c>
      <c r="M116" t="s">
        <v>1981</v>
      </c>
      <c r="N116" t="s">
        <v>1859</v>
      </c>
      <c r="O116" t="s">
        <v>1982</v>
      </c>
    </row>
    <row r="117" spans="1:17" x14ac:dyDescent="0.2">
      <c r="A117" s="84" t="s">
        <v>692</v>
      </c>
      <c r="B117" s="84" t="s">
        <v>693</v>
      </c>
      <c r="C117" t="s">
        <v>182</v>
      </c>
      <c r="D117" t="s">
        <v>2468</v>
      </c>
      <c r="F117" t="s">
        <v>2520</v>
      </c>
      <c r="G117" t="s">
        <v>1609</v>
      </c>
      <c r="H117" t="s">
        <v>1818</v>
      </c>
      <c r="I117" t="s">
        <v>1983</v>
      </c>
      <c r="J117" t="s">
        <v>200</v>
      </c>
      <c r="K117" t="s">
        <v>1984</v>
      </c>
      <c r="L117" t="s">
        <v>1857</v>
      </c>
      <c r="M117" t="s">
        <v>1858</v>
      </c>
      <c r="N117" t="s">
        <v>1985</v>
      </c>
      <c r="O117" t="s">
        <v>1621</v>
      </c>
      <c r="P117" t="s">
        <v>1772</v>
      </c>
    </row>
    <row r="118" spans="1:17" x14ac:dyDescent="0.2">
      <c r="A118" s="84" t="s">
        <v>695</v>
      </c>
      <c r="B118" s="84" t="s">
        <v>696</v>
      </c>
      <c r="C118" t="s">
        <v>182</v>
      </c>
      <c r="D118" t="s">
        <v>2479</v>
      </c>
      <c r="F118" t="s">
        <v>696</v>
      </c>
      <c r="G118" t="s">
        <v>1609</v>
      </c>
      <c r="H118" t="s">
        <v>1610</v>
      </c>
      <c r="I118" t="s">
        <v>1986</v>
      </c>
      <c r="J118" t="s">
        <v>1987</v>
      </c>
      <c r="K118" t="s">
        <v>1988</v>
      </c>
      <c r="L118" t="s">
        <v>1613</v>
      </c>
      <c r="M118" t="s">
        <v>1621</v>
      </c>
      <c r="N118" t="s">
        <v>1845</v>
      </c>
    </row>
    <row r="119" spans="1:17" x14ac:dyDescent="0.2">
      <c r="A119" s="84" t="s">
        <v>700</v>
      </c>
      <c r="B119" s="84" t="s">
        <v>701</v>
      </c>
      <c r="C119" t="s">
        <v>182</v>
      </c>
      <c r="D119" t="s">
        <v>2468</v>
      </c>
      <c r="F119" t="s">
        <v>701</v>
      </c>
      <c r="G119" t="s">
        <v>1609</v>
      </c>
      <c r="H119" t="s">
        <v>1610</v>
      </c>
      <c r="I119" t="s">
        <v>1986</v>
      </c>
      <c r="J119" t="s">
        <v>1987</v>
      </c>
      <c r="K119" t="s">
        <v>1988</v>
      </c>
      <c r="L119" t="s">
        <v>1613</v>
      </c>
      <c r="M119" t="s">
        <v>1621</v>
      </c>
      <c r="N119" t="s">
        <v>1772</v>
      </c>
    </row>
    <row r="120" spans="1:17" x14ac:dyDescent="0.2">
      <c r="A120" s="84" t="s">
        <v>705</v>
      </c>
      <c r="B120" s="84" t="s">
        <v>706</v>
      </c>
      <c r="F120" t="s">
        <v>706</v>
      </c>
      <c r="G120" t="s">
        <v>1609</v>
      </c>
      <c r="H120" t="s">
        <v>1616</v>
      </c>
      <c r="I120" t="s">
        <v>1989</v>
      </c>
      <c r="J120" t="s">
        <v>1990</v>
      </c>
    </row>
    <row r="121" spans="1:17" x14ac:dyDescent="0.2">
      <c r="A121" s="84" t="s">
        <v>712</v>
      </c>
      <c r="B121" s="84" t="s">
        <v>713</v>
      </c>
      <c r="C121" t="s">
        <v>182</v>
      </c>
      <c r="D121" t="s">
        <v>2486</v>
      </c>
      <c r="F121" t="s">
        <v>2521</v>
      </c>
      <c r="G121" t="s">
        <v>1609</v>
      </c>
      <c r="H121" t="s">
        <v>1616</v>
      </c>
      <c r="I121" t="s">
        <v>1938</v>
      </c>
      <c r="J121" t="s">
        <v>1884</v>
      </c>
      <c r="K121" t="s">
        <v>1991</v>
      </c>
      <c r="L121" t="s">
        <v>1694</v>
      </c>
      <c r="M121" t="s">
        <v>1992</v>
      </c>
      <c r="N121" t="s">
        <v>1621</v>
      </c>
      <c r="O121" t="s">
        <v>1993</v>
      </c>
    </row>
    <row r="122" spans="1:17" x14ac:dyDescent="0.2">
      <c r="A122" s="84" t="s">
        <v>715</v>
      </c>
      <c r="B122" s="84" t="s">
        <v>716</v>
      </c>
      <c r="C122" t="s">
        <v>182</v>
      </c>
      <c r="D122" t="s">
        <v>2458</v>
      </c>
      <c r="F122" t="s">
        <v>716</v>
      </c>
      <c r="G122" t="s">
        <v>1609</v>
      </c>
      <c r="H122" t="s">
        <v>1616</v>
      </c>
      <c r="I122" t="s">
        <v>1789</v>
      </c>
      <c r="J122" t="s">
        <v>1994</v>
      </c>
      <c r="K122" t="s">
        <v>1694</v>
      </c>
      <c r="L122" t="s">
        <v>1613</v>
      </c>
      <c r="M122" t="s">
        <v>1621</v>
      </c>
      <c r="N122" t="s">
        <v>1639</v>
      </c>
    </row>
    <row r="123" spans="1:17" x14ac:dyDescent="0.2">
      <c r="A123" s="84" t="s">
        <v>718</v>
      </c>
      <c r="B123" s="84" t="s">
        <v>719</v>
      </c>
      <c r="C123" t="s">
        <v>182</v>
      </c>
      <c r="D123" t="s">
        <v>2465</v>
      </c>
      <c r="F123" t="s">
        <v>719</v>
      </c>
      <c r="G123" t="s">
        <v>1609</v>
      </c>
      <c r="H123" t="s">
        <v>1616</v>
      </c>
      <c r="I123" t="s">
        <v>1995</v>
      </c>
      <c r="J123" t="s">
        <v>1996</v>
      </c>
      <c r="K123" t="s">
        <v>1997</v>
      </c>
      <c r="L123" t="s">
        <v>1790</v>
      </c>
      <c r="M123" t="s">
        <v>1981</v>
      </c>
      <c r="N123" t="s">
        <v>1613</v>
      </c>
      <c r="O123" t="s">
        <v>1621</v>
      </c>
      <c r="P123" t="s">
        <v>1670</v>
      </c>
    </row>
    <row r="124" spans="1:17" x14ac:dyDescent="0.2">
      <c r="A124" s="84" t="s">
        <v>721</v>
      </c>
      <c r="B124" s="84" t="s">
        <v>722</v>
      </c>
      <c r="C124" t="s">
        <v>2452</v>
      </c>
      <c r="D124" t="s">
        <v>2472</v>
      </c>
      <c r="F124" t="s">
        <v>722</v>
      </c>
      <c r="G124" t="s">
        <v>1609</v>
      </c>
      <c r="H124" t="s">
        <v>1635</v>
      </c>
      <c r="I124" t="s">
        <v>1636</v>
      </c>
      <c r="J124" t="s">
        <v>1817</v>
      </c>
      <c r="K124" t="s">
        <v>1614</v>
      </c>
      <c r="L124" t="s">
        <v>1998</v>
      </c>
      <c r="M124" t="s">
        <v>1689</v>
      </c>
    </row>
    <row r="125" spans="1:17" x14ac:dyDescent="0.2">
      <c r="A125" s="84" t="s">
        <v>724</v>
      </c>
      <c r="B125" s="84" t="s">
        <v>725</v>
      </c>
      <c r="C125" t="s">
        <v>182</v>
      </c>
      <c r="D125" t="s">
        <v>2471</v>
      </c>
      <c r="F125" t="s">
        <v>2522</v>
      </c>
      <c r="G125" t="s">
        <v>1609</v>
      </c>
      <c r="H125" t="s">
        <v>1722</v>
      </c>
      <c r="I125" t="s">
        <v>1723</v>
      </c>
      <c r="J125" t="s">
        <v>1724</v>
      </c>
      <c r="K125" t="s">
        <v>1729</v>
      </c>
      <c r="L125" t="s">
        <v>1999</v>
      </c>
      <c r="M125" t="s">
        <v>2000</v>
      </c>
      <c r="N125" t="s">
        <v>1613</v>
      </c>
      <c r="O125" t="s">
        <v>1621</v>
      </c>
      <c r="P125" t="s">
        <v>1727</v>
      </c>
    </row>
    <row r="126" spans="1:17" x14ac:dyDescent="0.2">
      <c r="A126" s="84" t="s">
        <v>729</v>
      </c>
      <c r="B126" s="84" t="s">
        <v>730</v>
      </c>
      <c r="C126" t="s">
        <v>182</v>
      </c>
      <c r="D126" t="s">
        <v>2456</v>
      </c>
      <c r="F126" t="s">
        <v>730</v>
      </c>
      <c r="G126" t="s">
        <v>1609</v>
      </c>
      <c r="H126" t="s">
        <v>1703</v>
      </c>
      <c r="I126" t="s">
        <v>1650</v>
      </c>
      <c r="J126" t="s">
        <v>1724</v>
      </c>
      <c r="K126" t="s">
        <v>2001</v>
      </c>
      <c r="L126" t="s">
        <v>1613</v>
      </c>
      <c r="M126" t="s">
        <v>1621</v>
      </c>
      <c r="N126" t="s">
        <v>1628</v>
      </c>
    </row>
    <row r="127" spans="1:17" x14ac:dyDescent="0.2">
      <c r="A127" s="84" t="s">
        <v>738</v>
      </c>
      <c r="B127" s="84" t="s">
        <v>739</v>
      </c>
      <c r="C127" t="s">
        <v>2452</v>
      </c>
      <c r="D127" t="s">
        <v>2487</v>
      </c>
      <c r="F127" t="s">
        <v>739</v>
      </c>
      <c r="G127" t="s">
        <v>1609</v>
      </c>
      <c r="H127" t="s">
        <v>1616</v>
      </c>
      <c r="I127" t="s">
        <v>1617</v>
      </c>
      <c r="J127" t="s">
        <v>1618</v>
      </c>
      <c r="K127" t="s">
        <v>2002</v>
      </c>
      <c r="L127" t="s">
        <v>2003</v>
      </c>
      <c r="M127" t="s">
        <v>1613</v>
      </c>
      <c r="N127" t="s">
        <v>1614</v>
      </c>
      <c r="O127" t="s">
        <v>2004</v>
      </c>
    </row>
    <row r="128" spans="1:17" x14ac:dyDescent="0.2">
      <c r="A128" s="84" t="s">
        <v>741</v>
      </c>
      <c r="B128" s="84" t="s">
        <v>742</v>
      </c>
      <c r="D128" t="s">
        <v>2479</v>
      </c>
      <c r="F128" t="s">
        <v>2523</v>
      </c>
      <c r="G128" t="s">
        <v>1609</v>
      </c>
      <c r="H128" t="s">
        <v>1803</v>
      </c>
      <c r="I128" t="s">
        <v>2005</v>
      </c>
      <c r="J128" t="s">
        <v>2006</v>
      </c>
      <c r="K128" t="s">
        <v>2007</v>
      </c>
      <c r="L128" t="s">
        <v>1845</v>
      </c>
      <c r="M128" t="s">
        <v>1806</v>
      </c>
      <c r="N128" t="s">
        <v>2008</v>
      </c>
      <c r="O128" t="s">
        <v>2009</v>
      </c>
      <c r="P128" t="s">
        <v>2010</v>
      </c>
      <c r="Q128" t="s">
        <v>2011</v>
      </c>
    </row>
    <row r="129" spans="1:18" x14ac:dyDescent="0.2">
      <c r="A129" s="84" t="s">
        <v>744</v>
      </c>
      <c r="B129" s="84" t="s">
        <v>745</v>
      </c>
      <c r="C129" t="s">
        <v>182</v>
      </c>
      <c r="D129" t="s">
        <v>2458</v>
      </c>
      <c r="F129" t="s">
        <v>2524</v>
      </c>
      <c r="G129" t="s">
        <v>1609</v>
      </c>
      <c r="H129" t="s">
        <v>1803</v>
      </c>
      <c r="I129" t="s">
        <v>2005</v>
      </c>
      <c r="J129" t="s">
        <v>2012</v>
      </c>
      <c r="K129" t="s">
        <v>2007</v>
      </c>
      <c r="L129" t="s">
        <v>1806</v>
      </c>
      <c r="M129" t="s">
        <v>2008</v>
      </c>
      <c r="N129" t="s">
        <v>2009</v>
      </c>
      <c r="O129" t="s">
        <v>2013</v>
      </c>
      <c r="P129" t="s">
        <v>1716</v>
      </c>
      <c r="Q129" t="s">
        <v>1621</v>
      </c>
      <c r="R129" t="s">
        <v>1639</v>
      </c>
    </row>
    <row r="130" spans="1:18" x14ac:dyDescent="0.2">
      <c r="A130" s="84" t="s">
        <v>751</v>
      </c>
      <c r="B130" s="84" t="s">
        <v>752</v>
      </c>
      <c r="C130" t="s">
        <v>182</v>
      </c>
      <c r="D130" t="s">
        <v>2454</v>
      </c>
      <c r="F130" t="s">
        <v>752</v>
      </c>
      <c r="G130" t="s">
        <v>1609</v>
      </c>
      <c r="H130" t="s">
        <v>1803</v>
      </c>
      <c r="I130" t="s">
        <v>2014</v>
      </c>
      <c r="J130" t="s">
        <v>1828</v>
      </c>
      <c r="K130" t="s">
        <v>1831</v>
      </c>
      <c r="L130" t="s">
        <v>1613</v>
      </c>
      <c r="M130" t="s">
        <v>1621</v>
      </c>
      <c r="N130" t="s">
        <v>1615</v>
      </c>
    </row>
    <row r="131" spans="1:18" x14ac:dyDescent="0.2">
      <c r="A131" s="84" t="s">
        <v>756</v>
      </c>
      <c r="B131" s="84" t="s">
        <v>757</v>
      </c>
      <c r="C131" t="s">
        <v>182</v>
      </c>
      <c r="D131" t="s">
        <v>2476</v>
      </c>
      <c r="F131" t="s">
        <v>757</v>
      </c>
      <c r="G131" t="s">
        <v>1609</v>
      </c>
      <c r="H131" t="s">
        <v>1918</v>
      </c>
      <c r="I131" t="s">
        <v>1718</v>
      </c>
      <c r="J131" t="s">
        <v>1837</v>
      </c>
      <c r="K131" t="s">
        <v>1613</v>
      </c>
      <c r="L131" t="s">
        <v>1621</v>
      </c>
      <c r="M131" t="s">
        <v>1634</v>
      </c>
      <c r="N131" t="s">
        <v>2015</v>
      </c>
    </row>
    <row r="132" spans="1:18" x14ac:dyDescent="0.2">
      <c r="A132" s="84" t="s">
        <v>761</v>
      </c>
      <c r="B132" s="84" t="s">
        <v>762</v>
      </c>
      <c r="C132" t="s">
        <v>2452</v>
      </c>
      <c r="D132" t="s">
        <v>2460</v>
      </c>
      <c r="F132" t="s">
        <v>2525</v>
      </c>
      <c r="G132" t="s">
        <v>1609</v>
      </c>
      <c r="H132" t="s">
        <v>1759</v>
      </c>
      <c r="I132" t="s">
        <v>2016</v>
      </c>
      <c r="J132" t="s">
        <v>1736</v>
      </c>
      <c r="K132" t="s">
        <v>2017</v>
      </c>
      <c r="L132" t="s">
        <v>1629</v>
      </c>
      <c r="M132" t="s">
        <v>2018</v>
      </c>
      <c r="N132" t="s">
        <v>2019</v>
      </c>
      <c r="O132" t="s">
        <v>1614</v>
      </c>
      <c r="P132" t="s">
        <v>1647</v>
      </c>
    </row>
    <row r="133" spans="1:18" x14ac:dyDescent="0.2">
      <c r="A133" s="84" t="s">
        <v>764</v>
      </c>
      <c r="B133" s="84" t="s">
        <v>765</v>
      </c>
      <c r="C133" t="s">
        <v>182</v>
      </c>
      <c r="D133" t="s">
        <v>2470</v>
      </c>
      <c r="F133" t="s">
        <v>2526</v>
      </c>
      <c r="G133" t="s">
        <v>1609</v>
      </c>
      <c r="H133" t="s">
        <v>1818</v>
      </c>
      <c r="I133" t="s">
        <v>1955</v>
      </c>
      <c r="J133" t="s">
        <v>2020</v>
      </c>
      <c r="K133" t="s">
        <v>2021</v>
      </c>
      <c r="L133" t="s">
        <v>2022</v>
      </c>
      <c r="M133" t="s">
        <v>2023</v>
      </c>
      <c r="N133" t="s">
        <v>1621</v>
      </c>
      <c r="O133" t="s">
        <v>1721</v>
      </c>
    </row>
    <row r="134" spans="1:18" x14ac:dyDescent="0.2">
      <c r="A134" s="84" t="s">
        <v>768</v>
      </c>
      <c r="B134" s="84" t="s">
        <v>769</v>
      </c>
      <c r="C134" t="s">
        <v>182</v>
      </c>
      <c r="D134" t="s">
        <v>2458</v>
      </c>
      <c r="F134" t="s">
        <v>2527</v>
      </c>
      <c r="G134" t="s">
        <v>1609</v>
      </c>
      <c r="H134" t="s">
        <v>1635</v>
      </c>
      <c r="I134" t="s">
        <v>1636</v>
      </c>
      <c r="J134" t="s">
        <v>2024</v>
      </c>
      <c r="K134" t="s">
        <v>1768</v>
      </c>
      <c r="L134" t="s">
        <v>2002</v>
      </c>
      <c r="M134" t="s">
        <v>2025</v>
      </c>
      <c r="N134" t="s">
        <v>2026</v>
      </c>
      <c r="O134" t="s">
        <v>2027</v>
      </c>
      <c r="P134" t="s">
        <v>1621</v>
      </c>
      <c r="Q134" t="s">
        <v>1639</v>
      </c>
    </row>
    <row r="135" spans="1:18" x14ac:dyDescent="0.2">
      <c r="A135" s="84" t="s">
        <v>773</v>
      </c>
      <c r="B135" s="84" t="s">
        <v>774</v>
      </c>
      <c r="C135" t="s">
        <v>182</v>
      </c>
      <c r="D135" t="s">
        <v>2488</v>
      </c>
      <c r="F135" t="s">
        <v>774</v>
      </c>
      <c r="G135" t="s">
        <v>1609</v>
      </c>
      <c r="H135" t="s">
        <v>1773</v>
      </c>
      <c r="I135" t="s">
        <v>2028</v>
      </c>
      <c r="J135" t="s">
        <v>2029</v>
      </c>
      <c r="K135" t="s">
        <v>2030</v>
      </c>
      <c r="L135" t="s">
        <v>1621</v>
      </c>
      <c r="M135" t="s">
        <v>2031</v>
      </c>
    </row>
    <row r="136" spans="1:18" x14ac:dyDescent="0.2">
      <c r="A136" s="84" t="s">
        <v>776</v>
      </c>
      <c r="B136" s="84" t="s">
        <v>777</v>
      </c>
      <c r="C136" t="s">
        <v>2452</v>
      </c>
      <c r="D136" t="s">
        <v>2463</v>
      </c>
      <c r="F136" t="s">
        <v>777</v>
      </c>
      <c r="G136" t="s">
        <v>1609</v>
      </c>
      <c r="H136" t="s">
        <v>1616</v>
      </c>
      <c r="I136" t="s">
        <v>2032</v>
      </c>
      <c r="J136" t="s">
        <v>1614</v>
      </c>
      <c r="K136" t="s">
        <v>1664</v>
      </c>
    </row>
    <row r="137" spans="1:18" x14ac:dyDescent="0.2">
      <c r="A137" s="84" t="s">
        <v>779</v>
      </c>
      <c r="B137" s="84" t="s">
        <v>780</v>
      </c>
      <c r="C137" t="s">
        <v>2452</v>
      </c>
      <c r="D137" t="s">
        <v>2489</v>
      </c>
      <c r="F137" t="s">
        <v>780</v>
      </c>
      <c r="G137" t="s">
        <v>1609</v>
      </c>
      <c r="H137" t="s">
        <v>1635</v>
      </c>
      <c r="I137" t="s">
        <v>1784</v>
      </c>
      <c r="J137" t="s">
        <v>1636</v>
      </c>
      <c r="K137" t="s">
        <v>2033</v>
      </c>
      <c r="L137" t="s">
        <v>1613</v>
      </c>
      <c r="M137" t="s">
        <v>1614</v>
      </c>
      <c r="N137" t="s">
        <v>2034</v>
      </c>
    </row>
    <row r="138" spans="1:18" x14ac:dyDescent="0.2">
      <c r="A138" s="84" t="s">
        <v>784</v>
      </c>
      <c r="B138" s="84" t="s">
        <v>785</v>
      </c>
      <c r="C138" t="s">
        <v>2452</v>
      </c>
      <c r="D138" t="s">
        <v>2470</v>
      </c>
      <c r="F138" t="s">
        <v>785</v>
      </c>
      <c r="G138" t="s">
        <v>1609</v>
      </c>
      <c r="H138" t="s">
        <v>1635</v>
      </c>
      <c r="I138" t="s">
        <v>1636</v>
      </c>
      <c r="J138" t="s">
        <v>1784</v>
      </c>
      <c r="K138" t="s">
        <v>1613</v>
      </c>
      <c r="L138" t="s">
        <v>1614</v>
      </c>
      <c r="M138" t="s">
        <v>1721</v>
      </c>
    </row>
    <row r="139" spans="1:18" x14ac:dyDescent="0.2">
      <c r="A139" s="84" t="s">
        <v>789</v>
      </c>
      <c r="B139" s="84" t="s">
        <v>790</v>
      </c>
      <c r="D139" t="s">
        <v>2459</v>
      </c>
      <c r="F139" t="s">
        <v>790</v>
      </c>
      <c r="G139" t="s">
        <v>1609</v>
      </c>
      <c r="H139" t="s">
        <v>1803</v>
      </c>
      <c r="I139" t="s">
        <v>2035</v>
      </c>
      <c r="J139" t="s">
        <v>2036</v>
      </c>
      <c r="K139" t="s">
        <v>2037</v>
      </c>
      <c r="L139" t="s">
        <v>2038</v>
      </c>
      <c r="M139" t="s">
        <v>1805</v>
      </c>
      <c r="N139" t="s">
        <v>1813</v>
      </c>
      <c r="O139" t="s">
        <v>2039</v>
      </c>
    </row>
    <row r="140" spans="1:18" x14ac:dyDescent="0.2">
      <c r="A140" s="84" t="s">
        <v>794</v>
      </c>
      <c r="B140" s="84" t="s">
        <v>795</v>
      </c>
      <c r="D140" t="s">
        <v>2461</v>
      </c>
      <c r="F140" t="s">
        <v>795</v>
      </c>
      <c r="G140" t="s">
        <v>1609</v>
      </c>
      <c r="H140" t="s">
        <v>1803</v>
      </c>
      <c r="I140" t="s">
        <v>2040</v>
      </c>
      <c r="J140" t="s">
        <v>2041</v>
      </c>
      <c r="K140" t="s">
        <v>1884</v>
      </c>
      <c r="L140" t="s">
        <v>1652</v>
      </c>
      <c r="M140" t="s">
        <v>1806</v>
      </c>
      <c r="N140" t="s">
        <v>2042</v>
      </c>
    </row>
    <row r="141" spans="1:18" x14ac:dyDescent="0.2">
      <c r="A141" s="84" t="s">
        <v>797</v>
      </c>
      <c r="B141" s="84" t="s">
        <v>798</v>
      </c>
      <c r="C141" t="s">
        <v>182</v>
      </c>
      <c r="D141" t="s">
        <v>2468</v>
      </c>
      <c r="F141" t="s">
        <v>798</v>
      </c>
      <c r="G141" t="s">
        <v>1609</v>
      </c>
      <c r="H141" t="s">
        <v>1819</v>
      </c>
      <c r="I141" t="s">
        <v>1979</v>
      </c>
      <c r="J141" t="s">
        <v>2043</v>
      </c>
      <c r="K141" t="s">
        <v>1613</v>
      </c>
      <c r="L141" t="s">
        <v>1621</v>
      </c>
      <c r="M141" t="s">
        <v>1772</v>
      </c>
    </row>
    <row r="142" spans="1:18" x14ac:dyDescent="0.2">
      <c r="A142" s="84" t="s">
        <v>800</v>
      </c>
      <c r="B142" s="84" t="s">
        <v>801</v>
      </c>
      <c r="C142" t="s">
        <v>182</v>
      </c>
      <c r="D142" t="s">
        <v>2488</v>
      </c>
      <c r="F142" t="s">
        <v>2528</v>
      </c>
      <c r="G142" t="s">
        <v>1609</v>
      </c>
      <c r="H142" t="s">
        <v>1616</v>
      </c>
      <c r="I142" t="s">
        <v>1738</v>
      </c>
      <c r="J142" t="s">
        <v>1876</v>
      </c>
      <c r="K142" t="s">
        <v>2044</v>
      </c>
      <c r="L142" t="s">
        <v>1621</v>
      </c>
      <c r="M142" t="s">
        <v>2045</v>
      </c>
    </row>
    <row r="143" spans="1:18" x14ac:dyDescent="0.2">
      <c r="A143" s="84" t="s">
        <v>803</v>
      </c>
      <c r="B143" s="84" t="s">
        <v>804</v>
      </c>
      <c r="C143" t="s">
        <v>182</v>
      </c>
      <c r="D143" t="s">
        <v>2478</v>
      </c>
      <c r="F143" t="s">
        <v>804</v>
      </c>
      <c r="G143" t="s">
        <v>1609</v>
      </c>
      <c r="H143" t="s">
        <v>1773</v>
      </c>
      <c r="I143" t="s">
        <v>2046</v>
      </c>
      <c r="J143" t="s">
        <v>1613</v>
      </c>
      <c r="K143" t="s">
        <v>1621</v>
      </c>
      <c r="L143" t="s">
        <v>1859</v>
      </c>
      <c r="M143" t="s">
        <v>2047</v>
      </c>
      <c r="N143" t="s">
        <v>2048</v>
      </c>
    </row>
    <row r="144" spans="1:18" x14ac:dyDescent="0.2">
      <c r="A144" s="84" t="s">
        <v>806</v>
      </c>
      <c r="B144" s="84" t="s">
        <v>807</v>
      </c>
      <c r="C144" t="s">
        <v>182</v>
      </c>
      <c r="D144" t="s">
        <v>2454</v>
      </c>
      <c r="F144" t="s">
        <v>807</v>
      </c>
      <c r="G144" t="s">
        <v>1609</v>
      </c>
      <c r="H144" t="s">
        <v>1803</v>
      </c>
      <c r="I144" t="s">
        <v>2049</v>
      </c>
      <c r="J144" t="s">
        <v>1731</v>
      </c>
      <c r="K144" t="s">
        <v>2050</v>
      </c>
      <c r="L144" t="s">
        <v>2051</v>
      </c>
      <c r="M144" t="s">
        <v>1613</v>
      </c>
      <c r="N144" t="s">
        <v>1621</v>
      </c>
      <c r="O144" t="s">
        <v>1615</v>
      </c>
    </row>
    <row r="145" spans="1:16" x14ac:dyDescent="0.2">
      <c r="A145" s="84" t="s">
        <v>811</v>
      </c>
      <c r="B145" s="84" t="s">
        <v>812</v>
      </c>
      <c r="C145" t="s">
        <v>182</v>
      </c>
      <c r="D145" t="s">
        <v>2267</v>
      </c>
      <c r="F145" t="s">
        <v>812</v>
      </c>
      <c r="G145" t="s">
        <v>1609</v>
      </c>
      <c r="H145" t="s">
        <v>1648</v>
      </c>
      <c r="I145" t="s">
        <v>2052</v>
      </c>
      <c r="J145" t="s">
        <v>2053</v>
      </c>
      <c r="K145" t="s">
        <v>2054</v>
      </c>
      <c r="L145" t="s">
        <v>1613</v>
      </c>
      <c r="M145" t="s">
        <v>1621</v>
      </c>
      <c r="N145" t="s">
        <v>1740</v>
      </c>
    </row>
    <row r="146" spans="1:16" x14ac:dyDescent="0.2">
      <c r="A146" s="84" t="s">
        <v>816</v>
      </c>
      <c r="B146" s="84" t="s">
        <v>817</v>
      </c>
      <c r="C146" t="s">
        <v>182</v>
      </c>
      <c r="D146" t="s">
        <v>2474</v>
      </c>
      <c r="F146" t="s">
        <v>817</v>
      </c>
      <c r="G146" t="s">
        <v>1609</v>
      </c>
      <c r="H146" t="s">
        <v>1818</v>
      </c>
      <c r="I146" t="s">
        <v>2055</v>
      </c>
      <c r="J146" t="s">
        <v>2056</v>
      </c>
      <c r="K146" t="s">
        <v>1613</v>
      </c>
      <c r="L146" t="s">
        <v>1621</v>
      </c>
      <c r="M146" t="s">
        <v>1750</v>
      </c>
    </row>
    <row r="147" spans="1:16" x14ac:dyDescent="0.2">
      <c r="A147" s="84" t="s">
        <v>819</v>
      </c>
      <c r="B147" s="84" t="s">
        <v>820</v>
      </c>
      <c r="C147" t="s">
        <v>182</v>
      </c>
      <c r="D147" t="s">
        <v>2267</v>
      </c>
      <c r="F147" t="s">
        <v>820</v>
      </c>
      <c r="G147" t="s">
        <v>1609</v>
      </c>
      <c r="H147" t="s">
        <v>1648</v>
      </c>
      <c r="I147" t="s">
        <v>2057</v>
      </c>
      <c r="J147" t="s">
        <v>1731</v>
      </c>
      <c r="K147" t="s">
        <v>2058</v>
      </c>
      <c r="L147" t="s">
        <v>2059</v>
      </c>
      <c r="M147" t="s">
        <v>1613</v>
      </c>
      <c r="N147" t="s">
        <v>1621</v>
      </c>
      <c r="O147" t="s">
        <v>1740</v>
      </c>
      <c r="P147" t="s">
        <v>2060</v>
      </c>
    </row>
    <row r="148" spans="1:16" x14ac:dyDescent="0.2">
      <c r="A148" s="84" t="s">
        <v>822</v>
      </c>
      <c r="B148" s="84" t="s">
        <v>823</v>
      </c>
      <c r="F148" t="s">
        <v>823</v>
      </c>
      <c r="G148" t="s">
        <v>1609</v>
      </c>
      <c r="H148" t="s">
        <v>1819</v>
      </c>
      <c r="I148" t="s">
        <v>2061</v>
      </c>
      <c r="J148" t="s">
        <v>1969</v>
      </c>
      <c r="K148" t="s">
        <v>1818</v>
      </c>
      <c r="L148" t="s">
        <v>1710</v>
      </c>
      <c r="M148" t="s">
        <v>2062</v>
      </c>
      <c r="N148" t="s">
        <v>2063</v>
      </c>
      <c r="O148" t="s">
        <v>2064</v>
      </c>
    </row>
    <row r="149" spans="1:16" x14ac:dyDescent="0.2">
      <c r="A149" s="84" t="s">
        <v>825</v>
      </c>
      <c r="B149" s="84" t="s">
        <v>826</v>
      </c>
      <c r="C149" t="s">
        <v>182</v>
      </c>
      <c r="D149" t="s">
        <v>2454</v>
      </c>
      <c r="F149" t="s">
        <v>826</v>
      </c>
      <c r="G149" t="s">
        <v>1609</v>
      </c>
      <c r="H149" t="s">
        <v>1803</v>
      </c>
      <c r="I149" t="s">
        <v>1828</v>
      </c>
      <c r="J149" t="s">
        <v>2065</v>
      </c>
      <c r="K149" t="s">
        <v>1806</v>
      </c>
      <c r="L149" t="s">
        <v>2066</v>
      </c>
      <c r="M149" t="s">
        <v>1613</v>
      </c>
      <c r="N149" t="s">
        <v>1621</v>
      </c>
      <c r="O149" t="s">
        <v>1615</v>
      </c>
    </row>
    <row r="150" spans="1:16" x14ac:dyDescent="0.2">
      <c r="A150" s="84" t="s">
        <v>828</v>
      </c>
      <c r="B150" s="84" t="s">
        <v>829</v>
      </c>
      <c r="C150" t="s">
        <v>182</v>
      </c>
      <c r="D150" t="s">
        <v>2458</v>
      </c>
      <c r="F150" t="s">
        <v>2529</v>
      </c>
      <c r="G150" t="s">
        <v>1609</v>
      </c>
      <c r="H150" t="s">
        <v>1803</v>
      </c>
      <c r="I150" t="s">
        <v>2067</v>
      </c>
      <c r="J150" t="s">
        <v>2068</v>
      </c>
      <c r="K150" t="s">
        <v>1806</v>
      </c>
      <c r="L150" t="s">
        <v>2069</v>
      </c>
      <c r="M150" t="s">
        <v>1621</v>
      </c>
      <c r="N150" t="s">
        <v>1639</v>
      </c>
    </row>
    <row r="151" spans="1:16" x14ac:dyDescent="0.2">
      <c r="A151" s="84" t="s">
        <v>833</v>
      </c>
      <c r="B151" s="84" t="s">
        <v>834</v>
      </c>
      <c r="C151" t="s">
        <v>182</v>
      </c>
      <c r="D151" t="s">
        <v>2468</v>
      </c>
      <c r="F151" t="s">
        <v>834</v>
      </c>
      <c r="G151" t="s">
        <v>1609</v>
      </c>
      <c r="H151" t="s">
        <v>1648</v>
      </c>
      <c r="I151" t="s">
        <v>2070</v>
      </c>
      <c r="J151" t="s">
        <v>2071</v>
      </c>
      <c r="K151" t="s">
        <v>2072</v>
      </c>
      <c r="L151" t="s">
        <v>1613</v>
      </c>
      <c r="M151" t="s">
        <v>1621</v>
      </c>
      <c r="N151" t="s">
        <v>1772</v>
      </c>
    </row>
    <row r="152" spans="1:16" x14ac:dyDescent="0.2">
      <c r="A152" s="84" t="s">
        <v>836</v>
      </c>
      <c r="B152" s="84" t="s">
        <v>837</v>
      </c>
      <c r="C152" t="s">
        <v>182</v>
      </c>
      <c r="F152" t="s">
        <v>837</v>
      </c>
      <c r="G152" t="s">
        <v>1609</v>
      </c>
      <c r="H152" t="s">
        <v>2073</v>
      </c>
      <c r="I152" t="s">
        <v>2074</v>
      </c>
      <c r="J152" t="s">
        <v>2075</v>
      </c>
      <c r="K152" t="s">
        <v>2076</v>
      </c>
      <c r="L152" t="s">
        <v>2077</v>
      </c>
      <c r="M152" t="s">
        <v>1621</v>
      </c>
    </row>
    <row r="153" spans="1:16" x14ac:dyDescent="0.2">
      <c r="A153" s="84" t="s">
        <v>839</v>
      </c>
      <c r="B153" s="84" t="s">
        <v>840</v>
      </c>
      <c r="C153" t="s">
        <v>182</v>
      </c>
      <c r="D153" t="s">
        <v>2476</v>
      </c>
      <c r="F153" t="s">
        <v>840</v>
      </c>
      <c r="G153" t="s">
        <v>1609</v>
      </c>
      <c r="H153" t="s">
        <v>2037</v>
      </c>
      <c r="I153" t="s">
        <v>1805</v>
      </c>
      <c r="J153" t="s">
        <v>1613</v>
      </c>
      <c r="K153" t="s">
        <v>1621</v>
      </c>
      <c r="L153" t="s">
        <v>1634</v>
      </c>
      <c r="M153" t="s">
        <v>2078</v>
      </c>
    </row>
    <row r="154" spans="1:16" x14ac:dyDescent="0.2">
      <c r="A154" s="84" t="s">
        <v>842</v>
      </c>
      <c r="B154" s="84" t="s">
        <v>843</v>
      </c>
      <c r="C154" t="s">
        <v>182</v>
      </c>
      <c r="D154" t="s">
        <v>2476</v>
      </c>
      <c r="F154" t="s">
        <v>843</v>
      </c>
      <c r="G154" t="s">
        <v>1609</v>
      </c>
      <c r="H154" t="s">
        <v>1918</v>
      </c>
      <c r="I154" t="s">
        <v>1718</v>
      </c>
      <c r="J154" t="s">
        <v>1837</v>
      </c>
      <c r="K154" t="s">
        <v>1613</v>
      </c>
      <c r="L154" t="s">
        <v>1621</v>
      </c>
      <c r="M154" t="s">
        <v>1634</v>
      </c>
    </row>
    <row r="155" spans="1:16" x14ac:dyDescent="0.2">
      <c r="A155" s="84" t="s">
        <v>847</v>
      </c>
      <c r="B155" s="84" t="s">
        <v>848</v>
      </c>
      <c r="C155" t="s">
        <v>182</v>
      </c>
      <c r="D155" t="s">
        <v>2485</v>
      </c>
      <c r="F155" t="s">
        <v>848</v>
      </c>
      <c r="G155" t="s">
        <v>1609</v>
      </c>
      <c r="H155" t="s">
        <v>1644</v>
      </c>
      <c r="I155" t="s">
        <v>1648</v>
      </c>
      <c r="J155" t="s">
        <v>1649</v>
      </c>
      <c r="K155" t="s">
        <v>2079</v>
      </c>
      <c r="L155" t="s">
        <v>1613</v>
      </c>
      <c r="M155" t="s">
        <v>1621</v>
      </c>
      <c r="N155" t="s">
        <v>1927</v>
      </c>
    </row>
    <row r="156" spans="1:16" x14ac:dyDescent="0.2">
      <c r="A156" s="84" t="s">
        <v>850</v>
      </c>
      <c r="B156" s="84" t="s">
        <v>851</v>
      </c>
      <c r="C156" t="s">
        <v>2452</v>
      </c>
      <c r="D156" t="s">
        <v>2487</v>
      </c>
      <c r="F156" t="s">
        <v>851</v>
      </c>
      <c r="G156" t="s">
        <v>1609</v>
      </c>
      <c r="H156" t="s">
        <v>1644</v>
      </c>
      <c r="I156" t="s">
        <v>1648</v>
      </c>
      <c r="J156" t="s">
        <v>1649</v>
      </c>
      <c r="K156" t="s">
        <v>1668</v>
      </c>
      <c r="L156" t="s">
        <v>1613</v>
      </c>
      <c r="M156" t="s">
        <v>1614</v>
      </c>
      <c r="N156" t="s">
        <v>2004</v>
      </c>
      <c r="O156" t="s">
        <v>2080</v>
      </c>
    </row>
    <row r="157" spans="1:16" x14ac:dyDescent="0.2">
      <c r="A157" s="84" t="s">
        <v>855</v>
      </c>
      <c r="B157" s="84" t="s">
        <v>856</v>
      </c>
      <c r="C157" t="s">
        <v>182</v>
      </c>
      <c r="D157" t="s">
        <v>2474</v>
      </c>
      <c r="F157" t="s">
        <v>856</v>
      </c>
      <c r="G157" t="s">
        <v>1609</v>
      </c>
      <c r="H157" t="s">
        <v>1616</v>
      </c>
      <c r="I157" t="s">
        <v>1617</v>
      </c>
      <c r="J157" t="s">
        <v>2081</v>
      </c>
      <c r="K157" t="s">
        <v>1631</v>
      </c>
      <c r="L157" t="s">
        <v>1752</v>
      </c>
      <c r="M157" t="s">
        <v>2082</v>
      </c>
      <c r="N157" t="s">
        <v>1613</v>
      </c>
      <c r="O157" t="s">
        <v>1621</v>
      </c>
      <c r="P157" t="s">
        <v>1750</v>
      </c>
    </row>
    <row r="158" spans="1:16" x14ac:dyDescent="0.2">
      <c r="A158" s="84" t="s">
        <v>858</v>
      </c>
      <c r="B158" s="84" t="s">
        <v>859</v>
      </c>
      <c r="C158" t="s">
        <v>182</v>
      </c>
      <c r="D158" t="s">
        <v>2458</v>
      </c>
      <c r="F158" t="s">
        <v>859</v>
      </c>
      <c r="G158" t="s">
        <v>1609</v>
      </c>
      <c r="H158" t="s">
        <v>1616</v>
      </c>
      <c r="I158" t="s">
        <v>1617</v>
      </c>
      <c r="J158" t="s">
        <v>1631</v>
      </c>
      <c r="K158" t="s">
        <v>2083</v>
      </c>
      <c r="L158" t="s">
        <v>2084</v>
      </c>
      <c r="M158" t="s">
        <v>1613</v>
      </c>
      <c r="N158" t="s">
        <v>1621</v>
      </c>
      <c r="O158" t="s">
        <v>1639</v>
      </c>
    </row>
    <row r="159" spans="1:16" x14ac:dyDescent="0.2">
      <c r="A159" s="84" t="s">
        <v>863</v>
      </c>
      <c r="B159" s="84" t="s">
        <v>864</v>
      </c>
      <c r="C159" t="s">
        <v>182</v>
      </c>
      <c r="D159" t="s">
        <v>2461</v>
      </c>
      <c r="F159" t="s">
        <v>864</v>
      </c>
      <c r="G159" t="s">
        <v>1609</v>
      </c>
      <c r="H159" t="s">
        <v>2085</v>
      </c>
      <c r="I159" t="s">
        <v>2086</v>
      </c>
      <c r="J159" t="s">
        <v>1648</v>
      </c>
      <c r="K159" t="s">
        <v>1649</v>
      </c>
      <c r="L159" t="s">
        <v>1613</v>
      </c>
      <c r="M159" t="s">
        <v>1621</v>
      </c>
      <c r="N159" t="s">
        <v>1652</v>
      </c>
    </row>
    <row r="160" spans="1:16" x14ac:dyDescent="0.2">
      <c r="A160" s="84" t="s">
        <v>866</v>
      </c>
      <c r="B160" s="84" t="s">
        <v>867</v>
      </c>
      <c r="C160" t="s">
        <v>182</v>
      </c>
      <c r="D160" t="s">
        <v>2464</v>
      </c>
      <c r="F160" t="s">
        <v>867</v>
      </c>
      <c r="G160" t="s">
        <v>1609</v>
      </c>
      <c r="H160" t="s">
        <v>2087</v>
      </c>
      <c r="I160" t="s">
        <v>1633</v>
      </c>
      <c r="J160" t="s">
        <v>2088</v>
      </c>
      <c r="K160" t="s">
        <v>2089</v>
      </c>
      <c r="L160" t="s">
        <v>1613</v>
      </c>
      <c r="M160" t="s">
        <v>1621</v>
      </c>
      <c r="N160" t="s">
        <v>1666</v>
      </c>
    </row>
    <row r="161" spans="1:17" x14ac:dyDescent="0.2">
      <c r="A161" s="84" t="s">
        <v>873</v>
      </c>
      <c r="B161" s="84" t="s">
        <v>874</v>
      </c>
      <c r="C161" t="s">
        <v>182</v>
      </c>
      <c r="D161" t="s">
        <v>2490</v>
      </c>
      <c r="F161" t="s">
        <v>2530</v>
      </c>
      <c r="G161" t="s">
        <v>1609</v>
      </c>
      <c r="H161" t="s">
        <v>2090</v>
      </c>
      <c r="I161" t="s">
        <v>2091</v>
      </c>
      <c r="J161" t="s">
        <v>1718</v>
      </c>
      <c r="K161" t="s">
        <v>2092</v>
      </c>
      <c r="L161" t="s">
        <v>1621</v>
      </c>
      <c r="M161" t="s">
        <v>2093</v>
      </c>
      <c r="N161" t="s">
        <v>1694</v>
      </c>
      <c r="O161" t="s">
        <v>1768</v>
      </c>
      <c r="P161" t="s">
        <v>2094</v>
      </c>
    </row>
    <row r="162" spans="1:17" x14ac:dyDescent="0.2">
      <c r="A162" s="84" t="s">
        <v>876</v>
      </c>
      <c r="B162" s="84" t="s">
        <v>877</v>
      </c>
      <c r="D162" t="s">
        <v>2490</v>
      </c>
      <c r="F162" t="s">
        <v>877</v>
      </c>
      <c r="G162" t="s">
        <v>1609</v>
      </c>
      <c r="H162" t="s">
        <v>1645</v>
      </c>
      <c r="I162" t="s">
        <v>2095</v>
      </c>
      <c r="J162" t="s">
        <v>2024</v>
      </c>
      <c r="K162" t="s">
        <v>2096</v>
      </c>
      <c r="L162" t="s">
        <v>2097</v>
      </c>
      <c r="M162" t="s">
        <v>2093</v>
      </c>
      <c r="N162" t="s">
        <v>2098</v>
      </c>
    </row>
    <row r="163" spans="1:17" x14ac:dyDescent="0.2">
      <c r="A163" s="84" t="s">
        <v>883</v>
      </c>
      <c r="B163" s="84" t="s">
        <v>884</v>
      </c>
      <c r="C163" t="s">
        <v>182</v>
      </c>
      <c r="D163" t="s">
        <v>2267</v>
      </c>
      <c r="F163" t="s">
        <v>884</v>
      </c>
      <c r="G163" t="s">
        <v>1609</v>
      </c>
      <c r="H163" t="s">
        <v>1610</v>
      </c>
      <c r="I163" t="s">
        <v>1913</v>
      </c>
      <c r="J163" t="s">
        <v>1749</v>
      </c>
      <c r="K163" t="s">
        <v>1612</v>
      </c>
      <c r="L163" t="s">
        <v>2099</v>
      </c>
      <c r="M163" t="s">
        <v>1613</v>
      </c>
      <c r="N163" t="s">
        <v>1621</v>
      </c>
      <c r="O163" t="s">
        <v>1740</v>
      </c>
    </row>
    <row r="164" spans="1:17" x14ac:dyDescent="0.2">
      <c r="A164" s="84" t="s">
        <v>886</v>
      </c>
      <c r="B164" s="84" t="s">
        <v>887</v>
      </c>
      <c r="C164" t="s">
        <v>182</v>
      </c>
      <c r="D164" t="s">
        <v>2458</v>
      </c>
      <c r="F164" t="s">
        <v>887</v>
      </c>
      <c r="G164" t="s">
        <v>1609</v>
      </c>
      <c r="H164" t="s">
        <v>1818</v>
      </c>
      <c r="I164" t="s">
        <v>2100</v>
      </c>
      <c r="J164" t="s">
        <v>2101</v>
      </c>
      <c r="K164" t="s">
        <v>1613</v>
      </c>
      <c r="L164" t="s">
        <v>1621</v>
      </c>
      <c r="M164" t="s">
        <v>1639</v>
      </c>
    </row>
    <row r="165" spans="1:17" x14ac:dyDescent="0.2">
      <c r="A165" s="84" t="s">
        <v>889</v>
      </c>
      <c r="B165" s="84" t="s">
        <v>890</v>
      </c>
      <c r="C165" t="s">
        <v>182</v>
      </c>
      <c r="D165" t="s">
        <v>2267</v>
      </c>
      <c r="F165" t="s">
        <v>2531</v>
      </c>
      <c r="G165" t="s">
        <v>1609</v>
      </c>
      <c r="H165" t="s">
        <v>1648</v>
      </c>
      <c r="I165" t="s">
        <v>1843</v>
      </c>
      <c r="J165" t="s">
        <v>1621</v>
      </c>
      <c r="K165" t="s">
        <v>1874</v>
      </c>
      <c r="L165" t="s">
        <v>2102</v>
      </c>
    </row>
    <row r="166" spans="1:17" x14ac:dyDescent="0.2">
      <c r="A166" s="84" t="s">
        <v>892</v>
      </c>
      <c r="B166" s="84" t="s">
        <v>893</v>
      </c>
      <c r="C166" t="s">
        <v>182</v>
      </c>
      <c r="D166" t="s">
        <v>2460</v>
      </c>
      <c r="F166" t="s">
        <v>893</v>
      </c>
      <c r="G166" t="s">
        <v>1609</v>
      </c>
      <c r="H166" t="s">
        <v>1718</v>
      </c>
      <c r="I166" t="s">
        <v>1773</v>
      </c>
      <c r="J166" t="s">
        <v>1613</v>
      </c>
      <c r="K166" t="s">
        <v>1621</v>
      </c>
      <c r="L166" t="s">
        <v>1647</v>
      </c>
    </row>
    <row r="167" spans="1:17" x14ac:dyDescent="0.2">
      <c r="A167" s="84" t="s">
        <v>895</v>
      </c>
      <c r="B167" s="84" t="s">
        <v>896</v>
      </c>
      <c r="C167" t="s">
        <v>182</v>
      </c>
      <c r="D167" t="s">
        <v>2460</v>
      </c>
      <c r="F167" t="s">
        <v>896</v>
      </c>
      <c r="G167" t="s">
        <v>1609</v>
      </c>
      <c r="H167" t="s">
        <v>1718</v>
      </c>
      <c r="I167" t="s">
        <v>2103</v>
      </c>
      <c r="J167" t="s">
        <v>2104</v>
      </c>
      <c r="K167" t="s">
        <v>2105</v>
      </c>
      <c r="L167" t="s">
        <v>1613</v>
      </c>
      <c r="M167" t="s">
        <v>1621</v>
      </c>
      <c r="N167" t="s">
        <v>1647</v>
      </c>
    </row>
    <row r="168" spans="1:17" x14ac:dyDescent="0.2">
      <c r="A168" s="84" t="s">
        <v>898</v>
      </c>
      <c r="B168" s="84" t="s">
        <v>899</v>
      </c>
      <c r="C168" t="s">
        <v>182</v>
      </c>
      <c r="D168" t="s">
        <v>2267</v>
      </c>
      <c r="F168" t="s">
        <v>899</v>
      </c>
      <c r="G168" t="s">
        <v>1609</v>
      </c>
      <c r="H168" t="s">
        <v>1809</v>
      </c>
      <c r="I168" t="s">
        <v>2106</v>
      </c>
      <c r="J168" t="s">
        <v>2107</v>
      </c>
      <c r="K168" t="s">
        <v>1777</v>
      </c>
      <c r="L168" t="s">
        <v>2108</v>
      </c>
      <c r="M168" t="s">
        <v>1621</v>
      </c>
      <c r="N168" t="s">
        <v>1740</v>
      </c>
    </row>
    <row r="169" spans="1:17" x14ac:dyDescent="0.2">
      <c r="A169" s="84" t="s">
        <v>903</v>
      </c>
      <c r="B169" s="84" t="s">
        <v>904</v>
      </c>
      <c r="C169" t="s">
        <v>182</v>
      </c>
      <c r="D169" t="s">
        <v>2471</v>
      </c>
      <c r="F169" t="s">
        <v>904</v>
      </c>
      <c r="G169" t="s">
        <v>1609</v>
      </c>
      <c r="H169" t="s">
        <v>2109</v>
      </c>
      <c r="I169" t="s">
        <v>1610</v>
      </c>
      <c r="J169" t="s">
        <v>1613</v>
      </c>
      <c r="K169" t="s">
        <v>1621</v>
      </c>
      <c r="L169" t="s">
        <v>1727</v>
      </c>
    </row>
    <row r="170" spans="1:17" x14ac:dyDescent="0.2">
      <c r="A170" s="84" t="s">
        <v>906</v>
      </c>
      <c r="B170" s="84" t="s">
        <v>907</v>
      </c>
      <c r="C170" t="s">
        <v>182</v>
      </c>
      <c r="D170" t="s">
        <v>2480</v>
      </c>
      <c r="F170" t="s">
        <v>907</v>
      </c>
      <c r="G170" t="s">
        <v>1609</v>
      </c>
      <c r="H170" t="s">
        <v>2073</v>
      </c>
      <c r="I170" t="s">
        <v>2077</v>
      </c>
      <c r="J170" t="s">
        <v>1613</v>
      </c>
      <c r="K170" t="s">
        <v>1621</v>
      </c>
      <c r="L170" t="s">
        <v>1851</v>
      </c>
      <c r="M170" t="s">
        <v>2110</v>
      </c>
    </row>
    <row r="171" spans="1:17" x14ac:dyDescent="0.2">
      <c r="A171" s="84" t="s">
        <v>911</v>
      </c>
      <c r="B171" s="84" t="s">
        <v>912</v>
      </c>
      <c r="C171" t="s">
        <v>182</v>
      </c>
      <c r="D171" t="s">
        <v>2468</v>
      </c>
      <c r="F171" t="s">
        <v>912</v>
      </c>
      <c r="G171" t="s">
        <v>1609</v>
      </c>
      <c r="H171" t="s">
        <v>2073</v>
      </c>
      <c r="I171" t="s">
        <v>2077</v>
      </c>
      <c r="J171" t="s">
        <v>1633</v>
      </c>
      <c r="K171" t="s">
        <v>2111</v>
      </c>
      <c r="L171" t="s">
        <v>1621</v>
      </c>
      <c r="M171" t="s">
        <v>1772</v>
      </c>
    </row>
    <row r="172" spans="1:17" x14ac:dyDescent="0.2">
      <c r="A172" s="84" t="s">
        <v>918</v>
      </c>
      <c r="B172" s="84" t="s">
        <v>919</v>
      </c>
      <c r="C172" t="s">
        <v>2452</v>
      </c>
      <c r="D172" t="s">
        <v>2460</v>
      </c>
      <c r="F172" t="s">
        <v>2532</v>
      </c>
      <c r="G172" t="s">
        <v>1609</v>
      </c>
      <c r="H172" t="s">
        <v>1759</v>
      </c>
      <c r="I172" t="s">
        <v>1633</v>
      </c>
      <c r="J172" t="s">
        <v>2016</v>
      </c>
      <c r="K172" t="s">
        <v>2112</v>
      </c>
      <c r="L172" t="s">
        <v>2113</v>
      </c>
      <c r="M172" t="s">
        <v>1613</v>
      </c>
      <c r="N172" t="s">
        <v>1614</v>
      </c>
      <c r="O172" t="s">
        <v>1647</v>
      </c>
    </row>
    <row r="173" spans="1:17" x14ac:dyDescent="0.2">
      <c r="A173" s="84" t="s">
        <v>923</v>
      </c>
      <c r="B173" s="84" t="s">
        <v>924</v>
      </c>
      <c r="C173" t="s">
        <v>2452</v>
      </c>
      <c r="D173" t="s">
        <v>2463</v>
      </c>
      <c r="F173" t="s">
        <v>924</v>
      </c>
      <c r="G173" t="s">
        <v>1609</v>
      </c>
      <c r="H173" t="s">
        <v>2103</v>
      </c>
      <c r="I173" t="s">
        <v>1645</v>
      </c>
      <c r="J173" t="s">
        <v>1906</v>
      </c>
      <c r="K173" t="s">
        <v>1694</v>
      </c>
      <c r="L173" t="s">
        <v>1664</v>
      </c>
      <c r="M173" t="s">
        <v>1614</v>
      </c>
      <c r="N173" t="s">
        <v>2114</v>
      </c>
      <c r="O173" t="s">
        <v>1613</v>
      </c>
      <c r="P173" t="s">
        <v>1614</v>
      </c>
      <c r="Q173" t="s">
        <v>1927</v>
      </c>
    </row>
    <row r="174" spans="1:17" x14ac:dyDescent="0.2">
      <c r="A174" s="84" t="s">
        <v>926</v>
      </c>
      <c r="B174" s="84" t="s">
        <v>927</v>
      </c>
      <c r="C174" t="s">
        <v>182</v>
      </c>
      <c r="D174" t="s">
        <v>2471</v>
      </c>
      <c r="F174" t="s">
        <v>2533</v>
      </c>
      <c r="G174" t="s">
        <v>1609</v>
      </c>
      <c r="H174" t="s">
        <v>1776</v>
      </c>
      <c r="I174" t="s">
        <v>2115</v>
      </c>
      <c r="J174" t="s">
        <v>2116</v>
      </c>
      <c r="K174" t="s">
        <v>1613</v>
      </c>
      <c r="L174" t="s">
        <v>1621</v>
      </c>
      <c r="M174" t="s">
        <v>1727</v>
      </c>
      <c r="N174" t="s">
        <v>2117</v>
      </c>
    </row>
    <row r="175" spans="1:17" x14ac:dyDescent="0.2">
      <c r="A175" s="84" t="s">
        <v>929</v>
      </c>
      <c r="B175" s="84" t="s">
        <v>930</v>
      </c>
      <c r="C175" t="s">
        <v>2452</v>
      </c>
      <c r="D175" t="s">
        <v>2465</v>
      </c>
      <c r="F175" t="s">
        <v>930</v>
      </c>
      <c r="G175" t="s">
        <v>1609</v>
      </c>
      <c r="H175" t="s">
        <v>2073</v>
      </c>
      <c r="I175" t="s">
        <v>1633</v>
      </c>
      <c r="J175" t="s">
        <v>1613</v>
      </c>
      <c r="K175" t="s">
        <v>1614</v>
      </c>
      <c r="L175" t="s">
        <v>1670</v>
      </c>
    </row>
    <row r="176" spans="1:17" x14ac:dyDescent="0.2">
      <c r="A176" s="84" t="s">
        <v>932</v>
      </c>
      <c r="B176" s="84" t="s">
        <v>933</v>
      </c>
      <c r="C176" t="s">
        <v>182</v>
      </c>
      <c r="D176" t="s">
        <v>2464</v>
      </c>
      <c r="F176" t="s">
        <v>933</v>
      </c>
      <c r="G176" t="s">
        <v>1609</v>
      </c>
      <c r="H176" t="s">
        <v>1697</v>
      </c>
      <c r="I176" t="s">
        <v>2118</v>
      </c>
      <c r="J176" t="s">
        <v>1612</v>
      </c>
      <c r="K176" t="s">
        <v>2119</v>
      </c>
      <c r="L176" t="s">
        <v>1613</v>
      </c>
      <c r="M176" t="s">
        <v>1621</v>
      </c>
      <c r="N176" t="s">
        <v>1666</v>
      </c>
    </row>
    <row r="177" spans="1:17" x14ac:dyDescent="0.2">
      <c r="A177" s="84" t="s">
        <v>935</v>
      </c>
      <c r="B177" s="84" t="s">
        <v>936</v>
      </c>
      <c r="D177" t="s">
        <v>2459</v>
      </c>
      <c r="F177" t="s">
        <v>936</v>
      </c>
      <c r="G177" t="s">
        <v>1609</v>
      </c>
      <c r="H177" t="s">
        <v>1803</v>
      </c>
      <c r="I177" t="s">
        <v>2035</v>
      </c>
      <c r="J177" t="s">
        <v>2036</v>
      </c>
      <c r="K177" t="s">
        <v>2120</v>
      </c>
      <c r="L177" t="s">
        <v>2121</v>
      </c>
      <c r="M177" t="s">
        <v>1813</v>
      </c>
      <c r="N177" t="s">
        <v>2122</v>
      </c>
    </row>
    <row r="178" spans="1:17" x14ac:dyDescent="0.2">
      <c r="A178" s="84" t="s">
        <v>938</v>
      </c>
      <c r="B178" s="84" t="s">
        <v>939</v>
      </c>
      <c r="C178" t="s">
        <v>182</v>
      </c>
      <c r="D178" t="s">
        <v>2491</v>
      </c>
      <c r="F178" t="s">
        <v>2534</v>
      </c>
      <c r="G178" t="s">
        <v>1609</v>
      </c>
      <c r="H178" t="s">
        <v>1616</v>
      </c>
      <c r="I178" t="s">
        <v>1653</v>
      </c>
      <c r="J178" t="s">
        <v>1654</v>
      </c>
      <c r="K178" t="s">
        <v>1655</v>
      </c>
      <c r="L178" t="s">
        <v>1796</v>
      </c>
      <c r="M178" t="s">
        <v>2123</v>
      </c>
      <c r="N178" t="s">
        <v>2124</v>
      </c>
      <c r="O178" t="s">
        <v>1613</v>
      </c>
      <c r="P178" t="s">
        <v>1621</v>
      </c>
      <c r="Q178" t="s">
        <v>2125</v>
      </c>
    </row>
    <row r="179" spans="1:17" x14ac:dyDescent="0.2">
      <c r="A179" s="84" t="s">
        <v>941</v>
      </c>
      <c r="B179" s="84" t="s">
        <v>942</v>
      </c>
      <c r="F179" t="s">
        <v>2535</v>
      </c>
      <c r="G179" t="s">
        <v>1609</v>
      </c>
      <c r="H179" t="s">
        <v>1616</v>
      </c>
      <c r="I179" t="s">
        <v>1653</v>
      </c>
      <c r="J179" t="s">
        <v>1654</v>
      </c>
      <c r="K179" t="s">
        <v>2123</v>
      </c>
      <c r="L179" t="s">
        <v>2126</v>
      </c>
    </row>
    <row r="180" spans="1:17" x14ac:dyDescent="0.2">
      <c r="A180" s="84" t="s">
        <v>946</v>
      </c>
      <c r="B180" s="84" t="s">
        <v>947</v>
      </c>
      <c r="D180" t="s">
        <v>2461</v>
      </c>
      <c r="F180" t="s">
        <v>947</v>
      </c>
      <c r="G180" t="s">
        <v>1609</v>
      </c>
      <c r="H180" t="s">
        <v>1759</v>
      </c>
      <c r="I180" t="s">
        <v>2127</v>
      </c>
      <c r="J180" t="s">
        <v>2128</v>
      </c>
      <c r="K180" t="s">
        <v>1652</v>
      </c>
      <c r="L180" t="s">
        <v>2129</v>
      </c>
    </row>
    <row r="181" spans="1:17" x14ac:dyDescent="0.2">
      <c r="A181" s="84" t="s">
        <v>951</v>
      </c>
      <c r="B181" s="84" t="s">
        <v>952</v>
      </c>
      <c r="C181" t="s">
        <v>182</v>
      </c>
      <c r="D181" t="s">
        <v>2458</v>
      </c>
      <c r="F181" t="s">
        <v>952</v>
      </c>
      <c r="G181" t="s">
        <v>1609</v>
      </c>
      <c r="H181" t="s">
        <v>1803</v>
      </c>
      <c r="I181" t="s">
        <v>2035</v>
      </c>
      <c r="J181" t="s">
        <v>2005</v>
      </c>
      <c r="K181" t="s">
        <v>1818</v>
      </c>
      <c r="L181" t="s">
        <v>1855</v>
      </c>
      <c r="M181" t="s">
        <v>2130</v>
      </c>
      <c r="N181" t="s">
        <v>1613</v>
      </c>
      <c r="O181" t="s">
        <v>1621</v>
      </c>
      <c r="P181" t="s">
        <v>1639</v>
      </c>
    </row>
    <row r="182" spans="1:17" x14ac:dyDescent="0.2">
      <c r="A182" s="84" t="s">
        <v>954</v>
      </c>
      <c r="B182" s="84" t="s">
        <v>955</v>
      </c>
      <c r="C182" t="s">
        <v>2452</v>
      </c>
      <c r="D182" t="s">
        <v>2457</v>
      </c>
      <c r="F182" t="s">
        <v>2536</v>
      </c>
      <c r="G182" t="s">
        <v>1609</v>
      </c>
      <c r="H182" t="s">
        <v>2103</v>
      </c>
      <c r="I182" t="s">
        <v>2131</v>
      </c>
      <c r="J182" t="s">
        <v>1614</v>
      </c>
      <c r="K182" t="s">
        <v>1630</v>
      </c>
    </row>
    <row r="183" spans="1:17" x14ac:dyDescent="0.2">
      <c r="A183" s="84" t="s">
        <v>957</v>
      </c>
      <c r="B183" s="84" t="s">
        <v>958</v>
      </c>
      <c r="C183" t="s">
        <v>2452</v>
      </c>
      <c r="D183" t="s">
        <v>2490</v>
      </c>
      <c r="F183" t="s">
        <v>958</v>
      </c>
      <c r="G183" t="s">
        <v>1609</v>
      </c>
      <c r="H183" t="s">
        <v>2132</v>
      </c>
      <c r="I183" t="s">
        <v>1729</v>
      </c>
      <c r="J183" t="s">
        <v>1689</v>
      </c>
      <c r="K183" t="s">
        <v>1614</v>
      </c>
      <c r="L183" t="s">
        <v>2133</v>
      </c>
      <c r="M183" t="s">
        <v>2134</v>
      </c>
    </row>
    <row r="184" spans="1:17" x14ac:dyDescent="0.2">
      <c r="A184" s="84" t="s">
        <v>960</v>
      </c>
      <c r="B184" s="84" t="s">
        <v>961</v>
      </c>
      <c r="C184" t="s">
        <v>182</v>
      </c>
      <c r="D184" t="s">
        <v>2461</v>
      </c>
      <c r="F184" t="s">
        <v>2537</v>
      </c>
      <c r="G184" t="s">
        <v>1609</v>
      </c>
      <c r="H184" t="s">
        <v>1640</v>
      </c>
      <c r="I184" t="s">
        <v>2135</v>
      </c>
      <c r="J184" t="s">
        <v>2136</v>
      </c>
      <c r="K184" t="s">
        <v>2137</v>
      </c>
      <c r="L184" t="s">
        <v>2138</v>
      </c>
      <c r="M184" t="s">
        <v>1652</v>
      </c>
      <c r="N184" t="s">
        <v>1621</v>
      </c>
      <c r="O184" t="s">
        <v>1694</v>
      </c>
      <c r="P184" t="s">
        <v>2139</v>
      </c>
      <c r="Q184" t="s">
        <v>2140</v>
      </c>
    </row>
    <row r="185" spans="1:17" x14ac:dyDescent="0.2">
      <c r="A185" s="84" t="s">
        <v>963</v>
      </c>
      <c r="B185" s="84" t="s">
        <v>964</v>
      </c>
      <c r="C185" t="s">
        <v>182</v>
      </c>
      <c r="D185" t="s">
        <v>2465</v>
      </c>
      <c r="F185" t="s">
        <v>2538</v>
      </c>
      <c r="G185" t="s">
        <v>1609</v>
      </c>
      <c r="H185" t="s">
        <v>1773</v>
      </c>
      <c r="I185" t="s">
        <v>1888</v>
      </c>
      <c r="J185" t="s">
        <v>2024</v>
      </c>
      <c r="K185" t="s">
        <v>2141</v>
      </c>
      <c r="L185" t="s">
        <v>1613</v>
      </c>
      <c r="M185" t="s">
        <v>1621</v>
      </c>
      <c r="N185" t="s">
        <v>1670</v>
      </c>
    </row>
    <row r="186" spans="1:17" x14ac:dyDescent="0.2">
      <c r="A186" s="84" t="s">
        <v>966</v>
      </c>
      <c r="B186" s="84" t="s">
        <v>967</v>
      </c>
      <c r="C186" t="s">
        <v>182</v>
      </c>
      <c r="D186" t="s">
        <v>2470</v>
      </c>
      <c r="F186" t="s">
        <v>967</v>
      </c>
      <c r="G186" t="s">
        <v>1609</v>
      </c>
      <c r="H186" t="s">
        <v>1773</v>
      </c>
      <c r="I186" t="s">
        <v>1888</v>
      </c>
      <c r="J186" t="s">
        <v>1811</v>
      </c>
      <c r="K186" t="s">
        <v>2036</v>
      </c>
      <c r="L186" t="s">
        <v>2142</v>
      </c>
      <c r="M186" t="s">
        <v>1613</v>
      </c>
      <c r="N186" t="s">
        <v>1621</v>
      </c>
      <c r="O186" t="s">
        <v>1721</v>
      </c>
    </row>
    <row r="187" spans="1:17" x14ac:dyDescent="0.2">
      <c r="A187" s="84" t="s">
        <v>971</v>
      </c>
      <c r="B187" s="84" t="s">
        <v>706</v>
      </c>
      <c r="F187" t="s">
        <v>706</v>
      </c>
      <c r="G187" t="s">
        <v>1609</v>
      </c>
      <c r="H187" t="s">
        <v>1616</v>
      </c>
      <c r="I187" t="s">
        <v>1989</v>
      </c>
      <c r="J187" t="s">
        <v>1990</v>
      </c>
    </row>
    <row r="188" spans="1:17" x14ac:dyDescent="0.2">
      <c r="A188" s="84" t="s">
        <v>973</v>
      </c>
      <c r="B188" s="84" t="s">
        <v>974</v>
      </c>
      <c r="C188" t="s">
        <v>182</v>
      </c>
      <c r="D188" t="s">
        <v>2468</v>
      </c>
      <c r="F188" t="s">
        <v>974</v>
      </c>
      <c r="G188" t="s">
        <v>1609</v>
      </c>
      <c r="H188" t="s">
        <v>1627</v>
      </c>
      <c r="I188" t="s">
        <v>2143</v>
      </c>
      <c r="J188" t="s">
        <v>1846</v>
      </c>
      <c r="K188" t="s">
        <v>1625</v>
      </c>
      <c r="L188" t="s">
        <v>2144</v>
      </c>
      <c r="M188" t="s">
        <v>1772</v>
      </c>
      <c r="N188" t="s">
        <v>1621</v>
      </c>
    </row>
    <row r="189" spans="1:17" x14ac:dyDescent="0.2">
      <c r="A189" s="84" t="s">
        <v>976</v>
      </c>
      <c r="B189" s="84" t="s">
        <v>977</v>
      </c>
      <c r="F189" t="s">
        <v>977</v>
      </c>
      <c r="G189" t="s">
        <v>1609</v>
      </c>
      <c r="H189" t="s">
        <v>1809</v>
      </c>
      <c r="I189" t="s">
        <v>2145</v>
      </c>
      <c r="J189" t="s">
        <v>2146</v>
      </c>
      <c r="K189" t="s">
        <v>2147</v>
      </c>
      <c r="L189" t="s">
        <v>2148</v>
      </c>
      <c r="M189" t="s">
        <v>2149</v>
      </c>
    </row>
    <row r="190" spans="1:17" x14ac:dyDescent="0.2">
      <c r="A190" s="84" t="s">
        <v>981</v>
      </c>
      <c r="B190" s="84" t="s">
        <v>977</v>
      </c>
      <c r="F190" t="s">
        <v>977</v>
      </c>
      <c r="G190" t="s">
        <v>1609</v>
      </c>
      <c r="H190" t="s">
        <v>1809</v>
      </c>
      <c r="I190" t="s">
        <v>2145</v>
      </c>
      <c r="J190" t="s">
        <v>2146</v>
      </c>
      <c r="K190" t="s">
        <v>2147</v>
      </c>
      <c r="L190" t="s">
        <v>2148</v>
      </c>
      <c r="M190" t="s">
        <v>2149</v>
      </c>
    </row>
    <row r="191" spans="1:17" x14ac:dyDescent="0.2">
      <c r="A191" s="84" t="s">
        <v>983</v>
      </c>
      <c r="B191" s="84" t="s">
        <v>984</v>
      </c>
      <c r="C191" t="s">
        <v>182</v>
      </c>
      <c r="D191" t="s">
        <v>2470</v>
      </c>
      <c r="F191" t="s">
        <v>984</v>
      </c>
      <c r="G191" t="s">
        <v>1609</v>
      </c>
      <c r="H191" t="s">
        <v>1809</v>
      </c>
      <c r="I191" t="s">
        <v>2145</v>
      </c>
      <c r="J191" t="s">
        <v>2150</v>
      </c>
      <c r="K191" t="s">
        <v>1613</v>
      </c>
      <c r="L191" t="s">
        <v>1621</v>
      </c>
      <c r="M191" t="s">
        <v>1721</v>
      </c>
    </row>
    <row r="192" spans="1:17" x14ac:dyDescent="0.2">
      <c r="A192" s="84" t="s">
        <v>986</v>
      </c>
      <c r="B192" s="84" t="s">
        <v>456</v>
      </c>
      <c r="D192" t="s">
        <v>2459</v>
      </c>
      <c r="F192" t="s">
        <v>456</v>
      </c>
      <c r="G192" t="s">
        <v>1609</v>
      </c>
      <c r="H192" t="s">
        <v>1809</v>
      </c>
      <c r="I192" t="s">
        <v>1810</v>
      </c>
      <c r="J192" t="s">
        <v>1811</v>
      </c>
      <c r="K192" t="s">
        <v>1712</v>
      </c>
      <c r="L192" t="s">
        <v>1812</v>
      </c>
      <c r="M192" t="s">
        <v>1813</v>
      </c>
      <c r="N192" t="s">
        <v>1814</v>
      </c>
    </row>
    <row r="193" spans="1:16" x14ac:dyDescent="0.2">
      <c r="A193" s="84" t="s">
        <v>990</v>
      </c>
      <c r="B193" s="84" t="s">
        <v>991</v>
      </c>
      <c r="C193" t="s">
        <v>182</v>
      </c>
      <c r="D193" t="s">
        <v>2461</v>
      </c>
      <c r="F193" t="s">
        <v>991</v>
      </c>
      <c r="G193" t="s">
        <v>1609</v>
      </c>
      <c r="H193" t="s">
        <v>1610</v>
      </c>
      <c r="I193" t="s">
        <v>1986</v>
      </c>
      <c r="J193" t="s">
        <v>1987</v>
      </c>
      <c r="K193" t="s">
        <v>1988</v>
      </c>
      <c r="L193" t="s">
        <v>1613</v>
      </c>
      <c r="M193" t="s">
        <v>1621</v>
      </c>
      <c r="N193" t="s">
        <v>1652</v>
      </c>
    </row>
    <row r="194" spans="1:16" x14ac:dyDescent="0.2">
      <c r="A194" s="84" t="s">
        <v>993</v>
      </c>
      <c r="B194" s="84" t="s">
        <v>994</v>
      </c>
      <c r="C194" t="s">
        <v>182</v>
      </c>
      <c r="D194" t="s">
        <v>2478</v>
      </c>
      <c r="F194" t="s">
        <v>994</v>
      </c>
      <c r="G194" t="s">
        <v>1609</v>
      </c>
      <c r="H194" t="s">
        <v>1773</v>
      </c>
      <c r="I194" t="s">
        <v>2151</v>
      </c>
      <c r="J194" t="s">
        <v>2152</v>
      </c>
      <c r="K194" t="s">
        <v>2024</v>
      </c>
      <c r="L194" t="s">
        <v>1716</v>
      </c>
      <c r="M194" t="s">
        <v>1621</v>
      </c>
      <c r="N194" t="s">
        <v>1859</v>
      </c>
    </row>
    <row r="195" spans="1:16" x14ac:dyDescent="0.2">
      <c r="A195" s="84" t="s">
        <v>998</v>
      </c>
      <c r="B195" s="84" t="s">
        <v>999</v>
      </c>
      <c r="C195" t="s">
        <v>182</v>
      </c>
      <c r="D195" t="s">
        <v>2478</v>
      </c>
      <c r="F195" t="s">
        <v>2539</v>
      </c>
      <c r="G195" t="s">
        <v>1609</v>
      </c>
      <c r="H195" t="s">
        <v>1773</v>
      </c>
      <c r="I195" t="s">
        <v>2151</v>
      </c>
      <c r="J195" t="s">
        <v>2152</v>
      </c>
      <c r="K195" t="s">
        <v>2024</v>
      </c>
      <c r="L195" t="s">
        <v>1621</v>
      </c>
      <c r="M195" t="s">
        <v>1859</v>
      </c>
    </row>
    <row r="196" spans="1:16" x14ac:dyDescent="0.2">
      <c r="A196" s="84" t="s">
        <v>1003</v>
      </c>
      <c r="B196" s="84" t="s">
        <v>1004</v>
      </c>
      <c r="C196" t="s">
        <v>182</v>
      </c>
      <c r="D196" t="s">
        <v>2461</v>
      </c>
      <c r="F196" t="s">
        <v>1004</v>
      </c>
      <c r="G196" t="s">
        <v>1609</v>
      </c>
      <c r="H196" t="s">
        <v>1773</v>
      </c>
      <c r="I196" t="s">
        <v>1888</v>
      </c>
      <c r="J196" t="s">
        <v>2153</v>
      </c>
      <c r="K196" t="s">
        <v>1613</v>
      </c>
      <c r="L196" t="s">
        <v>1621</v>
      </c>
      <c r="M196" t="s">
        <v>1652</v>
      </c>
    </row>
    <row r="197" spans="1:16" x14ac:dyDescent="0.2">
      <c r="A197" s="84" t="s">
        <v>1006</v>
      </c>
      <c r="B197" s="84" t="s">
        <v>1007</v>
      </c>
      <c r="C197" t="s">
        <v>182</v>
      </c>
      <c r="D197" t="s">
        <v>2454</v>
      </c>
      <c r="F197" t="s">
        <v>1007</v>
      </c>
      <c r="G197" t="s">
        <v>1609</v>
      </c>
      <c r="H197" t="s">
        <v>1773</v>
      </c>
      <c r="I197" t="s">
        <v>2024</v>
      </c>
      <c r="J197" t="s">
        <v>2154</v>
      </c>
      <c r="K197" t="s">
        <v>1696</v>
      </c>
      <c r="L197" t="s">
        <v>1613</v>
      </c>
      <c r="M197" t="s">
        <v>1621</v>
      </c>
      <c r="N197" t="s">
        <v>1615</v>
      </c>
    </row>
    <row r="198" spans="1:16" x14ac:dyDescent="0.2">
      <c r="A198" s="84" t="s">
        <v>1013</v>
      </c>
      <c r="B198" s="84" t="s">
        <v>1014</v>
      </c>
      <c r="C198" t="s">
        <v>182</v>
      </c>
      <c r="D198" t="s">
        <v>2465</v>
      </c>
      <c r="F198" t="s">
        <v>2540</v>
      </c>
      <c r="G198" t="s">
        <v>1609</v>
      </c>
      <c r="H198" t="s">
        <v>1773</v>
      </c>
      <c r="I198" t="s">
        <v>1888</v>
      </c>
      <c r="J198" t="s">
        <v>2155</v>
      </c>
      <c r="K198" t="s">
        <v>1613</v>
      </c>
      <c r="L198" t="s">
        <v>2156</v>
      </c>
      <c r="M198" t="s">
        <v>1621</v>
      </c>
      <c r="N198" t="s">
        <v>1670</v>
      </c>
    </row>
    <row r="199" spans="1:16" x14ac:dyDescent="0.2">
      <c r="A199" s="84" t="s">
        <v>1016</v>
      </c>
      <c r="B199" s="84" t="s">
        <v>1017</v>
      </c>
      <c r="C199" t="s">
        <v>182</v>
      </c>
      <c r="D199" t="s">
        <v>2466</v>
      </c>
      <c r="F199" t="s">
        <v>1017</v>
      </c>
      <c r="G199" t="s">
        <v>1609</v>
      </c>
      <c r="H199" t="s">
        <v>1640</v>
      </c>
      <c r="I199" t="s">
        <v>2136</v>
      </c>
      <c r="J199" t="s">
        <v>1685</v>
      </c>
      <c r="K199" t="s">
        <v>2140</v>
      </c>
      <c r="L199" t="s">
        <v>2157</v>
      </c>
      <c r="M199" t="s">
        <v>1621</v>
      </c>
      <c r="N199" t="s">
        <v>2158</v>
      </c>
    </row>
    <row r="200" spans="1:16" x14ac:dyDescent="0.2">
      <c r="A200" s="84" t="s">
        <v>1019</v>
      </c>
      <c r="B200" s="84" t="s">
        <v>1020</v>
      </c>
      <c r="C200" t="s">
        <v>182</v>
      </c>
      <c r="D200" t="s">
        <v>2468</v>
      </c>
      <c r="F200" t="s">
        <v>1020</v>
      </c>
      <c r="G200" t="s">
        <v>1609</v>
      </c>
      <c r="H200" t="s">
        <v>1640</v>
      </c>
      <c r="I200" t="s">
        <v>2136</v>
      </c>
      <c r="J200" t="s">
        <v>1621</v>
      </c>
      <c r="K200" t="s">
        <v>1701</v>
      </c>
      <c r="L200" t="s">
        <v>2140</v>
      </c>
      <c r="M200" t="s">
        <v>2159</v>
      </c>
      <c r="N200" t="s">
        <v>2160</v>
      </c>
    </row>
    <row r="201" spans="1:16" x14ac:dyDescent="0.2">
      <c r="A201" s="84" t="s">
        <v>1024</v>
      </c>
      <c r="B201" s="84" t="s">
        <v>1025</v>
      </c>
      <c r="C201" t="s">
        <v>182</v>
      </c>
      <c r="D201" t="s">
        <v>2485</v>
      </c>
      <c r="F201" t="s">
        <v>1025</v>
      </c>
      <c r="G201" t="s">
        <v>1609</v>
      </c>
      <c r="H201" t="s">
        <v>1616</v>
      </c>
      <c r="I201" t="s">
        <v>1989</v>
      </c>
      <c r="J201" t="s">
        <v>2161</v>
      </c>
      <c r="K201" t="s">
        <v>1613</v>
      </c>
      <c r="L201" t="s">
        <v>1621</v>
      </c>
      <c r="M201" t="s">
        <v>1927</v>
      </c>
    </row>
    <row r="202" spans="1:16" x14ac:dyDescent="0.2">
      <c r="A202" s="84" t="s">
        <v>1027</v>
      </c>
      <c r="B202" s="84" t="s">
        <v>1028</v>
      </c>
      <c r="C202" t="s">
        <v>182</v>
      </c>
      <c r="D202" t="s">
        <v>2454</v>
      </c>
      <c r="F202" t="s">
        <v>1028</v>
      </c>
      <c r="G202" t="s">
        <v>1609</v>
      </c>
      <c r="H202" t="s">
        <v>1818</v>
      </c>
      <c r="I202" t="s">
        <v>2055</v>
      </c>
      <c r="J202" t="s">
        <v>1855</v>
      </c>
      <c r="K202" t="s">
        <v>2162</v>
      </c>
      <c r="L202" t="s">
        <v>1958</v>
      </c>
      <c r="M202" t="s">
        <v>1613</v>
      </c>
      <c r="N202" t="s">
        <v>1621</v>
      </c>
      <c r="O202" t="s">
        <v>1615</v>
      </c>
    </row>
    <row r="203" spans="1:16" x14ac:dyDescent="0.2">
      <c r="A203" s="84" t="s">
        <v>1032</v>
      </c>
      <c r="B203" s="84" t="s">
        <v>1033</v>
      </c>
      <c r="C203" t="s">
        <v>182</v>
      </c>
      <c r="D203" t="s">
        <v>2454</v>
      </c>
      <c r="F203" t="s">
        <v>1033</v>
      </c>
      <c r="G203" t="s">
        <v>1609</v>
      </c>
      <c r="H203" t="s">
        <v>1759</v>
      </c>
      <c r="I203" t="s">
        <v>2163</v>
      </c>
      <c r="J203" t="s">
        <v>2164</v>
      </c>
      <c r="K203" t="s">
        <v>1613</v>
      </c>
      <c r="L203" t="s">
        <v>1621</v>
      </c>
      <c r="M203" t="s">
        <v>1615</v>
      </c>
    </row>
    <row r="204" spans="1:16" x14ac:dyDescent="0.2">
      <c r="A204" s="84" t="s">
        <v>1035</v>
      </c>
      <c r="B204" s="84" t="s">
        <v>1036</v>
      </c>
      <c r="C204" t="s">
        <v>182</v>
      </c>
      <c r="D204" t="s">
        <v>2454</v>
      </c>
      <c r="F204" t="s">
        <v>1036</v>
      </c>
      <c r="G204" t="s">
        <v>1609</v>
      </c>
      <c r="H204" t="s">
        <v>1759</v>
      </c>
      <c r="I204" t="s">
        <v>2163</v>
      </c>
      <c r="J204" t="s">
        <v>2165</v>
      </c>
      <c r="K204" t="s">
        <v>1716</v>
      </c>
      <c r="L204" t="s">
        <v>1621</v>
      </c>
      <c r="M204" t="s">
        <v>1615</v>
      </c>
    </row>
    <row r="205" spans="1:16" x14ac:dyDescent="0.2">
      <c r="A205" s="84" t="s">
        <v>1038</v>
      </c>
      <c r="B205" s="84" t="s">
        <v>1039</v>
      </c>
      <c r="C205" t="s">
        <v>182</v>
      </c>
      <c r="D205" t="s">
        <v>2461</v>
      </c>
      <c r="F205" t="s">
        <v>1039</v>
      </c>
      <c r="G205" t="s">
        <v>1609</v>
      </c>
      <c r="H205" t="s">
        <v>1759</v>
      </c>
      <c r="I205" t="s">
        <v>2166</v>
      </c>
      <c r="J205" t="s">
        <v>2167</v>
      </c>
      <c r="K205" t="s">
        <v>2168</v>
      </c>
      <c r="L205" t="s">
        <v>1652</v>
      </c>
      <c r="M205" t="s">
        <v>1621</v>
      </c>
    </row>
    <row r="206" spans="1:16" x14ac:dyDescent="0.2">
      <c r="A206" s="84" t="s">
        <v>1043</v>
      </c>
      <c r="B206" s="84" t="s">
        <v>1044</v>
      </c>
      <c r="C206" t="s">
        <v>182</v>
      </c>
      <c r="D206" t="s">
        <v>2454</v>
      </c>
      <c r="F206" t="s">
        <v>2541</v>
      </c>
      <c r="G206" t="s">
        <v>1609</v>
      </c>
      <c r="H206" t="s">
        <v>1773</v>
      </c>
      <c r="I206" t="s">
        <v>1888</v>
      </c>
      <c r="J206" t="s">
        <v>1811</v>
      </c>
      <c r="K206" t="s">
        <v>2169</v>
      </c>
      <c r="L206" t="s">
        <v>1613</v>
      </c>
      <c r="M206" t="s">
        <v>1621</v>
      </c>
      <c r="N206" t="s">
        <v>1615</v>
      </c>
    </row>
    <row r="207" spans="1:16" x14ac:dyDescent="0.2">
      <c r="A207" s="84" t="s">
        <v>1046</v>
      </c>
      <c r="B207" s="84" t="s">
        <v>1047</v>
      </c>
      <c r="C207" t="s">
        <v>182</v>
      </c>
      <c r="F207" t="s">
        <v>1047</v>
      </c>
      <c r="G207" t="s">
        <v>1609</v>
      </c>
      <c r="H207" t="s">
        <v>1627</v>
      </c>
      <c r="I207" t="s">
        <v>2170</v>
      </c>
      <c r="J207" t="s">
        <v>1846</v>
      </c>
      <c r="K207" t="s">
        <v>1625</v>
      </c>
      <c r="L207" t="s">
        <v>2171</v>
      </c>
      <c r="M207" t="s">
        <v>1621</v>
      </c>
      <c r="N207" t="s">
        <v>2172</v>
      </c>
    </row>
    <row r="208" spans="1:16" x14ac:dyDescent="0.2">
      <c r="A208" s="84" t="s">
        <v>1049</v>
      </c>
      <c r="B208" s="84" t="s">
        <v>1050</v>
      </c>
      <c r="C208" t="s">
        <v>182</v>
      </c>
      <c r="D208" t="s">
        <v>2461</v>
      </c>
      <c r="F208" t="s">
        <v>1050</v>
      </c>
      <c r="G208" t="s">
        <v>1609</v>
      </c>
      <c r="H208" t="s">
        <v>1697</v>
      </c>
      <c r="I208" t="s">
        <v>1698</v>
      </c>
      <c r="J208" t="s">
        <v>2173</v>
      </c>
      <c r="K208" t="s">
        <v>1672</v>
      </c>
      <c r="L208" t="s">
        <v>2174</v>
      </c>
      <c r="M208" t="s">
        <v>1613</v>
      </c>
      <c r="N208" t="s">
        <v>1621</v>
      </c>
      <c r="O208" t="s">
        <v>1652</v>
      </c>
      <c r="P208" t="s">
        <v>2175</v>
      </c>
    </row>
    <row r="209" spans="1:16" x14ac:dyDescent="0.2">
      <c r="A209" s="84" t="s">
        <v>1052</v>
      </c>
      <c r="B209" s="84" t="s">
        <v>1053</v>
      </c>
      <c r="C209" t="s">
        <v>182</v>
      </c>
      <c r="D209" t="s">
        <v>2458</v>
      </c>
      <c r="F209" t="s">
        <v>1053</v>
      </c>
      <c r="G209" t="s">
        <v>1609</v>
      </c>
      <c r="H209" t="s">
        <v>1773</v>
      </c>
      <c r="I209" t="s">
        <v>2152</v>
      </c>
      <c r="J209" t="s">
        <v>2176</v>
      </c>
      <c r="K209" t="s">
        <v>2177</v>
      </c>
      <c r="L209" t="s">
        <v>1716</v>
      </c>
      <c r="M209" t="s">
        <v>1621</v>
      </c>
      <c r="N209" t="s">
        <v>1639</v>
      </c>
    </row>
    <row r="210" spans="1:16" x14ac:dyDescent="0.2">
      <c r="A210" s="84" t="s">
        <v>1055</v>
      </c>
      <c r="B210" s="84" t="s">
        <v>1056</v>
      </c>
      <c r="D210" t="s">
        <v>2463</v>
      </c>
      <c r="F210" t="s">
        <v>1056</v>
      </c>
      <c r="G210" t="s">
        <v>1609</v>
      </c>
      <c r="H210" t="s">
        <v>1809</v>
      </c>
      <c r="I210" t="s">
        <v>2178</v>
      </c>
      <c r="J210" t="s">
        <v>2179</v>
      </c>
      <c r="K210" t="s">
        <v>2145</v>
      </c>
      <c r="L210" t="s">
        <v>1664</v>
      </c>
      <c r="M210" t="s">
        <v>2180</v>
      </c>
      <c r="N210" t="s">
        <v>2181</v>
      </c>
    </row>
    <row r="211" spans="1:16" x14ac:dyDescent="0.2">
      <c r="A211" s="84" t="s">
        <v>1058</v>
      </c>
      <c r="B211" s="84" t="s">
        <v>1059</v>
      </c>
      <c r="C211" t="s">
        <v>182</v>
      </c>
      <c r="D211" t="s">
        <v>2464</v>
      </c>
      <c r="F211" t="s">
        <v>1059</v>
      </c>
      <c r="G211" t="s">
        <v>1609</v>
      </c>
      <c r="H211" t="s">
        <v>1616</v>
      </c>
      <c r="I211" t="s">
        <v>1655</v>
      </c>
      <c r="J211" t="s">
        <v>2182</v>
      </c>
      <c r="K211" t="s">
        <v>2183</v>
      </c>
      <c r="L211" t="s">
        <v>2184</v>
      </c>
      <c r="M211" t="s">
        <v>1613</v>
      </c>
      <c r="N211" t="s">
        <v>1621</v>
      </c>
      <c r="O211" t="s">
        <v>1666</v>
      </c>
    </row>
    <row r="212" spans="1:16" x14ac:dyDescent="0.2">
      <c r="A212" s="84" t="s">
        <v>1061</v>
      </c>
      <c r="B212" s="84" t="s">
        <v>1062</v>
      </c>
      <c r="F212" t="s">
        <v>1062</v>
      </c>
      <c r="G212" t="s">
        <v>1609</v>
      </c>
      <c r="H212" t="s">
        <v>1616</v>
      </c>
      <c r="I212" t="s">
        <v>1655</v>
      </c>
      <c r="J212" t="s">
        <v>2182</v>
      </c>
      <c r="K212" t="s">
        <v>2183</v>
      </c>
      <c r="L212" t="s">
        <v>2185</v>
      </c>
    </row>
    <row r="213" spans="1:16" x14ac:dyDescent="0.2">
      <c r="A213" s="84" t="s">
        <v>1064</v>
      </c>
      <c r="B213" s="84" t="s">
        <v>1065</v>
      </c>
      <c r="C213" t="s">
        <v>2452</v>
      </c>
      <c r="D213" t="s">
        <v>2477</v>
      </c>
      <c r="F213" t="s">
        <v>1065</v>
      </c>
      <c r="G213" t="s">
        <v>1609</v>
      </c>
      <c r="H213" t="s">
        <v>2186</v>
      </c>
      <c r="I213" t="s">
        <v>1611</v>
      </c>
      <c r="J213" t="s">
        <v>1610</v>
      </c>
      <c r="K213" t="s">
        <v>1613</v>
      </c>
      <c r="L213" t="s">
        <v>1614</v>
      </c>
      <c r="M213" t="s">
        <v>1802</v>
      </c>
    </row>
    <row r="214" spans="1:16" x14ac:dyDescent="0.2">
      <c r="A214" s="84" t="s">
        <v>1071</v>
      </c>
      <c r="B214" s="84" t="s">
        <v>1072</v>
      </c>
      <c r="C214" t="s">
        <v>182</v>
      </c>
      <c r="D214" t="s">
        <v>2485</v>
      </c>
      <c r="F214" t="s">
        <v>1072</v>
      </c>
      <c r="G214" t="s">
        <v>1609</v>
      </c>
      <c r="H214" t="s">
        <v>2187</v>
      </c>
      <c r="I214" t="s">
        <v>2147</v>
      </c>
      <c r="J214" t="s">
        <v>1618</v>
      </c>
      <c r="K214" t="s">
        <v>1613</v>
      </c>
      <c r="L214" t="s">
        <v>1621</v>
      </c>
      <c r="M214" t="s">
        <v>1927</v>
      </c>
    </row>
    <row r="215" spans="1:16" x14ac:dyDescent="0.2">
      <c r="A215" s="84" t="s">
        <v>1076</v>
      </c>
      <c r="B215" s="84" t="s">
        <v>1077</v>
      </c>
      <c r="C215" t="s">
        <v>182</v>
      </c>
      <c r="D215" t="s">
        <v>2456</v>
      </c>
      <c r="F215" t="s">
        <v>1077</v>
      </c>
      <c r="G215" t="s">
        <v>1609</v>
      </c>
      <c r="H215" t="s">
        <v>2188</v>
      </c>
      <c r="I215" t="s">
        <v>1730</v>
      </c>
      <c r="J215" t="s">
        <v>1941</v>
      </c>
      <c r="K215" t="s">
        <v>1752</v>
      </c>
      <c r="L215" t="s">
        <v>2189</v>
      </c>
      <c r="M215" t="s">
        <v>1613</v>
      </c>
      <c r="N215" t="s">
        <v>1621</v>
      </c>
      <c r="O215" t="s">
        <v>1628</v>
      </c>
    </row>
    <row r="216" spans="1:16" x14ac:dyDescent="0.2">
      <c r="A216" s="84" t="s">
        <v>1083</v>
      </c>
      <c r="B216" s="84" t="s">
        <v>1084</v>
      </c>
      <c r="C216" t="s">
        <v>2452</v>
      </c>
      <c r="D216" t="s">
        <v>2454</v>
      </c>
      <c r="F216" t="s">
        <v>1084</v>
      </c>
      <c r="G216" t="s">
        <v>1609</v>
      </c>
      <c r="H216" t="s">
        <v>1611</v>
      </c>
      <c r="I216" t="s">
        <v>2190</v>
      </c>
      <c r="J216" t="s">
        <v>1610</v>
      </c>
      <c r="K216" t="s">
        <v>2191</v>
      </c>
      <c r="L216" t="s">
        <v>2192</v>
      </c>
      <c r="M216" t="s">
        <v>1613</v>
      </c>
      <c r="N216" t="s">
        <v>1614</v>
      </c>
      <c r="O216" t="s">
        <v>1615</v>
      </c>
    </row>
    <row r="217" spans="1:16" x14ac:dyDescent="0.2">
      <c r="A217" s="84" t="s">
        <v>1090</v>
      </c>
      <c r="B217" s="84" t="s">
        <v>1091</v>
      </c>
      <c r="C217" t="s">
        <v>182</v>
      </c>
      <c r="D217" t="s">
        <v>2458</v>
      </c>
      <c r="F217" t="s">
        <v>1091</v>
      </c>
      <c r="G217" t="s">
        <v>1609</v>
      </c>
      <c r="H217" t="s">
        <v>1819</v>
      </c>
      <c r="I217" t="s">
        <v>2193</v>
      </c>
      <c r="J217" t="s">
        <v>2194</v>
      </c>
      <c r="K217" t="s">
        <v>2195</v>
      </c>
      <c r="L217" t="s">
        <v>2196</v>
      </c>
      <c r="M217" t="s">
        <v>2197</v>
      </c>
      <c r="N217" t="s">
        <v>1621</v>
      </c>
      <c r="O217" t="s">
        <v>1639</v>
      </c>
    </row>
    <row r="218" spans="1:16" x14ac:dyDescent="0.2">
      <c r="A218" s="84" t="s">
        <v>1093</v>
      </c>
      <c r="B218" s="84" t="s">
        <v>1094</v>
      </c>
      <c r="C218" t="s">
        <v>182</v>
      </c>
      <c r="D218" t="s">
        <v>2454</v>
      </c>
      <c r="F218" t="s">
        <v>1094</v>
      </c>
      <c r="G218" t="s">
        <v>1609</v>
      </c>
      <c r="H218" t="s">
        <v>1635</v>
      </c>
      <c r="I218" t="s">
        <v>1784</v>
      </c>
      <c r="J218" t="s">
        <v>1705</v>
      </c>
      <c r="K218" t="s">
        <v>2198</v>
      </c>
      <c r="L218" t="s">
        <v>2199</v>
      </c>
      <c r="M218" t="s">
        <v>1613</v>
      </c>
      <c r="N218" t="s">
        <v>1621</v>
      </c>
      <c r="O218" t="s">
        <v>1615</v>
      </c>
    </row>
    <row r="219" spans="1:16" x14ac:dyDescent="0.2">
      <c r="A219" s="84" t="s">
        <v>1098</v>
      </c>
      <c r="B219" s="84" t="s">
        <v>1099</v>
      </c>
      <c r="C219" t="s">
        <v>182</v>
      </c>
      <c r="D219" t="s">
        <v>2468</v>
      </c>
      <c r="F219" t="s">
        <v>1099</v>
      </c>
      <c r="G219" t="s">
        <v>1609</v>
      </c>
      <c r="H219" t="s">
        <v>1616</v>
      </c>
      <c r="I219" t="s">
        <v>2200</v>
      </c>
      <c r="J219" t="s">
        <v>2071</v>
      </c>
      <c r="K219" t="s">
        <v>2072</v>
      </c>
      <c r="L219" t="s">
        <v>1613</v>
      </c>
      <c r="M219" t="s">
        <v>1621</v>
      </c>
      <c r="N219" t="s">
        <v>1772</v>
      </c>
    </row>
    <row r="220" spans="1:16" x14ac:dyDescent="0.2">
      <c r="A220" s="84" t="s">
        <v>1103</v>
      </c>
      <c r="B220" s="84" t="s">
        <v>1104</v>
      </c>
      <c r="C220" t="s">
        <v>182</v>
      </c>
      <c r="D220" t="s">
        <v>2458</v>
      </c>
      <c r="F220" t="s">
        <v>1104</v>
      </c>
      <c r="G220" t="s">
        <v>1609</v>
      </c>
      <c r="H220" t="s">
        <v>1700</v>
      </c>
      <c r="I220" t="s">
        <v>2201</v>
      </c>
      <c r="J220" t="s">
        <v>2085</v>
      </c>
      <c r="K220" t="s">
        <v>2202</v>
      </c>
      <c r="L220" t="s">
        <v>2203</v>
      </c>
      <c r="M220" t="s">
        <v>2204</v>
      </c>
      <c r="N220" t="s">
        <v>1613</v>
      </c>
      <c r="O220" t="s">
        <v>1621</v>
      </c>
      <c r="P220" t="s">
        <v>1639</v>
      </c>
    </row>
    <row r="221" spans="1:16" x14ac:dyDescent="0.2">
      <c r="A221" s="84" t="s">
        <v>1106</v>
      </c>
      <c r="B221" s="84" t="s">
        <v>1107</v>
      </c>
      <c r="C221" t="s">
        <v>182</v>
      </c>
      <c r="D221" t="s">
        <v>2454</v>
      </c>
      <c r="F221" t="s">
        <v>1107</v>
      </c>
      <c r="G221" t="s">
        <v>1609</v>
      </c>
      <c r="H221" t="s">
        <v>1773</v>
      </c>
      <c r="I221" t="s">
        <v>2205</v>
      </c>
      <c r="J221" t="s">
        <v>2206</v>
      </c>
      <c r="K221" t="s">
        <v>1621</v>
      </c>
      <c r="L221" t="s">
        <v>2207</v>
      </c>
    </row>
    <row r="222" spans="1:16" x14ac:dyDescent="0.2">
      <c r="A222" s="84" t="s">
        <v>1111</v>
      </c>
      <c r="B222" s="84" t="s">
        <v>1112</v>
      </c>
      <c r="C222" t="s">
        <v>182</v>
      </c>
      <c r="D222" t="s">
        <v>2470</v>
      </c>
      <c r="F222" t="s">
        <v>1112</v>
      </c>
      <c r="G222" t="s">
        <v>1609</v>
      </c>
      <c r="H222" t="s">
        <v>1672</v>
      </c>
      <c r="I222" t="s">
        <v>2208</v>
      </c>
      <c r="J222" t="s">
        <v>2209</v>
      </c>
      <c r="K222" t="s">
        <v>1676</v>
      </c>
      <c r="L222" t="s">
        <v>2210</v>
      </c>
      <c r="M222" t="s">
        <v>2211</v>
      </c>
      <c r="N222" t="s">
        <v>1613</v>
      </c>
      <c r="O222" t="s">
        <v>1621</v>
      </c>
      <c r="P222" t="s">
        <v>1721</v>
      </c>
    </row>
    <row r="223" spans="1:16" x14ac:dyDescent="0.2">
      <c r="A223" s="84" t="s">
        <v>1116</v>
      </c>
      <c r="B223" s="84" t="s">
        <v>1117</v>
      </c>
      <c r="C223" t="s">
        <v>182</v>
      </c>
      <c r="D223" t="s">
        <v>2468</v>
      </c>
      <c r="F223" t="s">
        <v>1117</v>
      </c>
      <c r="G223" t="s">
        <v>1609</v>
      </c>
      <c r="H223" t="s">
        <v>2212</v>
      </c>
      <c r="I223" t="s">
        <v>2213</v>
      </c>
      <c r="J223" t="s">
        <v>1799</v>
      </c>
      <c r="K223" t="s">
        <v>2214</v>
      </c>
      <c r="L223" t="s">
        <v>1613</v>
      </c>
      <c r="M223" t="s">
        <v>2215</v>
      </c>
      <c r="N223" t="s">
        <v>1621</v>
      </c>
      <c r="O223" t="s">
        <v>1772</v>
      </c>
    </row>
    <row r="224" spans="1:16" x14ac:dyDescent="0.2">
      <c r="A224" s="84" t="s">
        <v>1119</v>
      </c>
      <c r="B224" s="84" t="s">
        <v>1120</v>
      </c>
      <c r="C224" t="s">
        <v>182</v>
      </c>
      <c r="D224" t="s">
        <v>2454</v>
      </c>
      <c r="F224" t="s">
        <v>1120</v>
      </c>
      <c r="G224" t="s">
        <v>1609</v>
      </c>
      <c r="H224" t="s">
        <v>1616</v>
      </c>
      <c r="I224" t="s">
        <v>1659</v>
      </c>
      <c r="J224" t="s">
        <v>2216</v>
      </c>
      <c r="K224" t="s">
        <v>2217</v>
      </c>
      <c r="L224" t="s">
        <v>2218</v>
      </c>
      <c r="M224" t="s">
        <v>1613</v>
      </c>
      <c r="N224" t="s">
        <v>1621</v>
      </c>
      <c r="O224" t="s">
        <v>1615</v>
      </c>
    </row>
    <row r="225" spans="1:16" x14ac:dyDescent="0.2">
      <c r="A225" s="84" t="s">
        <v>1122</v>
      </c>
      <c r="B225" s="84" t="s">
        <v>1123</v>
      </c>
      <c r="C225" t="s">
        <v>182</v>
      </c>
      <c r="D225" t="s">
        <v>2468</v>
      </c>
      <c r="F225" t="s">
        <v>1123</v>
      </c>
      <c r="G225" t="s">
        <v>1609</v>
      </c>
      <c r="H225" t="s">
        <v>1705</v>
      </c>
      <c r="I225" t="s">
        <v>2198</v>
      </c>
      <c r="J225" t="s">
        <v>1788</v>
      </c>
      <c r="K225" t="s">
        <v>1790</v>
      </c>
      <c r="L225" t="s">
        <v>1902</v>
      </c>
      <c r="M225" t="s">
        <v>1613</v>
      </c>
      <c r="N225" t="s">
        <v>1621</v>
      </c>
      <c r="O225" t="s">
        <v>1772</v>
      </c>
    </row>
    <row r="226" spans="1:16" x14ac:dyDescent="0.2">
      <c r="A226" s="84" t="s">
        <v>1127</v>
      </c>
      <c r="B226" s="84" t="s">
        <v>1128</v>
      </c>
      <c r="C226" t="s">
        <v>182</v>
      </c>
      <c r="D226" t="s">
        <v>2468</v>
      </c>
      <c r="F226" t="s">
        <v>1128</v>
      </c>
      <c r="G226" t="s">
        <v>1609</v>
      </c>
      <c r="H226" t="s">
        <v>1705</v>
      </c>
      <c r="I226" t="s">
        <v>2198</v>
      </c>
      <c r="J226" t="s">
        <v>1788</v>
      </c>
      <c r="K226" t="s">
        <v>1790</v>
      </c>
      <c r="L226" t="s">
        <v>1613</v>
      </c>
      <c r="M226" t="s">
        <v>1621</v>
      </c>
      <c r="N226" t="s">
        <v>1772</v>
      </c>
    </row>
    <row r="227" spans="1:16" x14ac:dyDescent="0.2">
      <c r="A227" s="84" t="s">
        <v>1130</v>
      </c>
      <c r="B227" s="84" t="s">
        <v>1131</v>
      </c>
      <c r="C227" t="s">
        <v>182</v>
      </c>
      <c r="D227" t="s">
        <v>2485</v>
      </c>
      <c r="F227" t="s">
        <v>1131</v>
      </c>
      <c r="G227" t="s">
        <v>1609</v>
      </c>
      <c r="H227" t="s">
        <v>1819</v>
      </c>
      <c r="I227" t="s">
        <v>2219</v>
      </c>
      <c r="J227" t="s">
        <v>1981</v>
      </c>
      <c r="K227" t="s">
        <v>1768</v>
      </c>
      <c r="L227" t="s">
        <v>1613</v>
      </c>
      <c r="M227" t="s">
        <v>1621</v>
      </c>
      <c r="N227" t="s">
        <v>1927</v>
      </c>
    </row>
    <row r="228" spans="1:16" x14ac:dyDescent="0.2">
      <c r="A228" s="84" t="s">
        <v>1133</v>
      </c>
      <c r="B228" s="84" t="s">
        <v>1134</v>
      </c>
      <c r="C228" t="s">
        <v>182</v>
      </c>
      <c r="D228" t="s">
        <v>2468</v>
      </c>
      <c r="F228" t="s">
        <v>2542</v>
      </c>
      <c r="G228" t="s">
        <v>1609</v>
      </c>
      <c r="H228" t="s">
        <v>1616</v>
      </c>
      <c r="I228" t="s">
        <v>1938</v>
      </c>
      <c r="J228" t="s">
        <v>789</v>
      </c>
      <c r="K228" t="s">
        <v>2220</v>
      </c>
      <c r="L228" t="s">
        <v>2221</v>
      </c>
      <c r="M228" t="s">
        <v>1621</v>
      </c>
      <c r="N228" t="s">
        <v>1772</v>
      </c>
    </row>
    <row r="229" spans="1:16" x14ac:dyDescent="0.2">
      <c r="A229" s="84" t="s">
        <v>1137</v>
      </c>
      <c r="B229" s="84" t="s">
        <v>1138</v>
      </c>
      <c r="C229" t="s">
        <v>182</v>
      </c>
      <c r="D229" t="s">
        <v>2468</v>
      </c>
      <c r="F229" t="s">
        <v>1138</v>
      </c>
      <c r="G229" t="s">
        <v>1609</v>
      </c>
      <c r="H229" t="s">
        <v>1672</v>
      </c>
      <c r="I229" t="s">
        <v>2222</v>
      </c>
      <c r="J229" t="s">
        <v>1835</v>
      </c>
      <c r="K229" t="s">
        <v>1613</v>
      </c>
      <c r="L229" t="s">
        <v>1621</v>
      </c>
      <c r="M229" t="s">
        <v>1772</v>
      </c>
    </row>
    <row r="230" spans="1:16" x14ac:dyDescent="0.2">
      <c r="A230" s="84" t="s">
        <v>1140</v>
      </c>
      <c r="B230" s="84" t="s">
        <v>1141</v>
      </c>
      <c r="C230" t="s">
        <v>182</v>
      </c>
      <c r="D230" t="s">
        <v>2492</v>
      </c>
      <c r="F230" t="s">
        <v>1141</v>
      </c>
      <c r="G230" t="s">
        <v>1609</v>
      </c>
      <c r="H230" t="s">
        <v>1648</v>
      </c>
      <c r="I230" t="s">
        <v>2223</v>
      </c>
      <c r="J230" t="s">
        <v>2224</v>
      </c>
      <c r="K230" t="s">
        <v>1613</v>
      </c>
      <c r="L230" t="s">
        <v>1621</v>
      </c>
      <c r="M230" t="s">
        <v>2225</v>
      </c>
      <c r="N230" t="s">
        <v>2226</v>
      </c>
    </row>
    <row r="231" spans="1:16" x14ac:dyDescent="0.2">
      <c r="A231" s="84" t="s">
        <v>1143</v>
      </c>
      <c r="B231" s="84" t="s">
        <v>1144</v>
      </c>
      <c r="F231" t="s">
        <v>1144</v>
      </c>
      <c r="G231" t="s">
        <v>1609</v>
      </c>
      <c r="H231" t="s">
        <v>1819</v>
      </c>
      <c r="I231" t="s">
        <v>2227</v>
      </c>
      <c r="J231" t="s">
        <v>2193</v>
      </c>
      <c r="K231" t="s">
        <v>2228</v>
      </c>
      <c r="L231" t="s">
        <v>1975</v>
      </c>
      <c r="M231" t="s">
        <v>1857</v>
      </c>
      <c r="N231" t="s">
        <v>2229</v>
      </c>
    </row>
    <row r="232" spans="1:16" x14ac:dyDescent="0.2">
      <c r="A232" s="84" t="s">
        <v>1146</v>
      </c>
      <c r="B232" s="84" t="s">
        <v>1147</v>
      </c>
      <c r="C232" t="s">
        <v>182</v>
      </c>
      <c r="D232" t="s">
        <v>2461</v>
      </c>
      <c r="F232" t="s">
        <v>1147</v>
      </c>
      <c r="G232" t="s">
        <v>1609</v>
      </c>
      <c r="H232" t="s">
        <v>1819</v>
      </c>
      <c r="I232" t="s">
        <v>1969</v>
      </c>
      <c r="J232" t="s">
        <v>1811</v>
      </c>
      <c r="K232" t="s">
        <v>1832</v>
      </c>
      <c r="L232" t="s">
        <v>1621</v>
      </c>
    </row>
    <row r="233" spans="1:16" x14ac:dyDescent="0.2">
      <c r="A233" s="84" t="s">
        <v>1153</v>
      </c>
      <c r="B233" s="84" t="s">
        <v>1154</v>
      </c>
      <c r="C233" t="s">
        <v>182</v>
      </c>
      <c r="D233" t="s">
        <v>2267</v>
      </c>
      <c r="F233" t="s">
        <v>1154</v>
      </c>
      <c r="G233" t="s">
        <v>1609</v>
      </c>
      <c r="H233" t="s">
        <v>2212</v>
      </c>
      <c r="I233" t="s">
        <v>1799</v>
      </c>
      <c r="J233" t="s">
        <v>2230</v>
      </c>
      <c r="K233" t="s">
        <v>1736</v>
      </c>
      <c r="L233" t="s">
        <v>1613</v>
      </c>
      <c r="M233" t="s">
        <v>1621</v>
      </c>
      <c r="N233" t="s">
        <v>1740</v>
      </c>
    </row>
    <row r="234" spans="1:16" x14ac:dyDescent="0.2">
      <c r="A234" s="84" t="s">
        <v>1156</v>
      </c>
      <c r="B234" s="84" t="s">
        <v>1157</v>
      </c>
      <c r="C234" t="s">
        <v>182</v>
      </c>
      <c r="D234" t="s">
        <v>2468</v>
      </c>
      <c r="F234" t="s">
        <v>1157</v>
      </c>
      <c r="G234" t="s">
        <v>1609</v>
      </c>
      <c r="H234" t="s">
        <v>1616</v>
      </c>
      <c r="I234" t="s">
        <v>1995</v>
      </c>
      <c r="J234" t="s">
        <v>2231</v>
      </c>
      <c r="K234" t="s">
        <v>2232</v>
      </c>
      <c r="L234" t="s">
        <v>1613</v>
      </c>
      <c r="M234" t="s">
        <v>1621</v>
      </c>
      <c r="N234" t="s">
        <v>1772</v>
      </c>
    </row>
    <row r="235" spans="1:16" x14ac:dyDescent="0.2">
      <c r="A235" s="84" t="s">
        <v>1159</v>
      </c>
      <c r="B235" s="84" t="s">
        <v>1160</v>
      </c>
      <c r="C235" t="s">
        <v>182</v>
      </c>
      <c r="D235" t="s">
        <v>2468</v>
      </c>
      <c r="F235" t="s">
        <v>1160</v>
      </c>
      <c r="G235" t="s">
        <v>1609</v>
      </c>
      <c r="H235" t="s">
        <v>2212</v>
      </c>
      <c r="I235" t="s">
        <v>1799</v>
      </c>
      <c r="J235" t="s">
        <v>2233</v>
      </c>
      <c r="K235" t="s">
        <v>2211</v>
      </c>
      <c r="L235" t="s">
        <v>1772</v>
      </c>
      <c r="M235" t="s">
        <v>1621</v>
      </c>
      <c r="N235" t="s">
        <v>2215</v>
      </c>
    </row>
    <row r="236" spans="1:16" x14ac:dyDescent="0.2">
      <c r="A236" s="84" t="s">
        <v>1162</v>
      </c>
      <c r="B236" s="84" t="s">
        <v>1163</v>
      </c>
      <c r="C236" t="s">
        <v>182</v>
      </c>
      <c r="D236" t="s">
        <v>2458</v>
      </c>
      <c r="F236" t="s">
        <v>1163</v>
      </c>
      <c r="G236" t="s">
        <v>1609</v>
      </c>
      <c r="H236" t="s">
        <v>1773</v>
      </c>
      <c r="I236" t="s">
        <v>1888</v>
      </c>
      <c r="J236" t="s">
        <v>1618</v>
      </c>
      <c r="K236" t="s">
        <v>2234</v>
      </c>
      <c r="L236" t="s">
        <v>1613</v>
      </c>
      <c r="M236" t="s">
        <v>1621</v>
      </c>
      <c r="N236" t="s">
        <v>1639</v>
      </c>
    </row>
    <row r="237" spans="1:16" x14ac:dyDescent="0.2">
      <c r="A237" s="84" t="s">
        <v>1165</v>
      </c>
      <c r="B237" s="84" t="s">
        <v>1166</v>
      </c>
      <c r="C237" t="s">
        <v>2452</v>
      </c>
      <c r="F237" t="s">
        <v>1166</v>
      </c>
      <c r="G237" t="s">
        <v>1609</v>
      </c>
      <c r="H237" t="s">
        <v>1611</v>
      </c>
      <c r="I237" t="s">
        <v>1729</v>
      </c>
      <c r="J237" t="s">
        <v>1942</v>
      </c>
      <c r="K237" t="s">
        <v>2235</v>
      </c>
      <c r="L237" t="s">
        <v>2236</v>
      </c>
      <c r="M237" t="s">
        <v>1614</v>
      </c>
    </row>
    <row r="238" spans="1:16" x14ac:dyDescent="0.2">
      <c r="A238" s="84" t="s">
        <v>1168</v>
      </c>
      <c r="B238" s="84" t="s">
        <v>1169</v>
      </c>
      <c r="C238" t="s">
        <v>2452</v>
      </c>
      <c r="D238" t="s">
        <v>2454</v>
      </c>
      <c r="F238" t="s">
        <v>1169</v>
      </c>
      <c r="G238" t="s">
        <v>1609</v>
      </c>
      <c r="H238" t="s">
        <v>1611</v>
      </c>
      <c r="I238" t="s">
        <v>1729</v>
      </c>
      <c r="J238" t="s">
        <v>1942</v>
      </c>
      <c r="K238" t="s">
        <v>2235</v>
      </c>
      <c r="L238" t="s">
        <v>2237</v>
      </c>
      <c r="M238" t="s">
        <v>1613</v>
      </c>
      <c r="N238" t="s">
        <v>1614</v>
      </c>
      <c r="O238" t="s">
        <v>1615</v>
      </c>
    </row>
    <row r="239" spans="1:16" x14ac:dyDescent="0.2">
      <c r="A239" s="84" t="s">
        <v>1171</v>
      </c>
      <c r="B239" s="84" t="s">
        <v>1172</v>
      </c>
      <c r="C239" t="s">
        <v>182</v>
      </c>
      <c r="D239" t="s">
        <v>2465</v>
      </c>
      <c r="F239" t="s">
        <v>2543</v>
      </c>
      <c r="G239" t="s">
        <v>1609</v>
      </c>
      <c r="H239" t="s">
        <v>1616</v>
      </c>
      <c r="I239" t="s">
        <v>1989</v>
      </c>
      <c r="J239" t="s">
        <v>1731</v>
      </c>
      <c r="K239" t="s">
        <v>2238</v>
      </c>
      <c r="L239" t="s">
        <v>2239</v>
      </c>
      <c r="M239" t="s">
        <v>2240</v>
      </c>
      <c r="N239" t="s">
        <v>1613</v>
      </c>
      <c r="O239" t="s">
        <v>1621</v>
      </c>
      <c r="P239" t="s">
        <v>1670</v>
      </c>
    </row>
    <row r="240" spans="1:16" x14ac:dyDescent="0.2">
      <c r="A240" s="84" t="s">
        <v>1174</v>
      </c>
      <c r="B240" s="84" t="s">
        <v>1175</v>
      </c>
      <c r="C240" t="s">
        <v>182</v>
      </c>
      <c r="D240" t="s">
        <v>2485</v>
      </c>
      <c r="F240" t="s">
        <v>1175</v>
      </c>
      <c r="G240" t="s">
        <v>1609</v>
      </c>
      <c r="H240" t="s">
        <v>1616</v>
      </c>
      <c r="I240" t="s">
        <v>2241</v>
      </c>
      <c r="J240" t="s">
        <v>2242</v>
      </c>
      <c r="K240" t="s">
        <v>1613</v>
      </c>
      <c r="L240" t="s">
        <v>1621</v>
      </c>
      <c r="M240" t="s">
        <v>1927</v>
      </c>
    </row>
    <row r="241" spans="1:17" x14ac:dyDescent="0.2">
      <c r="A241" s="84" t="s">
        <v>1179</v>
      </c>
      <c r="B241" s="84" t="s">
        <v>1180</v>
      </c>
      <c r="C241" t="s">
        <v>182</v>
      </c>
      <c r="D241" t="s">
        <v>2458</v>
      </c>
      <c r="F241" t="s">
        <v>2544</v>
      </c>
      <c r="G241" t="s">
        <v>1609</v>
      </c>
      <c r="H241" t="s">
        <v>1697</v>
      </c>
      <c r="I241" t="s">
        <v>1698</v>
      </c>
      <c r="J241" t="s">
        <v>1699</v>
      </c>
      <c r="K241" t="s">
        <v>2243</v>
      </c>
      <c r="L241" t="s">
        <v>1613</v>
      </c>
      <c r="M241" t="s">
        <v>1621</v>
      </c>
      <c r="N241" t="s">
        <v>1639</v>
      </c>
    </row>
    <row r="242" spans="1:17" x14ac:dyDescent="0.2">
      <c r="A242" s="84" t="s">
        <v>1182</v>
      </c>
      <c r="B242" s="84" t="s">
        <v>1183</v>
      </c>
      <c r="C242" t="s">
        <v>182</v>
      </c>
      <c r="D242" t="s">
        <v>2468</v>
      </c>
      <c r="F242" t="s">
        <v>1183</v>
      </c>
      <c r="G242" t="s">
        <v>1609</v>
      </c>
      <c r="H242" t="s">
        <v>1697</v>
      </c>
      <c r="I242" t="s">
        <v>1700</v>
      </c>
      <c r="J242" t="s">
        <v>2173</v>
      </c>
      <c r="K242" t="s">
        <v>1612</v>
      </c>
      <c r="L242" t="s">
        <v>1716</v>
      </c>
      <c r="M242" t="s">
        <v>1621</v>
      </c>
      <c r="N242" t="s">
        <v>1772</v>
      </c>
    </row>
    <row r="243" spans="1:17" x14ac:dyDescent="0.2">
      <c r="A243" s="84" t="s">
        <v>1185</v>
      </c>
      <c r="B243" s="84" t="s">
        <v>1186</v>
      </c>
      <c r="C243" t="s">
        <v>182</v>
      </c>
      <c r="D243" t="s">
        <v>2474</v>
      </c>
      <c r="F243" t="s">
        <v>1186</v>
      </c>
      <c r="G243" t="s">
        <v>1609</v>
      </c>
      <c r="H243" t="s">
        <v>1809</v>
      </c>
      <c r="I243" t="s">
        <v>1908</v>
      </c>
      <c r="J243" t="s">
        <v>1694</v>
      </c>
      <c r="K243" t="s">
        <v>1613</v>
      </c>
      <c r="L243" t="s">
        <v>1621</v>
      </c>
      <c r="M243" t="s">
        <v>1750</v>
      </c>
      <c r="N243" t="s">
        <v>2244</v>
      </c>
      <c r="O243" t="s">
        <v>2245</v>
      </c>
    </row>
    <row r="244" spans="1:17" x14ac:dyDescent="0.2">
      <c r="A244" s="84" t="s">
        <v>1188</v>
      </c>
      <c r="B244" s="84" t="s">
        <v>1189</v>
      </c>
      <c r="C244" t="s">
        <v>182</v>
      </c>
      <c r="D244" t="s">
        <v>2461</v>
      </c>
      <c r="F244" t="s">
        <v>1189</v>
      </c>
      <c r="G244" t="s">
        <v>1609</v>
      </c>
      <c r="H244" t="s">
        <v>1819</v>
      </c>
      <c r="I244" t="s">
        <v>1972</v>
      </c>
      <c r="J244" t="s">
        <v>1964</v>
      </c>
      <c r="K244" t="s">
        <v>1973</v>
      </c>
      <c r="L244" t="s">
        <v>1868</v>
      </c>
      <c r="M244" t="s">
        <v>1621</v>
      </c>
      <c r="N244" t="s">
        <v>1832</v>
      </c>
    </row>
    <row r="245" spans="1:17" x14ac:dyDescent="0.2">
      <c r="A245" s="84" t="s">
        <v>1191</v>
      </c>
      <c r="B245" s="84" t="s">
        <v>1192</v>
      </c>
      <c r="C245" t="s">
        <v>2452</v>
      </c>
      <c r="D245" t="s">
        <v>2454</v>
      </c>
      <c r="F245" t="s">
        <v>1192</v>
      </c>
      <c r="G245" t="s">
        <v>1609</v>
      </c>
      <c r="H245" t="s">
        <v>1611</v>
      </c>
      <c r="I245" t="s">
        <v>1610</v>
      </c>
      <c r="J245" t="s">
        <v>1611</v>
      </c>
      <c r="K245" t="s">
        <v>2246</v>
      </c>
      <c r="L245" t="s">
        <v>1613</v>
      </c>
      <c r="M245" t="s">
        <v>1614</v>
      </c>
      <c r="N245" t="s">
        <v>1615</v>
      </c>
    </row>
    <row r="246" spans="1:17" x14ac:dyDescent="0.2">
      <c r="A246" s="84" t="s">
        <v>1194</v>
      </c>
      <c r="B246" s="84" t="s">
        <v>1195</v>
      </c>
      <c r="C246" t="s">
        <v>182</v>
      </c>
      <c r="D246" t="s">
        <v>2491</v>
      </c>
      <c r="F246" t="s">
        <v>1195</v>
      </c>
      <c r="G246" t="s">
        <v>1609</v>
      </c>
      <c r="H246" t="s">
        <v>1672</v>
      </c>
      <c r="I246" t="s">
        <v>2174</v>
      </c>
      <c r="J246" t="s">
        <v>1668</v>
      </c>
      <c r="K246" t="s">
        <v>2125</v>
      </c>
      <c r="L246" t="s">
        <v>1621</v>
      </c>
      <c r="M246" t="s">
        <v>2247</v>
      </c>
      <c r="N246" t="s">
        <v>2248</v>
      </c>
      <c r="O246" t="s">
        <v>1613</v>
      </c>
      <c r="P246" t="s">
        <v>1621</v>
      </c>
      <c r="Q246" t="s">
        <v>1658</v>
      </c>
    </row>
    <row r="247" spans="1:17" x14ac:dyDescent="0.2">
      <c r="A247" s="84" t="s">
        <v>1199</v>
      </c>
      <c r="B247" s="84" t="s">
        <v>1200</v>
      </c>
      <c r="C247" t="s">
        <v>2452</v>
      </c>
      <c r="D247" t="s">
        <v>2472</v>
      </c>
      <c r="F247" t="s">
        <v>1200</v>
      </c>
      <c r="G247" t="s">
        <v>1609</v>
      </c>
      <c r="H247" t="s">
        <v>1635</v>
      </c>
      <c r="I247" t="s">
        <v>1636</v>
      </c>
      <c r="J247" t="s">
        <v>1784</v>
      </c>
      <c r="K247" t="s">
        <v>1633</v>
      </c>
      <c r="L247" t="s">
        <v>2249</v>
      </c>
      <c r="M247" t="s">
        <v>1613</v>
      </c>
      <c r="N247" t="s">
        <v>1614</v>
      </c>
      <c r="O247" t="s">
        <v>1734</v>
      </c>
    </row>
    <row r="248" spans="1:17" x14ac:dyDescent="0.2">
      <c r="A248" s="84" t="s">
        <v>1202</v>
      </c>
      <c r="B248" s="84" t="s">
        <v>1203</v>
      </c>
      <c r="C248" t="s">
        <v>182</v>
      </c>
      <c r="D248" t="s">
        <v>2458</v>
      </c>
      <c r="F248" t="s">
        <v>1203</v>
      </c>
      <c r="G248" t="s">
        <v>1609</v>
      </c>
      <c r="H248" t="s">
        <v>2250</v>
      </c>
      <c r="I248" t="s">
        <v>1698</v>
      </c>
      <c r="J248" t="s">
        <v>1699</v>
      </c>
      <c r="K248" t="s">
        <v>1700</v>
      </c>
      <c r="L248" t="s">
        <v>1621</v>
      </c>
      <c r="M248" t="s">
        <v>1639</v>
      </c>
    </row>
    <row r="249" spans="1:17" x14ac:dyDescent="0.2">
      <c r="A249" s="84" t="s">
        <v>1205</v>
      </c>
      <c r="B249" s="84" t="s">
        <v>1206</v>
      </c>
      <c r="D249" t="s">
        <v>2472</v>
      </c>
      <c r="F249" t="s">
        <v>1206</v>
      </c>
      <c r="G249" t="s">
        <v>1609</v>
      </c>
      <c r="H249" t="s">
        <v>1635</v>
      </c>
      <c r="I249" t="s">
        <v>2251</v>
      </c>
      <c r="J249" t="s">
        <v>2252</v>
      </c>
      <c r="K249" t="s">
        <v>1748</v>
      </c>
      <c r="L249" t="s">
        <v>2253</v>
      </c>
      <c r="M249" t="s">
        <v>2254</v>
      </c>
      <c r="N249" t="s">
        <v>2255</v>
      </c>
      <c r="O249" t="s">
        <v>1853</v>
      </c>
      <c r="P249" t="s">
        <v>1734</v>
      </c>
      <c r="Q249" t="s">
        <v>2256</v>
      </c>
    </row>
    <row r="250" spans="1:17" x14ac:dyDescent="0.2">
      <c r="A250" s="84" t="s">
        <v>1208</v>
      </c>
      <c r="B250" s="84" t="s">
        <v>1209</v>
      </c>
      <c r="D250" t="s">
        <v>2465</v>
      </c>
      <c r="F250" t="s">
        <v>1209</v>
      </c>
      <c r="G250" t="s">
        <v>1609</v>
      </c>
      <c r="H250" t="s">
        <v>1635</v>
      </c>
      <c r="I250" t="s">
        <v>2167</v>
      </c>
      <c r="J250" t="s">
        <v>2168</v>
      </c>
      <c r="K250" t="s">
        <v>1654</v>
      </c>
      <c r="L250" t="s">
        <v>1811</v>
      </c>
      <c r="M250" t="s">
        <v>2257</v>
      </c>
      <c r="N250" t="s">
        <v>1613</v>
      </c>
      <c r="O250" t="s">
        <v>1670</v>
      </c>
    </row>
    <row r="251" spans="1:17" x14ac:dyDescent="0.2">
      <c r="A251" s="84" t="s">
        <v>1213</v>
      </c>
      <c r="B251" s="84" t="s">
        <v>1214</v>
      </c>
      <c r="C251" t="s">
        <v>2452</v>
      </c>
      <c r="D251" t="s">
        <v>2487</v>
      </c>
      <c r="F251" t="s">
        <v>1214</v>
      </c>
      <c r="G251" t="s">
        <v>1609</v>
      </c>
      <c r="H251" t="s">
        <v>2258</v>
      </c>
      <c r="I251" t="s">
        <v>1671</v>
      </c>
      <c r="J251" t="s">
        <v>1723</v>
      </c>
      <c r="K251" t="s">
        <v>2259</v>
      </c>
      <c r="L251" t="s">
        <v>2260</v>
      </c>
      <c r="M251" t="s">
        <v>1613</v>
      </c>
      <c r="N251" t="s">
        <v>1614</v>
      </c>
      <c r="O251" t="s">
        <v>2004</v>
      </c>
    </row>
    <row r="252" spans="1:17" x14ac:dyDescent="0.2">
      <c r="A252" s="84" t="s">
        <v>1216</v>
      </c>
      <c r="B252" s="84" t="s">
        <v>1217</v>
      </c>
      <c r="C252" t="s">
        <v>182</v>
      </c>
      <c r="D252" t="s">
        <v>2472</v>
      </c>
      <c r="F252" t="s">
        <v>1217</v>
      </c>
      <c r="G252" t="s">
        <v>1609</v>
      </c>
      <c r="H252" t="s">
        <v>1635</v>
      </c>
      <c r="I252" t="s">
        <v>2261</v>
      </c>
      <c r="J252" t="s">
        <v>1621</v>
      </c>
      <c r="K252" t="s">
        <v>1998</v>
      </c>
      <c r="L252" t="s">
        <v>2262</v>
      </c>
    </row>
    <row r="253" spans="1:17" x14ac:dyDescent="0.2">
      <c r="A253" s="84" t="s">
        <v>1219</v>
      </c>
      <c r="B253" s="84" t="s">
        <v>1220</v>
      </c>
      <c r="C253" t="s">
        <v>182</v>
      </c>
      <c r="D253" t="s">
        <v>2466</v>
      </c>
      <c r="F253" t="s">
        <v>1220</v>
      </c>
      <c r="G253" t="s">
        <v>1609</v>
      </c>
      <c r="H253" t="s">
        <v>1852</v>
      </c>
      <c r="I253" t="s">
        <v>2263</v>
      </c>
      <c r="J253" t="s">
        <v>1864</v>
      </c>
      <c r="K253" t="s">
        <v>1613</v>
      </c>
      <c r="L253" t="s">
        <v>1621</v>
      </c>
      <c r="M253" t="s">
        <v>1685</v>
      </c>
    </row>
    <row r="254" spans="1:17" x14ac:dyDescent="0.2">
      <c r="A254" s="84" t="s">
        <v>1224</v>
      </c>
      <c r="B254" s="84" t="s">
        <v>1225</v>
      </c>
      <c r="C254" t="s">
        <v>182</v>
      </c>
      <c r="D254" t="s">
        <v>2466</v>
      </c>
      <c r="F254" t="s">
        <v>1225</v>
      </c>
      <c r="G254" t="s">
        <v>1609</v>
      </c>
      <c r="H254" t="s">
        <v>1852</v>
      </c>
      <c r="I254" t="s">
        <v>2264</v>
      </c>
      <c r="J254" t="s">
        <v>2265</v>
      </c>
      <c r="K254" t="s">
        <v>660</v>
      </c>
      <c r="L254" t="s">
        <v>1613</v>
      </c>
      <c r="M254" t="s">
        <v>1621</v>
      </c>
      <c r="N254" t="s">
        <v>1685</v>
      </c>
    </row>
    <row r="255" spans="1:17" x14ac:dyDescent="0.2">
      <c r="A255" s="84" t="s">
        <v>1227</v>
      </c>
      <c r="B255" s="84" t="s">
        <v>1228</v>
      </c>
      <c r="F255" t="s">
        <v>1228</v>
      </c>
      <c r="G255" t="s">
        <v>1609</v>
      </c>
      <c r="H255" t="s">
        <v>1672</v>
      </c>
      <c r="I255" t="s">
        <v>2266</v>
      </c>
      <c r="J255" t="s">
        <v>2267</v>
      </c>
      <c r="K255" t="s">
        <v>2268</v>
      </c>
      <c r="L255" t="s">
        <v>122</v>
      </c>
    </row>
    <row r="256" spans="1:17" x14ac:dyDescent="0.2">
      <c r="A256" s="84" t="s">
        <v>1232</v>
      </c>
      <c r="B256" s="84" t="s">
        <v>1233</v>
      </c>
      <c r="C256" t="s">
        <v>182</v>
      </c>
      <c r="D256" t="s">
        <v>2462</v>
      </c>
      <c r="F256" t="s">
        <v>1233</v>
      </c>
      <c r="G256" t="s">
        <v>1609</v>
      </c>
      <c r="H256" t="s">
        <v>2269</v>
      </c>
      <c r="I256" t="s">
        <v>2270</v>
      </c>
      <c r="J256" t="s">
        <v>1633</v>
      </c>
      <c r="K256" t="s">
        <v>2192</v>
      </c>
      <c r="L256" t="s">
        <v>1613</v>
      </c>
      <c r="M256" t="s">
        <v>1621</v>
      </c>
      <c r="N256" t="s">
        <v>1658</v>
      </c>
    </row>
    <row r="257" spans="1:16" x14ac:dyDescent="0.2">
      <c r="A257" s="84" t="s">
        <v>1237</v>
      </c>
      <c r="B257" s="84" t="s">
        <v>1238</v>
      </c>
      <c r="C257" t="s">
        <v>2452</v>
      </c>
      <c r="D257" t="s">
        <v>2493</v>
      </c>
      <c r="F257" t="s">
        <v>1238</v>
      </c>
      <c r="G257" t="s">
        <v>1609</v>
      </c>
      <c r="H257" t="s">
        <v>2269</v>
      </c>
      <c r="I257" t="s">
        <v>2270</v>
      </c>
      <c r="J257" t="s">
        <v>1633</v>
      </c>
      <c r="K257" t="s">
        <v>1651</v>
      </c>
      <c r="L257" t="s">
        <v>1613</v>
      </c>
      <c r="M257" t="s">
        <v>1614</v>
      </c>
      <c r="N257" t="s">
        <v>2271</v>
      </c>
    </row>
    <row r="258" spans="1:16" x14ac:dyDescent="0.2">
      <c r="A258" s="84" t="s">
        <v>1244</v>
      </c>
      <c r="B258" s="84" t="s">
        <v>1245</v>
      </c>
      <c r="C258" t="s">
        <v>182</v>
      </c>
      <c r="D258" t="s">
        <v>2494</v>
      </c>
      <c r="F258" t="s">
        <v>1245</v>
      </c>
      <c r="G258" t="s">
        <v>1609</v>
      </c>
      <c r="H258" t="s">
        <v>2272</v>
      </c>
      <c r="I258" t="s">
        <v>2273</v>
      </c>
      <c r="J258" t="s">
        <v>1729</v>
      </c>
      <c r="K258" t="s">
        <v>1730</v>
      </c>
      <c r="L258" t="s">
        <v>2274</v>
      </c>
      <c r="M258" t="s">
        <v>1613</v>
      </c>
      <c r="N258" t="s">
        <v>1621</v>
      </c>
      <c r="O258" t="s">
        <v>2275</v>
      </c>
    </row>
    <row r="259" spans="1:16" x14ac:dyDescent="0.2">
      <c r="A259" s="84" t="s">
        <v>1247</v>
      </c>
      <c r="B259" s="84" t="s">
        <v>1248</v>
      </c>
      <c r="C259" t="s">
        <v>2452</v>
      </c>
      <c r="D259" t="s">
        <v>2454</v>
      </c>
      <c r="F259" t="s">
        <v>1248</v>
      </c>
      <c r="G259" t="s">
        <v>1609</v>
      </c>
      <c r="H259" t="s">
        <v>2272</v>
      </c>
      <c r="I259" t="s">
        <v>1942</v>
      </c>
      <c r="J259" t="s">
        <v>2276</v>
      </c>
      <c r="K259" t="s">
        <v>2277</v>
      </c>
      <c r="L259" t="s">
        <v>1613</v>
      </c>
      <c r="M259" t="s">
        <v>1614</v>
      </c>
      <c r="N259" t="s">
        <v>1615</v>
      </c>
    </row>
    <row r="260" spans="1:16" x14ac:dyDescent="0.2">
      <c r="A260" s="84" t="s">
        <v>1254</v>
      </c>
      <c r="B260" s="84" t="s">
        <v>1255</v>
      </c>
      <c r="C260" t="s">
        <v>182</v>
      </c>
      <c r="D260" t="s">
        <v>2474</v>
      </c>
      <c r="F260" t="s">
        <v>1255</v>
      </c>
      <c r="G260" t="s">
        <v>1609</v>
      </c>
      <c r="H260" t="s">
        <v>1616</v>
      </c>
      <c r="I260" t="s">
        <v>1730</v>
      </c>
      <c r="J260" t="s">
        <v>1938</v>
      </c>
      <c r="K260" t="s">
        <v>1884</v>
      </c>
      <c r="L260" t="s">
        <v>1716</v>
      </c>
      <c r="M260" t="s">
        <v>1621</v>
      </c>
      <c r="N260" t="s">
        <v>1750</v>
      </c>
    </row>
    <row r="261" spans="1:16" x14ac:dyDescent="0.2">
      <c r="A261" s="84" t="s">
        <v>1257</v>
      </c>
      <c r="B261" s="84" t="s">
        <v>1258</v>
      </c>
      <c r="C261" t="s">
        <v>182</v>
      </c>
      <c r="D261" t="s">
        <v>2466</v>
      </c>
      <c r="F261" t="s">
        <v>1258</v>
      </c>
      <c r="G261" t="s">
        <v>1609</v>
      </c>
      <c r="H261" t="s">
        <v>1616</v>
      </c>
      <c r="I261" t="s">
        <v>1995</v>
      </c>
      <c r="J261" t="s">
        <v>2278</v>
      </c>
      <c r="K261" t="s">
        <v>2279</v>
      </c>
      <c r="L261" t="s">
        <v>2280</v>
      </c>
      <c r="M261" t="s">
        <v>1621</v>
      </c>
      <c r="N261" t="s">
        <v>1685</v>
      </c>
    </row>
    <row r="262" spans="1:16" x14ac:dyDescent="0.2">
      <c r="A262" s="84" t="s">
        <v>1260</v>
      </c>
      <c r="B262" s="84" t="s">
        <v>1261</v>
      </c>
      <c r="C262" t="s">
        <v>182</v>
      </c>
      <c r="D262" t="s">
        <v>2466</v>
      </c>
      <c r="F262" t="s">
        <v>1261</v>
      </c>
      <c r="G262" t="s">
        <v>1609</v>
      </c>
      <c r="H262" t="s">
        <v>1616</v>
      </c>
      <c r="I262" t="s">
        <v>1995</v>
      </c>
      <c r="J262" t="s">
        <v>1994</v>
      </c>
      <c r="K262" t="s">
        <v>1716</v>
      </c>
      <c r="L262" t="s">
        <v>1621</v>
      </c>
      <c r="M262" t="s">
        <v>1685</v>
      </c>
    </row>
    <row r="263" spans="1:16" x14ac:dyDescent="0.2">
      <c r="A263" s="84" t="s">
        <v>1263</v>
      </c>
      <c r="B263" s="84" t="s">
        <v>1264</v>
      </c>
      <c r="C263" t="s">
        <v>182</v>
      </c>
      <c r="D263" t="s">
        <v>2478</v>
      </c>
      <c r="F263" t="s">
        <v>1264</v>
      </c>
      <c r="G263" t="s">
        <v>1609</v>
      </c>
      <c r="H263" t="s">
        <v>1648</v>
      </c>
      <c r="I263" t="s">
        <v>1757</v>
      </c>
      <c r="J263" t="s">
        <v>2281</v>
      </c>
      <c r="K263" t="s">
        <v>2282</v>
      </c>
      <c r="L263" t="s">
        <v>1716</v>
      </c>
      <c r="M263" t="s">
        <v>1621</v>
      </c>
      <c r="N263" t="s">
        <v>1859</v>
      </c>
    </row>
    <row r="264" spans="1:16" x14ac:dyDescent="0.2">
      <c r="A264" s="84" t="s">
        <v>1266</v>
      </c>
      <c r="B264" s="84" t="s">
        <v>1267</v>
      </c>
      <c r="D264" t="s">
        <v>2481</v>
      </c>
      <c r="F264" t="s">
        <v>1267</v>
      </c>
      <c r="G264" t="s">
        <v>1609</v>
      </c>
      <c r="H264" t="s">
        <v>1852</v>
      </c>
      <c r="I264" t="s">
        <v>2264</v>
      </c>
      <c r="J264" t="s">
        <v>2265</v>
      </c>
      <c r="K264" t="s">
        <v>1688</v>
      </c>
      <c r="L264" t="s">
        <v>1865</v>
      </c>
      <c r="M264" t="s">
        <v>1710</v>
      </c>
      <c r="N264" t="s">
        <v>2283</v>
      </c>
    </row>
    <row r="265" spans="1:16" x14ac:dyDescent="0.2">
      <c r="A265" s="84" t="s">
        <v>1269</v>
      </c>
      <c r="B265" s="84" t="s">
        <v>1270</v>
      </c>
      <c r="D265" t="s">
        <v>2481</v>
      </c>
      <c r="F265" t="s">
        <v>1270</v>
      </c>
      <c r="G265" t="s">
        <v>1609</v>
      </c>
      <c r="H265" t="s">
        <v>2284</v>
      </c>
      <c r="I265" t="s">
        <v>2264</v>
      </c>
      <c r="J265" t="s">
        <v>2265</v>
      </c>
      <c r="K265" t="s">
        <v>1688</v>
      </c>
      <c r="L265" t="s">
        <v>1865</v>
      </c>
      <c r="M265" t="s">
        <v>1710</v>
      </c>
      <c r="N265" t="s">
        <v>2283</v>
      </c>
    </row>
    <row r="266" spans="1:16" x14ac:dyDescent="0.2">
      <c r="A266" s="84" t="s">
        <v>1275</v>
      </c>
      <c r="B266" s="84" t="s">
        <v>1276</v>
      </c>
      <c r="D266" t="s">
        <v>2456</v>
      </c>
      <c r="F266" t="s">
        <v>1276</v>
      </c>
      <c r="G266" t="s">
        <v>1609</v>
      </c>
      <c r="H266" t="s">
        <v>1940</v>
      </c>
      <c r="I266" t="s">
        <v>1941</v>
      </c>
      <c r="J266" t="s">
        <v>1628</v>
      </c>
      <c r="K266" t="s">
        <v>2285</v>
      </c>
      <c r="L266" t="s">
        <v>2286</v>
      </c>
    </row>
    <row r="267" spans="1:16" x14ac:dyDescent="0.2">
      <c r="A267" s="84" t="s">
        <v>1280</v>
      </c>
      <c r="B267" s="84" t="s">
        <v>1281</v>
      </c>
      <c r="C267" t="s">
        <v>182</v>
      </c>
      <c r="D267" t="s">
        <v>2469</v>
      </c>
      <c r="F267" t="s">
        <v>2545</v>
      </c>
      <c r="G267" t="s">
        <v>1609</v>
      </c>
      <c r="H267" t="s">
        <v>2287</v>
      </c>
      <c r="I267" t="s">
        <v>1730</v>
      </c>
      <c r="J267" t="s">
        <v>2288</v>
      </c>
      <c r="K267" t="s">
        <v>1726</v>
      </c>
      <c r="L267" t="s">
        <v>2289</v>
      </c>
      <c r="M267" t="s">
        <v>2290</v>
      </c>
      <c r="N267" t="s">
        <v>1613</v>
      </c>
      <c r="O267" t="s">
        <v>1621</v>
      </c>
      <c r="P267" t="s">
        <v>1706</v>
      </c>
    </row>
    <row r="268" spans="1:16" x14ac:dyDescent="0.2">
      <c r="A268" s="84" t="s">
        <v>1283</v>
      </c>
      <c r="B268" s="84" t="s">
        <v>1284</v>
      </c>
      <c r="C268" t="s">
        <v>182</v>
      </c>
      <c r="D268" t="s">
        <v>2456</v>
      </c>
      <c r="F268" t="s">
        <v>2546</v>
      </c>
      <c r="G268" t="s">
        <v>1609</v>
      </c>
      <c r="H268" t="s">
        <v>1940</v>
      </c>
      <c r="I268" t="s">
        <v>1941</v>
      </c>
      <c r="J268" t="s">
        <v>1621</v>
      </c>
      <c r="K268" t="s">
        <v>1628</v>
      </c>
      <c r="L268" t="s">
        <v>2273</v>
      </c>
      <c r="M268" t="s">
        <v>1726</v>
      </c>
    </row>
    <row r="269" spans="1:16" x14ac:dyDescent="0.2">
      <c r="A269" s="84" t="s">
        <v>1286</v>
      </c>
      <c r="B269" s="84" t="s">
        <v>1287</v>
      </c>
      <c r="C269" t="s">
        <v>182</v>
      </c>
      <c r="D269" t="s">
        <v>2458</v>
      </c>
      <c r="F269" t="s">
        <v>2547</v>
      </c>
      <c r="G269" t="s">
        <v>1609</v>
      </c>
      <c r="H269" t="s">
        <v>1648</v>
      </c>
      <c r="I269" t="s">
        <v>2291</v>
      </c>
      <c r="J269" t="s">
        <v>2292</v>
      </c>
      <c r="K269" t="s">
        <v>2293</v>
      </c>
      <c r="L269" t="s">
        <v>1613</v>
      </c>
      <c r="M269" t="s">
        <v>1621</v>
      </c>
      <c r="N269" t="s">
        <v>1639</v>
      </c>
    </row>
    <row r="270" spans="1:16" x14ac:dyDescent="0.2">
      <c r="A270" s="84" t="s">
        <v>1289</v>
      </c>
      <c r="B270" s="84" t="s">
        <v>1290</v>
      </c>
      <c r="C270" t="s">
        <v>2452</v>
      </c>
      <c r="D270" t="s">
        <v>2472</v>
      </c>
      <c r="F270" t="s">
        <v>1290</v>
      </c>
      <c r="G270" t="s">
        <v>1609</v>
      </c>
      <c r="H270" t="s">
        <v>1703</v>
      </c>
      <c r="I270" t="s">
        <v>1614</v>
      </c>
      <c r="J270" t="s">
        <v>1734</v>
      </c>
      <c r="K270" t="s">
        <v>1723</v>
      </c>
      <c r="L270" t="s">
        <v>1726</v>
      </c>
      <c r="M270" t="s">
        <v>2192</v>
      </c>
      <c r="N270" t="s">
        <v>1613</v>
      </c>
      <c r="O270" t="s">
        <v>1614</v>
      </c>
      <c r="P270" t="s">
        <v>1721</v>
      </c>
    </row>
    <row r="271" spans="1:16" x14ac:dyDescent="0.2">
      <c r="A271" s="84" t="s">
        <v>1294</v>
      </c>
      <c r="B271" s="84" t="s">
        <v>1295</v>
      </c>
      <c r="C271" t="s">
        <v>182</v>
      </c>
      <c r="D271" t="s">
        <v>2456</v>
      </c>
      <c r="F271" t="s">
        <v>1295</v>
      </c>
      <c r="G271" t="s">
        <v>1609</v>
      </c>
      <c r="H271" t="s">
        <v>1703</v>
      </c>
      <c r="I271" t="s">
        <v>1692</v>
      </c>
      <c r="J271" t="s">
        <v>1704</v>
      </c>
      <c r="K271" t="s">
        <v>2294</v>
      </c>
      <c r="L271" t="s">
        <v>1613</v>
      </c>
      <c r="M271" t="s">
        <v>1621</v>
      </c>
      <c r="N271" t="s">
        <v>1628</v>
      </c>
    </row>
    <row r="272" spans="1:16" x14ac:dyDescent="0.2">
      <c r="A272" s="84" t="s">
        <v>1300</v>
      </c>
      <c r="B272" s="84" t="s">
        <v>1301</v>
      </c>
      <c r="C272" t="s">
        <v>182</v>
      </c>
      <c r="D272" t="s">
        <v>2474</v>
      </c>
      <c r="F272" t="s">
        <v>2548</v>
      </c>
      <c r="G272" t="s">
        <v>1609</v>
      </c>
      <c r="H272" t="s">
        <v>1616</v>
      </c>
      <c r="I272" t="s">
        <v>1738</v>
      </c>
      <c r="J272" t="s">
        <v>2295</v>
      </c>
      <c r="K272" t="s">
        <v>1739</v>
      </c>
      <c r="L272" t="s">
        <v>1621</v>
      </c>
      <c r="M272" t="s">
        <v>1750</v>
      </c>
    </row>
    <row r="273" spans="1:17" x14ac:dyDescent="0.2">
      <c r="A273" s="84" t="s">
        <v>1303</v>
      </c>
      <c r="B273" s="84" t="s">
        <v>1304</v>
      </c>
      <c r="C273" t="s">
        <v>182</v>
      </c>
      <c r="D273" t="s">
        <v>2473</v>
      </c>
      <c r="F273" t="s">
        <v>1304</v>
      </c>
      <c r="G273" t="s">
        <v>1609</v>
      </c>
      <c r="H273" t="s">
        <v>2296</v>
      </c>
      <c r="I273" t="s">
        <v>1621</v>
      </c>
      <c r="J273" t="s">
        <v>1737</v>
      </c>
      <c r="K273" t="s">
        <v>2277</v>
      </c>
      <c r="L273" t="s">
        <v>1692</v>
      </c>
      <c r="M273" t="s">
        <v>2297</v>
      </c>
    </row>
    <row r="274" spans="1:17" x14ac:dyDescent="0.2">
      <c r="A274" s="84" t="s">
        <v>1306</v>
      </c>
      <c r="B274" s="84" t="s">
        <v>1307</v>
      </c>
      <c r="C274" t="s">
        <v>182</v>
      </c>
      <c r="D274" t="s">
        <v>2473</v>
      </c>
      <c r="F274" t="s">
        <v>1307</v>
      </c>
      <c r="G274" t="s">
        <v>1609</v>
      </c>
      <c r="H274" t="s">
        <v>2296</v>
      </c>
      <c r="I274" t="s">
        <v>2298</v>
      </c>
      <c r="J274" t="s">
        <v>2299</v>
      </c>
      <c r="K274" t="s">
        <v>2300</v>
      </c>
      <c r="L274" t="s">
        <v>1613</v>
      </c>
      <c r="M274" t="s">
        <v>1621</v>
      </c>
      <c r="N274" t="s">
        <v>1737</v>
      </c>
    </row>
    <row r="275" spans="1:17" x14ac:dyDescent="0.2">
      <c r="A275" s="84" t="s">
        <v>1309</v>
      </c>
      <c r="B275" s="84" t="s">
        <v>1310</v>
      </c>
      <c r="C275" t="s">
        <v>182</v>
      </c>
      <c r="D275" t="s">
        <v>2495</v>
      </c>
      <c r="F275" t="s">
        <v>1310</v>
      </c>
      <c r="G275" t="s">
        <v>1609</v>
      </c>
      <c r="H275" t="s">
        <v>2301</v>
      </c>
      <c r="I275" t="s">
        <v>2302</v>
      </c>
      <c r="J275" t="s">
        <v>2303</v>
      </c>
      <c r="K275" t="s">
        <v>2304</v>
      </c>
      <c r="L275" t="s">
        <v>2305</v>
      </c>
      <c r="M275" t="s">
        <v>1736</v>
      </c>
      <c r="N275" t="s">
        <v>1613</v>
      </c>
      <c r="O275" t="s">
        <v>1621</v>
      </c>
      <c r="P275" t="s">
        <v>2306</v>
      </c>
    </row>
    <row r="276" spans="1:17" x14ac:dyDescent="0.2">
      <c r="A276" s="84" t="s">
        <v>1314</v>
      </c>
      <c r="B276" s="84" t="s">
        <v>1315</v>
      </c>
      <c r="C276" t="s">
        <v>182</v>
      </c>
      <c r="D276" t="s">
        <v>2456</v>
      </c>
      <c r="F276" t="s">
        <v>1315</v>
      </c>
      <c r="G276" t="s">
        <v>1609</v>
      </c>
      <c r="H276" t="s">
        <v>1703</v>
      </c>
      <c r="I276" t="s">
        <v>1692</v>
      </c>
      <c r="J276" t="s">
        <v>1704</v>
      </c>
      <c r="K276" t="s">
        <v>2307</v>
      </c>
      <c r="L276" t="s">
        <v>1613</v>
      </c>
      <c r="M276" t="s">
        <v>1621</v>
      </c>
      <c r="N276" t="s">
        <v>1628</v>
      </c>
      <c r="O276" t="s">
        <v>2308</v>
      </c>
    </row>
    <row r="277" spans="1:17" x14ac:dyDescent="0.2">
      <c r="A277" s="84" t="s">
        <v>1317</v>
      </c>
      <c r="B277" s="84" t="s">
        <v>1318</v>
      </c>
      <c r="C277" t="s">
        <v>182</v>
      </c>
      <c r="D277" t="s">
        <v>2456</v>
      </c>
      <c r="F277" t="s">
        <v>1318</v>
      </c>
      <c r="G277" t="s">
        <v>1609</v>
      </c>
      <c r="H277" t="s">
        <v>1703</v>
      </c>
      <c r="I277" t="s">
        <v>1621</v>
      </c>
      <c r="J277" t="s">
        <v>1628</v>
      </c>
      <c r="K277" t="s">
        <v>1692</v>
      </c>
      <c r="L277" t="s">
        <v>1704</v>
      </c>
      <c r="M277" t="s">
        <v>2307</v>
      </c>
    </row>
    <row r="278" spans="1:17" x14ac:dyDescent="0.2">
      <c r="A278" s="84" t="s">
        <v>1320</v>
      </c>
      <c r="B278" s="84" t="s">
        <v>1321</v>
      </c>
      <c r="C278" t="s">
        <v>182</v>
      </c>
      <c r="D278" t="s">
        <v>2467</v>
      </c>
      <c r="F278" t="s">
        <v>1321</v>
      </c>
      <c r="G278" t="s">
        <v>1609</v>
      </c>
      <c r="H278" t="s">
        <v>2309</v>
      </c>
      <c r="I278" t="s">
        <v>1723</v>
      </c>
      <c r="J278" t="s">
        <v>1693</v>
      </c>
      <c r="K278" t="s">
        <v>1621</v>
      </c>
      <c r="L278" t="s">
        <v>2310</v>
      </c>
      <c r="M278" t="s">
        <v>1613</v>
      </c>
      <c r="N278" t="s">
        <v>1621</v>
      </c>
      <c r="O278" t="s">
        <v>2225</v>
      </c>
    </row>
    <row r="279" spans="1:17" x14ac:dyDescent="0.2">
      <c r="A279" s="84" t="s">
        <v>1323</v>
      </c>
      <c r="B279" s="84" t="s">
        <v>1324</v>
      </c>
      <c r="C279" t="s">
        <v>2452</v>
      </c>
      <c r="F279" t="s">
        <v>1324</v>
      </c>
      <c r="G279" t="s">
        <v>1609</v>
      </c>
      <c r="H279" t="s">
        <v>1616</v>
      </c>
      <c r="I279" t="s">
        <v>2032</v>
      </c>
      <c r="J279" t="s">
        <v>2311</v>
      </c>
      <c r="K279" t="s">
        <v>1614</v>
      </c>
    </row>
    <row r="280" spans="1:17" x14ac:dyDescent="0.2">
      <c r="A280" s="84" t="s">
        <v>1326</v>
      </c>
      <c r="B280" s="84" t="s">
        <v>1327</v>
      </c>
      <c r="C280" t="s">
        <v>182</v>
      </c>
      <c r="F280" t="s">
        <v>1327</v>
      </c>
      <c r="G280" t="s">
        <v>1609</v>
      </c>
      <c r="H280" t="s">
        <v>1616</v>
      </c>
      <c r="I280" t="s">
        <v>2312</v>
      </c>
      <c r="J280" t="s">
        <v>1736</v>
      </c>
      <c r="K280" t="s">
        <v>1621</v>
      </c>
    </row>
    <row r="281" spans="1:17" x14ac:dyDescent="0.2">
      <c r="A281" s="84" t="s">
        <v>1329</v>
      </c>
      <c r="B281" s="84" t="s">
        <v>1330</v>
      </c>
      <c r="C281" t="s">
        <v>182</v>
      </c>
      <c r="D281" t="s">
        <v>2461</v>
      </c>
      <c r="F281" t="s">
        <v>1330</v>
      </c>
      <c r="G281" t="s">
        <v>1609</v>
      </c>
      <c r="H281" t="s">
        <v>2269</v>
      </c>
      <c r="I281" t="s">
        <v>2270</v>
      </c>
      <c r="J281" t="s">
        <v>2313</v>
      </c>
      <c r="K281" t="s">
        <v>1621</v>
      </c>
      <c r="L281" t="s">
        <v>1652</v>
      </c>
      <c r="M281" t="s">
        <v>2192</v>
      </c>
    </row>
    <row r="282" spans="1:17" x14ac:dyDescent="0.2">
      <c r="A282" s="84" t="s">
        <v>1332</v>
      </c>
      <c r="B282" s="84" t="s">
        <v>1333</v>
      </c>
      <c r="C282" t="s">
        <v>182</v>
      </c>
      <c r="D282" t="s">
        <v>2461</v>
      </c>
      <c r="F282" t="s">
        <v>1333</v>
      </c>
      <c r="G282" t="s">
        <v>1609</v>
      </c>
      <c r="H282" t="s">
        <v>1616</v>
      </c>
      <c r="I282" t="s">
        <v>1849</v>
      </c>
      <c r="J282" t="s">
        <v>2314</v>
      </c>
      <c r="K282" t="s">
        <v>1621</v>
      </c>
      <c r="L282" t="s">
        <v>1832</v>
      </c>
    </row>
    <row r="283" spans="1:17" x14ac:dyDescent="0.2">
      <c r="A283" s="84" t="s">
        <v>1337</v>
      </c>
      <c r="B283" s="84" t="s">
        <v>1338</v>
      </c>
      <c r="C283" t="s">
        <v>2452</v>
      </c>
      <c r="D283" t="s">
        <v>2460</v>
      </c>
      <c r="F283" t="s">
        <v>2549</v>
      </c>
      <c r="G283" t="s">
        <v>1609</v>
      </c>
      <c r="H283" t="s">
        <v>1759</v>
      </c>
      <c r="I283" t="s">
        <v>1633</v>
      </c>
      <c r="J283" t="s">
        <v>2315</v>
      </c>
      <c r="K283" t="s">
        <v>2316</v>
      </c>
      <c r="L283" t="s">
        <v>2317</v>
      </c>
      <c r="M283" t="s">
        <v>1614</v>
      </c>
      <c r="N283" t="s">
        <v>1647</v>
      </c>
    </row>
    <row r="284" spans="1:17" x14ac:dyDescent="0.2">
      <c r="A284" s="84" t="s">
        <v>1342</v>
      </c>
      <c r="B284" s="84" t="s">
        <v>1343</v>
      </c>
      <c r="C284" t="s">
        <v>182</v>
      </c>
      <c r="D284" t="s">
        <v>2470</v>
      </c>
      <c r="F284" t="s">
        <v>1343</v>
      </c>
      <c r="G284" t="s">
        <v>1609</v>
      </c>
      <c r="H284" t="s">
        <v>1809</v>
      </c>
      <c r="I284" t="s">
        <v>2145</v>
      </c>
      <c r="J284" t="s">
        <v>2150</v>
      </c>
      <c r="K284" t="s">
        <v>2318</v>
      </c>
      <c r="L284" t="s">
        <v>1613</v>
      </c>
      <c r="M284" t="s">
        <v>1621</v>
      </c>
      <c r="N284" t="s">
        <v>1721</v>
      </c>
    </row>
    <row r="285" spans="1:17" x14ac:dyDescent="0.2">
      <c r="A285" s="84" t="s">
        <v>1345</v>
      </c>
      <c r="B285" s="84" t="s">
        <v>1346</v>
      </c>
      <c r="C285" t="s">
        <v>2452</v>
      </c>
      <c r="D285" t="s">
        <v>2460</v>
      </c>
      <c r="F285" t="s">
        <v>2550</v>
      </c>
      <c r="G285" t="s">
        <v>1609</v>
      </c>
      <c r="H285" t="s">
        <v>1759</v>
      </c>
      <c r="I285" t="s">
        <v>1633</v>
      </c>
      <c r="J285" t="s">
        <v>2319</v>
      </c>
      <c r="K285" t="s">
        <v>2320</v>
      </c>
      <c r="L285" t="s">
        <v>1656</v>
      </c>
      <c r="M285" t="s">
        <v>1613</v>
      </c>
      <c r="N285" t="s">
        <v>1614</v>
      </c>
      <c r="O285" t="s">
        <v>1647</v>
      </c>
    </row>
    <row r="286" spans="1:17" x14ac:dyDescent="0.2">
      <c r="A286" s="84" t="s">
        <v>1348</v>
      </c>
      <c r="B286" s="84" t="s">
        <v>1349</v>
      </c>
      <c r="C286" t="s">
        <v>182</v>
      </c>
      <c r="D286" t="s">
        <v>2479</v>
      </c>
      <c r="F286" t="s">
        <v>1349</v>
      </c>
      <c r="G286" t="s">
        <v>1609</v>
      </c>
      <c r="H286" t="s">
        <v>1648</v>
      </c>
      <c r="I286" t="s">
        <v>1757</v>
      </c>
      <c r="J286" t="s">
        <v>1621</v>
      </c>
      <c r="K286" t="s">
        <v>2321</v>
      </c>
      <c r="L286" t="s">
        <v>2322</v>
      </c>
      <c r="M286" t="s">
        <v>2323</v>
      </c>
      <c r="N286" t="s">
        <v>2324</v>
      </c>
    </row>
    <row r="287" spans="1:17" x14ac:dyDescent="0.2">
      <c r="A287" s="84" t="s">
        <v>1351</v>
      </c>
      <c r="B287" s="84" t="s">
        <v>1352</v>
      </c>
      <c r="C287" t="s">
        <v>2452</v>
      </c>
      <c r="D287" t="s">
        <v>2465</v>
      </c>
      <c r="F287" t="s">
        <v>1352</v>
      </c>
      <c r="G287" t="s">
        <v>1609</v>
      </c>
      <c r="H287" t="s">
        <v>1616</v>
      </c>
      <c r="I287" t="s">
        <v>1617</v>
      </c>
      <c r="J287" t="s">
        <v>2325</v>
      </c>
      <c r="K287" t="s">
        <v>1752</v>
      </c>
      <c r="L287" t="s">
        <v>2326</v>
      </c>
      <c r="M287" t="s">
        <v>1613</v>
      </c>
      <c r="N287" t="s">
        <v>1614</v>
      </c>
      <c r="O287" t="s">
        <v>1670</v>
      </c>
    </row>
    <row r="288" spans="1:17" x14ac:dyDescent="0.2">
      <c r="A288" s="84" t="s">
        <v>1354</v>
      </c>
      <c r="B288" s="84" t="s">
        <v>1355</v>
      </c>
      <c r="C288" t="s">
        <v>2452</v>
      </c>
      <c r="D288" t="s">
        <v>2465</v>
      </c>
      <c r="F288" t="s">
        <v>1355</v>
      </c>
      <c r="G288" t="s">
        <v>1609</v>
      </c>
      <c r="H288" t="s">
        <v>1616</v>
      </c>
      <c r="I288" t="s">
        <v>1617</v>
      </c>
      <c r="J288" t="s">
        <v>2327</v>
      </c>
      <c r="K288" t="s">
        <v>2328</v>
      </c>
      <c r="L288" t="s">
        <v>1790</v>
      </c>
      <c r="M288" t="s">
        <v>2329</v>
      </c>
      <c r="N288" t="s">
        <v>1631</v>
      </c>
      <c r="O288" t="s">
        <v>1613</v>
      </c>
      <c r="P288" t="s">
        <v>1614</v>
      </c>
      <c r="Q288" t="s">
        <v>1670</v>
      </c>
    </row>
    <row r="289" spans="1:17" x14ac:dyDescent="0.2">
      <c r="A289" s="84" t="s">
        <v>1357</v>
      </c>
      <c r="B289" s="84" t="s">
        <v>1358</v>
      </c>
      <c r="C289" t="s">
        <v>2452</v>
      </c>
      <c r="F289" t="s">
        <v>1358</v>
      </c>
      <c r="G289" t="s">
        <v>1609</v>
      </c>
      <c r="H289" t="s">
        <v>1616</v>
      </c>
      <c r="I289" t="s">
        <v>2330</v>
      </c>
      <c r="J289" t="s">
        <v>2331</v>
      </c>
      <c r="K289" t="s">
        <v>2332</v>
      </c>
      <c r="L289" t="s">
        <v>1614</v>
      </c>
    </row>
    <row r="290" spans="1:17" x14ac:dyDescent="0.2">
      <c r="A290" s="84" t="s">
        <v>1360</v>
      </c>
      <c r="B290" s="84" t="s">
        <v>1361</v>
      </c>
      <c r="C290" t="s">
        <v>2452</v>
      </c>
      <c r="D290" t="s">
        <v>2473</v>
      </c>
      <c r="F290" t="s">
        <v>1361</v>
      </c>
      <c r="G290" t="s">
        <v>1609</v>
      </c>
      <c r="H290" t="s">
        <v>2186</v>
      </c>
      <c r="I290" t="s">
        <v>122</v>
      </c>
      <c r="J290" t="s">
        <v>1611</v>
      </c>
      <c r="K290" t="s">
        <v>1613</v>
      </c>
      <c r="L290" t="s">
        <v>1614</v>
      </c>
      <c r="M290" t="s">
        <v>1737</v>
      </c>
      <c r="N290" t="s">
        <v>2333</v>
      </c>
    </row>
    <row r="291" spans="1:17" x14ac:dyDescent="0.2">
      <c r="A291" s="84" t="s">
        <v>1365</v>
      </c>
      <c r="B291" s="84" t="s">
        <v>1366</v>
      </c>
      <c r="C291" t="s">
        <v>2452</v>
      </c>
      <c r="D291" t="s">
        <v>2457</v>
      </c>
      <c r="F291" t="s">
        <v>1366</v>
      </c>
      <c r="G291" t="s">
        <v>1609</v>
      </c>
      <c r="H291" t="s">
        <v>2334</v>
      </c>
      <c r="I291" t="s">
        <v>2335</v>
      </c>
      <c r="J291" t="s">
        <v>2336</v>
      </c>
      <c r="K291" t="s">
        <v>1632</v>
      </c>
      <c r="L291" t="s">
        <v>1614</v>
      </c>
      <c r="M291" t="s">
        <v>1630</v>
      </c>
      <c r="N291" t="s">
        <v>2033</v>
      </c>
      <c r="O291" t="s">
        <v>2337</v>
      </c>
    </row>
    <row r="292" spans="1:17" x14ac:dyDescent="0.2">
      <c r="A292" s="84" t="s">
        <v>1368</v>
      </c>
      <c r="B292" s="84" t="s">
        <v>1369</v>
      </c>
      <c r="C292" t="s">
        <v>182</v>
      </c>
      <c r="D292" t="s">
        <v>2468</v>
      </c>
      <c r="F292" t="s">
        <v>1369</v>
      </c>
      <c r="G292" t="s">
        <v>1609</v>
      </c>
      <c r="H292" t="s">
        <v>1672</v>
      </c>
      <c r="I292" t="s">
        <v>1835</v>
      </c>
      <c r="J292" t="s">
        <v>2338</v>
      </c>
      <c r="K292" t="s">
        <v>1836</v>
      </c>
      <c r="L292" t="s">
        <v>2339</v>
      </c>
      <c r="M292" t="s">
        <v>1621</v>
      </c>
      <c r="N292" t="s">
        <v>1772</v>
      </c>
    </row>
    <row r="293" spans="1:17" x14ac:dyDescent="0.2">
      <c r="A293" s="84" t="s">
        <v>1371</v>
      </c>
      <c r="B293" s="84" t="s">
        <v>1372</v>
      </c>
      <c r="C293" t="s">
        <v>182</v>
      </c>
      <c r="D293" t="s">
        <v>2468</v>
      </c>
      <c r="F293" t="s">
        <v>2551</v>
      </c>
      <c r="G293" t="s">
        <v>1609</v>
      </c>
      <c r="H293" t="s">
        <v>1672</v>
      </c>
      <c r="I293" t="s">
        <v>1835</v>
      </c>
      <c r="J293" t="s">
        <v>2338</v>
      </c>
      <c r="K293" t="s">
        <v>1836</v>
      </c>
      <c r="L293" t="s">
        <v>2339</v>
      </c>
      <c r="M293" t="s">
        <v>2340</v>
      </c>
      <c r="N293" t="s">
        <v>1621</v>
      </c>
      <c r="O293" t="s">
        <v>1772</v>
      </c>
    </row>
    <row r="294" spans="1:17" x14ac:dyDescent="0.2">
      <c r="A294" s="84" t="s">
        <v>1374</v>
      </c>
      <c r="B294" s="84" t="s">
        <v>1375</v>
      </c>
      <c r="C294" t="s">
        <v>182</v>
      </c>
      <c r="D294" t="s">
        <v>2454</v>
      </c>
      <c r="F294" t="s">
        <v>1375</v>
      </c>
      <c r="G294" t="s">
        <v>1609</v>
      </c>
      <c r="H294" t="s">
        <v>2341</v>
      </c>
      <c r="I294" t="s">
        <v>1767</v>
      </c>
      <c r="J294" t="s">
        <v>1617</v>
      </c>
      <c r="K294" t="s">
        <v>2342</v>
      </c>
      <c r="L294" t="s">
        <v>122</v>
      </c>
      <c r="M294" t="s">
        <v>1613</v>
      </c>
      <c r="N294" t="s">
        <v>1621</v>
      </c>
      <c r="O294" t="s">
        <v>1615</v>
      </c>
    </row>
    <row r="295" spans="1:17" x14ac:dyDescent="0.2">
      <c r="A295" s="84" t="s">
        <v>1381</v>
      </c>
      <c r="B295" s="84" t="s">
        <v>1382</v>
      </c>
      <c r="C295" t="s">
        <v>2452</v>
      </c>
      <c r="D295" t="s">
        <v>2468</v>
      </c>
      <c r="F295" t="s">
        <v>1382</v>
      </c>
      <c r="G295" t="s">
        <v>1609</v>
      </c>
      <c r="H295" t="s">
        <v>1635</v>
      </c>
      <c r="I295" t="s">
        <v>1636</v>
      </c>
      <c r="J295" t="s">
        <v>1784</v>
      </c>
      <c r="K295" t="s">
        <v>1644</v>
      </c>
      <c r="L295" t="s">
        <v>1613</v>
      </c>
      <c r="M295" t="s">
        <v>1614</v>
      </c>
      <c r="N295" t="s">
        <v>1772</v>
      </c>
    </row>
    <row r="296" spans="1:17" x14ac:dyDescent="0.2">
      <c r="A296" s="84" t="s">
        <v>1386</v>
      </c>
      <c r="B296" s="84" t="s">
        <v>1387</v>
      </c>
      <c r="C296" t="s">
        <v>182</v>
      </c>
      <c r="D296" t="s">
        <v>2463</v>
      </c>
      <c r="F296" t="s">
        <v>1387</v>
      </c>
      <c r="G296" t="s">
        <v>1609</v>
      </c>
      <c r="H296" t="s">
        <v>1803</v>
      </c>
      <c r="I296" t="s">
        <v>2035</v>
      </c>
      <c r="J296" t="s">
        <v>2343</v>
      </c>
      <c r="K296" t="s">
        <v>2344</v>
      </c>
      <c r="L296" t="s">
        <v>2345</v>
      </c>
      <c r="M296" t="s">
        <v>1613</v>
      </c>
      <c r="N296" t="s">
        <v>1621</v>
      </c>
      <c r="O296" t="s">
        <v>1664</v>
      </c>
      <c r="P296" t="s">
        <v>2346</v>
      </c>
    </row>
    <row r="297" spans="1:17" x14ac:dyDescent="0.2">
      <c r="A297" s="84" t="s">
        <v>1389</v>
      </c>
      <c r="B297" s="84" t="s">
        <v>1390</v>
      </c>
      <c r="C297" t="s">
        <v>182</v>
      </c>
      <c r="D297" t="s">
        <v>2472</v>
      </c>
      <c r="F297" t="s">
        <v>2552</v>
      </c>
      <c r="G297" t="s">
        <v>1609</v>
      </c>
      <c r="H297" t="s">
        <v>1616</v>
      </c>
      <c r="I297" t="s">
        <v>1938</v>
      </c>
      <c r="J297" t="s">
        <v>2041</v>
      </c>
      <c r="K297" t="s">
        <v>1884</v>
      </c>
      <c r="L297" t="s">
        <v>2347</v>
      </c>
      <c r="M297" t="s">
        <v>2348</v>
      </c>
      <c r="N297" t="s">
        <v>1613</v>
      </c>
      <c r="O297" t="s">
        <v>1621</v>
      </c>
      <c r="P297" t="s">
        <v>1734</v>
      </c>
    </row>
    <row r="298" spans="1:17" x14ac:dyDescent="0.2">
      <c r="A298" s="84" t="s">
        <v>1394</v>
      </c>
      <c r="B298" s="84" t="s">
        <v>1395</v>
      </c>
      <c r="C298" t="s">
        <v>182</v>
      </c>
      <c r="D298" t="s">
        <v>2462</v>
      </c>
      <c r="F298" t="s">
        <v>2553</v>
      </c>
      <c r="G298" t="s">
        <v>1609</v>
      </c>
      <c r="H298" t="s">
        <v>2073</v>
      </c>
      <c r="I298" t="s">
        <v>2349</v>
      </c>
      <c r="J298" t="s">
        <v>2350</v>
      </c>
      <c r="K298" t="s">
        <v>1613</v>
      </c>
      <c r="L298" t="s">
        <v>1621</v>
      </c>
      <c r="M298" t="s">
        <v>1658</v>
      </c>
      <c r="N298" t="s">
        <v>2351</v>
      </c>
    </row>
    <row r="299" spans="1:17" x14ac:dyDescent="0.2">
      <c r="A299" s="84" t="s">
        <v>1397</v>
      </c>
      <c r="B299" s="84" t="s">
        <v>1398</v>
      </c>
      <c r="C299" t="s">
        <v>182</v>
      </c>
      <c r="D299" t="s">
        <v>2470</v>
      </c>
      <c r="F299" t="s">
        <v>1398</v>
      </c>
      <c r="G299" t="s">
        <v>1609</v>
      </c>
      <c r="H299" t="s">
        <v>1803</v>
      </c>
      <c r="I299" t="s">
        <v>2352</v>
      </c>
      <c r="J299" t="s">
        <v>1759</v>
      </c>
      <c r="K299" t="s">
        <v>2024</v>
      </c>
      <c r="L299" t="s">
        <v>2353</v>
      </c>
      <c r="M299" t="s">
        <v>2033</v>
      </c>
      <c r="N299" t="s">
        <v>1613</v>
      </c>
      <c r="O299" t="s">
        <v>1621</v>
      </c>
      <c r="P299" t="s">
        <v>1721</v>
      </c>
    </row>
    <row r="300" spans="1:17" x14ac:dyDescent="0.2">
      <c r="A300" s="84" t="s">
        <v>1400</v>
      </c>
      <c r="B300" s="84" t="s">
        <v>1401</v>
      </c>
      <c r="C300" t="s">
        <v>182</v>
      </c>
      <c r="D300" t="s">
        <v>2470</v>
      </c>
      <c r="F300" t="s">
        <v>2554</v>
      </c>
      <c r="G300" t="s">
        <v>1609</v>
      </c>
      <c r="H300" t="s">
        <v>1616</v>
      </c>
      <c r="I300" t="s">
        <v>1617</v>
      </c>
      <c r="J300" t="s">
        <v>1767</v>
      </c>
      <c r="K300" t="s">
        <v>2354</v>
      </c>
      <c r="L300" t="s">
        <v>2355</v>
      </c>
      <c r="M300" t="s">
        <v>1781</v>
      </c>
      <c r="N300" t="s">
        <v>1613</v>
      </c>
      <c r="O300" t="s">
        <v>1621</v>
      </c>
      <c r="P300" t="s">
        <v>1721</v>
      </c>
      <c r="Q300" t="s">
        <v>2356</v>
      </c>
    </row>
    <row r="301" spans="1:17" x14ac:dyDescent="0.2">
      <c r="A301" s="84" t="s">
        <v>1403</v>
      </c>
      <c r="B301" s="84" t="s">
        <v>1404</v>
      </c>
      <c r="C301" t="s">
        <v>2452</v>
      </c>
      <c r="F301" t="s">
        <v>1404</v>
      </c>
      <c r="G301" t="s">
        <v>1609</v>
      </c>
      <c r="H301" t="s">
        <v>1616</v>
      </c>
      <c r="I301" t="s">
        <v>1617</v>
      </c>
      <c r="J301" t="s">
        <v>1767</v>
      </c>
      <c r="K301" t="s">
        <v>2354</v>
      </c>
      <c r="L301" t="s">
        <v>2355</v>
      </c>
      <c r="M301" t="s">
        <v>2357</v>
      </c>
      <c r="N301" t="s">
        <v>2358</v>
      </c>
      <c r="O301" t="s">
        <v>1781</v>
      </c>
      <c r="P301" t="s">
        <v>1614</v>
      </c>
    </row>
    <row r="302" spans="1:17" x14ac:dyDescent="0.2">
      <c r="A302" s="84" t="s">
        <v>1406</v>
      </c>
      <c r="B302" s="84" t="s">
        <v>1407</v>
      </c>
      <c r="C302" t="s">
        <v>182</v>
      </c>
      <c r="D302" t="s">
        <v>2472</v>
      </c>
      <c r="F302" t="s">
        <v>1407</v>
      </c>
      <c r="G302" t="s">
        <v>1609</v>
      </c>
      <c r="H302" t="s">
        <v>1635</v>
      </c>
      <c r="I302" t="s">
        <v>2359</v>
      </c>
      <c r="J302" t="s">
        <v>2360</v>
      </c>
      <c r="K302" t="s">
        <v>1996</v>
      </c>
      <c r="L302" t="s">
        <v>1613</v>
      </c>
      <c r="M302" t="s">
        <v>1621</v>
      </c>
      <c r="N302" t="s">
        <v>1734</v>
      </c>
    </row>
    <row r="303" spans="1:17" x14ac:dyDescent="0.2">
      <c r="A303" s="84" t="s">
        <v>1409</v>
      </c>
      <c r="B303" s="84" t="s">
        <v>1410</v>
      </c>
      <c r="C303" t="s">
        <v>182</v>
      </c>
      <c r="D303" t="s">
        <v>2485</v>
      </c>
      <c r="F303" t="s">
        <v>1410</v>
      </c>
      <c r="G303" t="s">
        <v>1609</v>
      </c>
      <c r="H303" t="s">
        <v>1803</v>
      </c>
      <c r="I303" t="s">
        <v>2035</v>
      </c>
      <c r="J303" t="s">
        <v>2361</v>
      </c>
      <c r="K303" t="s">
        <v>1805</v>
      </c>
      <c r="L303" t="s">
        <v>2362</v>
      </c>
      <c r="M303" t="s">
        <v>1768</v>
      </c>
      <c r="N303" t="s">
        <v>2363</v>
      </c>
      <c r="O303" t="s">
        <v>1613</v>
      </c>
      <c r="P303" t="s">
        <v>1621</v>
      </c>
      <c r="Q303" t="s">
        <v>1927</v>
      </c>
    </row>
    <row r="304" spans="1:17" x14ac:dyDescent="0.2">
      <c r="A304" s="84" t="s">
        <v>1412</v>
      </c>
      <c r="B304" s="84" t="s">
        <v>1413</v>
      </c>
      <c r="C304" t="s">
        <v>182</v>
      </c>
      <c r="D304" t="s">
        <v>2486</v>
      </c>
      <c r="F304" t="s">
        <v>2555</v>
      </c>
      <c r="G304" t="s">
        <v>1609</v>
      </c>
      <c r="H304" t="s">
        <v>1803</v>
      </c>
      <c r="I304" t="s">
        <v>2035</v>
      </c>
      <c r="J304" t="s">
        <v>2361</v>
      </c>
      <c r="K304" t="s">
        <v>1768</v>
      </c>
      <c r="L304" t="s">
        <v>2364</v>
      </c>
      <c r="M304" t="s">
        <v>2365</v>
      </c>
      <c r="N304" t="s">
        <v>1621</v>
      </c>
      <c r="O304" t="s">
        <v>1993</v>
      </c>
      <c r="P304" t="s">
        <v>2366</v>
      </c>
    </row>
    <row r="305" spans="1:17" x14ac:dyDescent="0.2">
      <c r="A305" s="84" t="s">
        <v>1415</v>
      </c>
      <c r="B305" s="84" t="s">
        <v>1416</v>
      </c>
      <c r="D305" t="s">
        <v>2486</v>
      </c>
      <c r="F305" t="s">
        <v>2556</v>
      </c>
      <c r="G305" t="s">
        <v>1609</v>
      </c>
      <c r="H305" t="s">
        <v>1803</v>
      </c>
      <c r="I305" t="s">
        <v>2035</v>
      </c>
      <c r="J305" t="s">
        <v>1805</v>
      </c>
      <c r="K305" t="s">
        <v>1993</v>
      </c>
      <c r="L305" t="s">
        <v>1752</v>
      </c>
      <c r="M305" t="s">
        <v>2039</v>
      </c>
      <c r="N305" t="s">
        <v>2367</v>
      </c>
    </row>
    <row r="306" spans="1:17" x14ac:dyDescent="0.2">
      <c r="A306" s="84" t="s">
        <v>1418</v>
      </c>
      <c r="B306" s="84" t="s">
        <v>1419</v>
      </c>
      <c r="D306" t="s">
        <v>2463</v>
      </c>
      <c r="F306" t="s">
        <v>1419</v>
      </c>
      <c r="G306" t="s">
        <v>1609</v>
      </c>
      <c r="H306" t="s">
        <v>1803</v>
      </c>
      <c r="I306" t="s">
        <v>2035</v>
      </c>
      <c r="J306" t="s">
        <v>2361</v>
      </c>
      <c r="K306" t="s">
        <v>1805</v>
      </c>
      <c r="L306" t="s">
        <v>1664</v>
      </c>
      <c r="M306" t="s">
        <v>2362</v>
      </c>
      <c r="N306" t="s">
        <v>1768</v>
      </c>
      <c r="O306" t="s">
        <v>2363</v>
      </c>
    </row>
    <row r="307" spans="1:17" x14ac:dyDescent="0.2">
      <c r="A307" s="84" t="s">
        <v>1425</v>
      </c>
      <c r="B307" s="84" t="s">
        <v>1426</v>
      </c>
      <c r="C307" t="s">
        <v>2452</v>
      </c>
      <c r="D307" t="s">
        <v>2473</v>
      </c>
      <c r="F307" t="s">
        <v>1426</v>
      </c>
      <c r="G307" t="s">
        <v>1609</v>
      </c>
      <c r="H307" t="s">
        <v>2186</v>
      </c>
      <c r="I307" t="s">
        <v>122</v>
      </c>
      <c r="J307" t="s">
        <v>1611</v>
      </c>
      <c r="K307" t="s">
        <v>1613</v>
      </c>
      <c r="L307" t="s">
        <v>1614</v>
      </c>
      <c r="M307" t="s">
        <v>1737</v>
      </c>
    </row>
    <row r="308" spans="1:17" x14ac:dyDescent="0.2">
      <c r="A308" s="84" t="s">
        <v>1430</v>
      </c>
      <c r="B308" s="84" t="s">
        <v>1431</v>
      </c>
      <c r="D308" t="s">
        <v>2461</v>
      </c>
      <c r="F308" t="s">
        <v>1431</v>
      </c>
      <c r="G308" t="s">
        <v>1609</v>
      </c>
      <c r="H308" t="s">
        <v>1803</v>
      </c>
      <c r="I308" t="s">
        <v>2343</v>
      </c>
      <c r="J308" t="s">
        <v>2344</v>
      </c>
      <c r="K308" t="s">
        <v>1652</v>
      </c>
      <c r="L308" t="s">
        <v>2368</v>
      </c>
      <c r="M308" t="s">
        <v>2369</v>
      </c>
      <c r="N308" t="s">
        <v>1613</v>
      </c>
    </row>
    <row r="309" spans="1:17" x14ac:dyDescent="0.2">
      <c r="A309" s="84" t="s">
        <v>1435</v>
      </c>
      <c r="B309" s="84" t="s">
        <v>1436</v>
      </c>
      <c r="C309" t="s">
        <v>182</v>
      </c>
      <c r="D309" t="s">
        <v>2461</v>
      </c>
      <c r="F309" t="s">
        <v>1436</v>
      </c>
      <c r="G309" t="s">
        <v>1609</v>
      </c>
      <c r="H309" t="s">
        <v>1803</v>
      </c>
      <c r="I309" t="s">
        <v>2343</v>
      </c>
      <c r="J309" t="s">
        <v>1621</v>
      </c>
      <c r="K309" t="s">
        <v>1652</v>
      </c>
      <c r="L309" t="s">
        <v>2367</v>
      </c>
    </row>
    <row r="310" spans="1:17" x14ac:dyDescent="0.2">
      <c r="A310" s="84" t="s">
        <v>1438</v>
      </c>
      <c r="B310" s="84" t="s">
        <v>1439</v>
      </c>
      <c r="C310" t="s">
        <v>182</v>
      </c>
      <c r="D310" t="s">
        <v>2461</v>
      </c>
      <c r="F310" t="s">
        <v>1439</v>
      </c>
      <c r="G310" t="s">
        <v>1609</v>
      </c>
      <c r="H310" t="s">
        <v>1759</v>
      </c>
      <c r="I310" t="s">
        <v>2127</v>
      </c>
      <c r="J310" t="s">
        <v>2370</v>
      </c>
      <c r="K310" t="s">
        <v>2371</v>
      </c>
      <c r="L310" t="s">
        <v>1621</v>
      </c>
      <c r="M310" t="s">
        <v>1832</v>
      </c>
      <c r="N310" t="s">
        <v>2372</v>
      </c>
    </row>
    <row r="311" spans="1:17" x14ac:dyDescent="0.2">
      <c r="A311" s="84" t="s">
        <v>1443</v>
      </c>
      <c r="B311" s="84" t="s">
        <v>1444</v>
      </c>
      <c r="C311" t="s">
        <v>2452</v>
      </c>
      <c r="D311" t="s">
        <v>2485</v>
      </c>
      <c r="F311" t="s">
        <v>1444</v>
      </c>
      <c r="G311" t="s">
        <v>1609</v>
      </c>
      <c r="H311" t="s">
        <v>1759</v>
      </c>
      <c r="I311" t="s">
        <v>1760</v>
      </c>
      <c r="J311" t="s">
        <v>1981</v>
      </c>
      <c r="K311" t="s">
        <v>1613</v>
      </c>
      <c r="L311" t="s">
        <v>1614</v>
      </c>
      <c r="M311" t="s">
        <v>1927</v>
      </c>
    </row>
    <row r="312" spans="1:17" x14ac:dyDescent="0.2">
      <c r="A312" s="84" t="s">
        <v>1446</v>
      </c>
      <c r="B312" s="84" t="s">
        <v>1447</v>
      </c>
      <c r="C312" t="s">
        <v>182</v>
      </c>
      <c r="D312" t="s">
        <v>2454</v>
      </c>
      <c r="F312" t="s">
        <v>1447</v>
      </c>
      <c r="G312" t="s">
        <v>1609</v>
      </c>
      <c r="H312" t="s">
        <v>1819</v>
      </c>
      <c r="I312" t="s">
        <v>2061</v>
      </c>
      <c r="J312" t="s">
        <v>2373</v>
      </c>
      <c r="K312" t="s">
        <v>2374</v>
      </c>
      <c r="L312" t="s">
        <v>2375</v>
      </c>
      <c r="M312" t="s">
        <v>2376</v>
      </c>
      <c r="N312" t="s">
        <v>1613</v>
      </c>
      <c r="O312" t="s">
        <v>1621</v>
      </c>
      <c r="P312" t="s">
        <v>1615</v>
      </c>
    </row>
    <row r="313" spans="1:17" x14ac:dyDescent="0.2">
      <c r="A313" s="84" t="s">
        <v>1449</v>
      </c>
      <c r="B313" s="84" t="s">
        <v>1450</v>
      </c>
      <c r="C313" t="s">
        <v>182</v>
      </c>
      <c r="D313" t="s">
        <v>2454</v>
      </c>
      <c r="F313" t="s">
        <v>1450</v>
      </c>
      <c r="G313" t="s">
        <v>1609</v>
      </c>
      <c r="H313" t="s">
        <v>1819</v>
      </c>
      <c r="I313" t="s">
        <v>2061</v>
      </c>
      <c r="J313" t="s">
        <v>2373</v>
      </c>
      <c r="K313" t="s">
        <v>2374</v>
      </c>
      <c r="L313" t="s">
        <v>2375</v>
      </c>
      <c r="M313" t="s">
        <v>2377</v>
      </c>
      <c r="N313" t="s">
        <v>1716</v>
      </c>
      <c r="O313" t="s">
        <v>1621</v>
      </c>
      <c r="P313" t="s">
        <v>1615</v>
      </c>
    </row>
    <row r="314" spans="1:17" x14ac:dyDescent="0.2">
      <c r="A314" s="84" t="s">
        <v>1452</v>
      </c>
      <c r="B314" s="84" t="s">
        <v>1453</v>
      </c>
      <c r="C314" t="s">
        <v>182</v>
      </c>
      <c r="D314" t="s">
        <v>2478</v>
      </c>
      <c r="F314" t="s">
        <v>1453</v>
      </c>
      <c r="G314" t="s">
        <v>1609</v>
      </c>
      <c r="H314" t="s">
        <v>1819</v>
      </c>
      <c r="I314" t="s">
        <v>2378</v>
      </c>
      <c r="J314" t="s">
        <v>1613</v>
      </c>
      <c r="K314" t="s">
        <v>1621</v>
      </c>
      <c r="L314" t="s">
        <v>1859</v>
      </c>
      <c r="M314" t="s">
        <v>2379</v>
      </c>
    </row>
    <row r="315" spans="1:17" x14ac:dyDescent="0.2">
      <c r="A315" s="84" t="s">
        <v>1455</v>
      </c>
      <c r="B315" s="84" t="s">
        <v>1456</v>
      </c>
      <c r="C315" t="s">
        <v>182</v>
      </c>
      <c r="D315" t="s">
        <v>2462</v>
      </c>
      <c r="F315" t="s">
        <v>1456</v>
      </c>
      <c r="G315" t="s">
        <v>1609</v>
      </c>
      <c r="H315" t="s">
        <v>2380</v>
      </c>
      <c r="I315" t="s">
        <v>1616</v>
      </c>
      <c r="J315" t="s">
        <v>2381</v>
      </c>
      <c r="K315" t="s">
        <v>2382</v>
      </c>
      <c r="L315" t="s">
        <v>2383</v>
      </c>
      <c r="M315" t="s">
        <v>1621</v>
      </c>
      <c r="N315" t="s">
        <v>1658</v>
      </c>
    </row>
    <row r="316" spans="1:17" x14ac:dyDescent="0.2">
      <c r="A316" s="84" t="s">
        <v>1458</v>
      </c>
      <c r="B316" s="84" t="s">
        <v>1459</v>
      </c>
      <c r="C316" t="s">
        <v>2452</v>
      </c>
      <c r="D316" t="s">
        <v>2460</v>
      </c>
      <c r="F316" t="s">
        <v>1459</v>
      </c>
      <c r="G316" t="s">
        <v>1609</v>
      </c>
      <c r="H316" t="s">
        <v>2380</v>
      </c>
      <c r="I316" t="s">
        <v>1616</v>
      </c>
      <c r="J316" t="s">
        <v>2381</v>
      </c>
      <c r="K316" t="s">
        <v>2382</v>
      </c>
      <c r="L316" t="s">
        <v>1618</v>
      </c>
      <c r="M316" t="s">
        <v>2384</v>
      </c>
      <c r="N316" t="s">
        <v>1613</v>
      </c>
      <c r="O316" t="s">
        <v>1614</v>
      </c>
      <c r="P316" t="s">
        <v>1647</v>
      </c>
    </row>
    <row r="317" spans="1:17" x14ac:dyDescent="0.2">
      <c r="A317" s="84" t="s">
        <v>1461</v>
      </c>
      <c r="B317" s="84" t="s">
        <v>1462</v>
      </c>
      <c r="C317" t="s">
        <v>182</v>
      </c>
      <c r="D317" t="s">
        <v>2466</v>
      </c>
      <c r="F317" t="s">
        <v>1462</v>
      </c>
      <c r="G317" t="s">
        <v>1609</v>
      </c>
      <c r="H317" t="s">
        <v>2385</v>
      </c>
      <c r="I317" t="s">
        <v>1616</v>
      </c>
      <c r="J317" t="s">
        <v>2386</v>
      </c>
      <c r="K317" t="s">
        <v>2387</v>
      </c>
      <c r="L317" t="s">
        <v>2388</v>
      </c>
      <c r="M317" t="s">
        <v>1621</v>
      </c>
    </row>
    <row r="318" spans="1:17" x14ac:dyDescent="0.2">
      <c r="A318" s="84" t="s">
        <v>1464</v>
      </c>
      <c r="B318" s="84" t="s">
        <v>1465</v>
      </c>
      <c r="C318" t="s">
        <v>182</v>
      </c>
      <c r="D318" t="s">
        <v>2486</v>
      </c>
      <c r="F318" t="s">
        <v>1465</v>
      </c>
      <c r="G318" t="s">
        <v>1609</v>
      </c>
      <c r="H318" t="s">
        <v>1803</v>
      </c>
      <c r="I318" t="s">
        <v>2389</v>
      </c>
      <c r="J318" t="s">
        <v>1648</v>
      </c>
      <c r="K318" t="s">
        <v>1744</v>
      </c>
      <c r="L318" t="s">
        <v>1613</v>
      </c>
      <c r="M318" t="s">
        <v>1621</v>
      </c>
      <c r="N318" t="s">
        <v>1993</v>
      </c>
    </row>
    <row r="319" spans="1:17" x14ac:dyDescent="0.2">
      <c r="A319" s="84" t="s">
        <v>1467</v>
      </c>
      <c r="B319" s="84" t="s">
        <v>1468</v>
      </c>
      <c r="C319" t="s">
        <v>182</v>
      </c>
      <c r="D319" t="s">
        <v>2478</v>
      </c>
      <c r="F319" t="s">
        <v>1468</v>
      </c>
      <c r="G319" t="s">
        <v>1609</v>
      </c>
      <c r="H319" t="s">
        <v>1818</v>
      </c>
      <c r="I319" t="s">
        <v>1976</v>
      </c>
      <c r="J319" t="s">
        <v>1977</v>
      </c>
      <c r="K319" t="s">
        <v>2390</v>
      </c>
      <c r="L319" t="s">
        <v>2391</v>
      </c>
      <c r="M319" t="s">
        <v>1613</v>
      </c>
      <c r="N319" t="s">
        <v>1621</v>
      </c>
      <c r="O319" t="s">
        <v>1859</v>
      </c>
    </row>
    <row r="320" spans="1:17" x14ac:dyDescent="0.2">
      <c r="A320" s="84" t="s">
        <v>1472</v>
      </c>
      <c r="B320" s="84" t="s">
        <v>1473</v>
      </c>
      <c r="C320" t="s">
        <v>182</v>
      </c>
      <c r="D320" t="s">
        <v>2478</v>
      </c>
      <c r="F320" t="s">
        <v>2557</v>
      </c>
      <c r="G320" t="s">
        <v>1609</v>
      </c>
      <c r="H320" t="s">
        <v>1818</v>
      </c>
      <c r="I320" t="s">
        <v>2392</v>
      </c>
      <c r="J320" t="s">
        <v>2393</v>
      </c>
      <c r="K320" t="s">
        <v>1979</v>
      </c>
      <c r="L320" t="s">
        <v>2394</v>
      </c>
      <c r="M320" t="s">
        <v>2395</v>
      </c>
      <c r="N320" t="s">
        <v>2396</v>
      </c>
      <c r="O320" t="s">
        <v>1613</v>
      </c>
      <c r="P320" t="s">
        <v>1621</v>
      </c>
      <c r="Q320" t="s">
        <v>1859</v>
      </c>
    </row>
    <row r="321" spans="1:17" x14ac:dyDescent="0.2">
      <c r="A321" s="84" t="s">
        <v>1477</v>
      </c>
      <c r="B321" s="84" t="s">
        <v>1478</v>
      </c>
      <c r="F321" t="s">
        <v>2558</v>
      </c>
      <c r="G321" t="s">
        <v>1609</v>
      </c>
      <c r="H321" t="s">
        <v>1819</v>
      </c>
      <c r="I321" t="s">
        <v>2227</v>
      </c>
      <c r="J321" t="s">
        <v>2193</v>
      </c>
      <c r="K321" t="s">
        <v>2228</v>
      </c>
      <c r="L321" t="s">
        <v>1975</v>
      </c>
      <c r="M321" t="s">
        <v>1857</v>
      </c>
      <c r="N321" t="s">
        <v>2397</v>
      </c>
      <c r="O321" t="s">
        <v>2398</v>
      </c>
    </row>
    <row r="322" spans="1:17" x14ac:dyDescent="0.2">
      <c r="A322" s="84" t="s">
        <v>1480</v>
      </c>
      <c r="B322" s="84" t="s">
        <v>1481</v>
      </c>
      <c r="F322" t="s">
        <v>1481</v>
      </c>
      <c r="G322" t="s">
        <v>1609</v>
      </c>
      <c r="H322" t="s">
        <v>1819</v>
      </c>
      <c r="I322" t="s">
        <v>1972</v>
      </c>
      <c r="J322" t="s">
        <v>1964</v>
      </c>
      <c r="K322" t="s">
        <v>1973</v>
      </c>
      <c r="L322" t="s">
        <v>1868</v>
      </c>
      <c r="M322" t="s">
        <v>1974</v>
      </c>
      <c r="N322" t="s">
        <v>2399</v>
      </c>
    </row>
    <row r="323" spans="1:17" x14ac:dyDescent="0.2">
      <c r="A323" s="84" t="s">
        <v>1483</v>
      </c>
      <c r="B323" s="84" t="s">
        <v>1484</v>
      </c>
      <c r="C323" t="s">
        <v>182</v>
      </c>
      <c r="D323" t="s">
        <v>2267</v>
      </c>
      <c r="F323" t="s">
        <v>2559</v>
      </c>
      <c r="G323" t="s">
        <v>1609</v>
      </c>
      <c r="H323" t="s">
        <v>1818</v>
      </c>
      <c r="I323" t="s">
        <v>2392</v>
      </c>
      <c r="J323" t="s">
        <v>2393</v>
      </c>
      <c r="K323" t="s">
        <v>1819</v>
      </c>
      <c r="L323" t="s">
        <v>2378</v>
      </c>
      <c r="M323" t="s">
        <v>2400</v>
      </c>
      <c r="N323" t="s">
        <v>2401</v>
      </c>
      <c r="O323" t="s">
        <v>1613</v>
      </c>
      <c r="P323" t="s">
        <v>1621</v>
      </c>
      <c r="Q323" t="s">
        <v>1740</v>
      </c>
    </row>
    <row r="324" spans="1:17" x14ac:dyDescent="0.2">
      <c r="A324" s="84" t="s">
        <v>1488</v>
      </c>
      <c r="B324" s="84" t="s">
        <v>1489</v>
      </c>
      <c r="C324" t="s">
        <v>182</v>
      </c>
      <c r="D324" t="s">
        <v>2478</v>
      </c>
      <c r="F324" t="s">
        <v>2560</v>
      </c>
      <c r="G324" t="s">
        <v>1609</v>
      </c>
      <c r="H324" t="s">
        <v>1633</v>
      </c>
      <c r="I324" t="s">
        <v>1694</v>
      </c>
      <c r="J324" t="s">
        <v>2402</v>
      </c>
      <c r="K324" t="s">
        <v>2403</v>
      </c>
      <c r="L324" t="s">
        <v>1613</v>
      </c>
      <c r="M324" t="s">
        <v>1621</v>
      </c>
      <c r="N324" t="s">
        <v>1859</v>
      </c>
    </row>
    <row r="325" spans="1:17" x14ac:dyDescent="0.2">
      <c r="A325" s="84" t="s">
        <v>1491</v>
      </c>
      <c r="B325" s="84" t="s">
        <v>1492</v>
      </c>
      <c r="C325" t="s">
        <v>182</v>
      </c>
      <c r="D325" t="s">
        <v>2468</v>
      </c>
      <c r="F325" t="s">
        <v>1492</v>
      </c>
      <c r="G325" t="s">
        <v>1609</v>
      </c>
      <c r="H325" t="s">
        <v>2404</v>
      </c>
      <c r="I325" t="s">
        <v>1699</v>
      </c>
      <c r="J325" t="s">
        <v>1613</v>
      </c>
      <c r="K325" t="s">
        <v>1621</v>
      </c>
      <c r="L325" t="s">
        <v>1772</v>
      </c>
    </row>
    <row r="326" spans="1:17" x14ac:dyDescent="0.2">
      <c r="A326" s="84" t="s">
        <v>1494</v>
      </c>
      <c r="B326" s="84" t="s">
        <v>1495</v>
      </c>
      <c r="C326" t="s">
        <v>182</v>
      </c>
      <c r="D326" t="s">
        <v>2267</v>
      </c>
      <c r="F326" t="s">
        <v>1495</v>
      </c>
      <c r="G326" t="s">
        <v>1609</v>
      </c>
      <c r="H326" t="s">
        <v>1672</v>
      </c>
      <c r="I326" t="s">
        <v>2338</v>
      </c>
      <c r="J326" t="s">
        <v>1773</v>
      </c>
      <c r="K326" t="s">
        <v>2405</v>
      </c>
      <c r="L326" t="s">
        <v>1613</v>
      </c>
      <c r="M326" t="s">
        <v>1621</v>
      </c>
      <c r="N326" t="s">
        <v>1740</v>
      </c>
    </row>
    <row r="327" spans="1:17" x14ac:dyDescent="0.2">
      <c r="A327" s="84" t="s">
        <v>1497</v>
      </c>
      <c r="B327" s="84" t="s">
        <v>1498</v>
      </c>
      <c r="C327" t="s">
        <v>2452</v>
      </c>
      <c r="D327" t="s">
        <v>2454</v>
      </c>
      <c r="F327" t="s">
        <v>1498</v>
      </c>
      <c r="G327" t="s">
        <v>1609</v>
      </c>
      <c r="H327" t="s">
        <v>1759</v>
      </c>
      <c r="I327" t="s">
        <v>1611</v>
      </c>
      <c r="J327" t="s">
        <v>2406</v>
      </c>
      <c r="K327" t="s">
        <v>1613</v>
      </c>
      <c r="L327" t="s">
        <v>1614</v>
      </c>
      <c r="M327" t="s">
        <v>1615</v>
      </c>
    </row>
    <row r="328" spans="1:17" x14ac:dyDescent="0.2">
      <c r="A328" s="84" t="s">
        <v>1500</v>
      </c>
      <c r="B328" s="84" t="s">
        <v>1501</v>
      </c>
      <c r="C328" t="s">
        <v>182</v>
      </c>
      <c r="D328" t="s">
        <v>2474</v>
      </c>
      <c r="F328" t="s">
        <v>1501</v>
      </c>
      <c r="G328" t="s">
        <v>1609</v>
      </c>
      <c r="H328" t="s">
        <v>1648</v>
      </c>
      <c r="I328" t="s">
        <v>2407</v>
      </c>
      <c r="J328" t="s">
        <v>2408</v>
      </c>
      <c r="K328" t="s">
        <v>1716</v>
      </c>
      <c r="L328" t="s">
        <v>1621</v>
      </c>
      <c r="M328" t="s">
        <v>1750</v>
      </c>
    </row>
    <row r="329" spans="1:17" x14ac:dyDescent="0.2">
      <c r="A329" s="84" t="s">
        <v>1503</v>
      </c>
      <c r="B329" s="84" t="s">
        <v>1504</v>
      </c>
      <c r="C329" t="s">
        <v>182</v>
      </c>
      <c r="D329" t="s">
        <v>2479</v>
      </c>
      <c r="F329" t="s">
        <v>1504</v>
      </c>
      <c r="G329" t="s">
        <v>1609</v>
      </c>
      <c r="H329" t="s">
        <v>1616</v>
      </c>
      <c r="I329" t="s">
        <v>2170</v>
      </c>
      <c r="J329" t="s">
        <v>1989</v>
      </c>
      <c r="K329" t="s">
        <v>2409</v>
      </c>
      <c r="L329" t="s">
        <v>1716</v>
      </c>
      <c r="M329" t="s">
        <v>1621</v>
      </c>
      <c r="N329" t="s">
        <v>1845</v>
      </c>
    </row>
    <row r="330" spans="1:17" x14ac:dyDescent="0.2">
      <c r="A330" s="84" t="s">
        <v>1506</v>
      </c>
      <c r="B330" s="84" t="s">
        <v>1507</v>
      </c>
      <c r="C330" t="s">
        <v>182</v>
      </c>
      <c r="D330" t="s">
        <v>2477</v>
      </c>
      <c r="F330" t="s">
        <v>1507</v>
      </c>
      <c r="G330" t="s">
        <v>1609</v>
      </c>
      <c r="H330" t="s">
        <v>1616</v>
      </c>
      <c r="I330" t="s">
        <v>1738</v>
      </c>
      <c r="J330" t="s">
        <v>2410</v>
      </c>
      <c r="K330" t="s">
        <v>1613</v>
      </c>
      <c r="L330" t="s">
        <v>1621</v>
      </c>
      <c r="M330" t="s">
        <v>1802</v>
      </c>
    </row>
    <row r="331" spans="1:17" x14ac:dyDescent="0.2">
      <c r="A331" s="84" t="s">
        <v>1509</v>
      </c>
      <c r="B331" s="84" t="s">
        <v>1510</v>
      </c>
      <c r="C331" t="s">
        <v>182</v>
      </c>
      <c r="D331" t="s">
        <v>2494</v>
      </c>
      <c r="F331" t="s">
        <v>1510</v>
      </c>
      <c r="G331" t="s">
        <v>1609</v>
      </c>
      <c r="H331" t="s">
        <v>1773</v>
      </c>
      <c r="I331" t="s">
        <v>2411</v>
      </c>
      <c r="J331" t="s">
        <v>2412</v>
      </c>
      <c r="K331" t="s">
        <v>2413</v>
      </c>
      <c r="L331" t="s">
        <v>1621</v>
      </c>
      <c r="M331" t="s">
        <v>2275</v>
      </c>
    </row>
    <row r="332" spans="1:17" x14ac:dyDescent="0.2">
      <c r="A332" s="84" t="s">
        <v>1514</v>
      </c>
      <c r="B332" s="84" t="s">
        <v>1515</v>
      </c>
      <c r="C332" t="s">
        <v>182</v>
      </c>
      <c r="D332" t="s">
        <v>2485</v>
      </c>
      <c r="F332" t="s">
        <v>1515</v>
      </c>
      <c r="G332" t="s">
        <v>1609</v>
      </c>
      <c r="H332" t="s">
        <v>1809</v>
      </c>
      <c r="I332" t="s">
        <v>1718</v>
      </c>
      <c r="J332" t="s">
        <v>2414</v>
      </c>
      <c r="K332" t="s">
        <v>1716</v>
      </c>
      <c r="L332" t="s">
        <v>1621</v>
      </c>
      <c r="M332" t="s">
        <v>1927</v>
      </c>
    </row>
    <row r="333" spans="1:17" x14ac:dyDescent="0.2">
      <c r="A333" s="84" t="s">
        <v>1517</v>
      </c>
      <c r="B333" s="84" t="s">
        <v>1518</v>
      </c>
      <c r="C333" t="s">
        <v>2452</v>
      </c>
      <c r="D333" t="s">
        <v>2463</v>
      </c>
      <c r="F333" t="s">
        <v>1518</v>
      </c>
      <c r="G333" t="s">
        <v>1609</v>
      </c>
      <c r="H333" t="s">
        <v>1616</v>
      </c>
      <c r="I333" t="s">
        <v>1617</v>
      </c>
      <c r="J333" t="s">
        <v>2325</v>
      </c>
      <c r="K333" t="s">
        <v>1752</v>
      </c>
      <c r="L333" t="s">
        <v>2415</v>
      </c>
      <c r="M333" t="s">
        <v>1614</v>
      </c>
      <c r="N333" t="s">
        <v>1664</v>
      </c>
    </row>
    <row r="334" spans="1:17" x14ac:dyDescent="0.2">
      <c r="A334" s="84" t="s">
        <v>1520</v>
      </c>
      <c r="B334" s="84" t="s">
        <v>1439</v>
      </c>
      <c r="C334" t="s">
        <v>182</v>
      </c>
      <c r="D334" t="s">
        <v>2461</v>
      </c>
      <c r="F334" t="s">
        <v>1439</v>
      </c>
      <c r="G334" t="s">
        <v>1609</v>
      </c>
      <c r="H334" t="s">
        <v>1759</v>
      </c>
      <c r="I334" t="s">
        <v>2127</v>
      </c>
      <c r="J334" t="s">
        <v>2370</v>
      </c>
      <c r="K334" t="s">
        <v>2371</v>
      </c>
      <c r="L334" t="s">
        <v>1621</v>
      </c>
      <c r="M334" t="s">
        <v>1832</v>
      </c>
      <c r="N334" t="s">
        <v>2372</v>
      </c>
    </row>
    <row r="335" spans="1:17" x14ac:dyDescent="0.2">
      <c r="A335" s="84" t="s">
        <v>1522</v>
      </c>
      <c r="B335" s="84" t="s">
        <v>1523</v>
      </c>
      <c r="C335" t="s">
        <v>182</v>
      </c>
      <c r="D335" t="s">
        <v>2460</v>
      </c>
      <c r="F335" t="s">
        <v>2561</v>
      </c>
      <c r="G335" t="s">
        <v>1609</v>
      </c>
      <c r="H335" t="s">
        <v>1718</v>
      </c>
      <c r="I335" t="s">
        <v>1773</v>
      </c>
      <c r="J335" t="s">
        <v>2416</v>
      </c>
      <c r="K335" t="s">
        <v>1613</v>
      </c>
      <c r="L335" t="s">
        <v>1621</v>
      </c>
      <c r="M335" t="s">
        <v>1647</v>
      </c>
    </row>
    <row r="336" spans="1:17" x14ac:dyDescent="0.2">
      <c r="A336" s="84" t="s">
        <v>1525</v>
      </c>
      <c r="B336" s="84" t="s">
        <v>1526</v>
      </c>
      <c r="C336" t="s">
        <v>182</v>
      </c>
      <c r="D336" t="s">
        <v>2479</v>
      </c>
      <c r="F336" t="s">
        <v>1526</v>
      </c>
      <c r="G336" t="s">
        <v>1609</v>
      </c>
      <c r="H336" t="s">
        <v>1625</v>
      </c>
      <c r="I336" t="s">
        <v>1626</v>
      </c>
      <c r="J336" t="s">
        <v>1627</v>
      </c>
      <c r="K336" t="s">
        <v>1621</v>
      </c>
      <c r="L336" t="s">
        <v>1845</v>
      </c>
    </row>
    <row r="337" spans="1:17" x14ac:dyDescent="0.2">
      <c r="A337" s="84" t="s">
        <v>1528</v>
      </c>
      <c r="B337" s="84" t="s">
        <v>722</v>
      </c>
      <c r="C337" t="s">
        <v>2452</v>
      </c>
      <c r="D337" t="s">
        <v>2472</v>
      </c>
      <c r="F337" t="s">
        <v>722</v>
      </c>
      <c r="G337" t="s">
        <v>1609</v>
      </c>
      <c r="H337" t="s">
        <v>1635</v>
      </c>
      <c r="I337" t="s">
        <v>1636</v>
      </c>
      <c r="J337" t="s">
        <v>1817</v>
      </c>
      <c r="K337" t="s">
        <v>1614</v>
      </c>
      <c r="L337" t="s">
        <v>1998</v>
      </c>
      <c r="M337" t="s">
        <v>1689</v>
      </c>
    </row>
    <row r="338" spans="1:17" x14ac:dyDescent="0.2">
      <c r="A338" s="84" t="s">
        <v>1531</v>
      </c>
      <c r="B338" s="84" t="s">
        <v>1532</v>
      </c>
      <c r="C338" t="s">
        <v>2452</v>
      </c>
      <c r="D338" t="s">
        <v>2472</v>
      </c>
      <c r="F338" t="s">
        <v>2562</v>
      </c>
      <c r="G338" t="s">
        <v>1609</v>
      </c>
      <c r="H338" t="s">
        <v>1635</v>
      </c>
      <c r="I338" t="s">
        <v>1636</v>
      </c>
      <c r="J338" t="s">
        <v>1784</v>
      </c>
      <c r="K338" t="s">
        <v>1614</v>
      </c>
      <c r="L338" t="s">
        <v>1998</v>
      </c>
      <c r="M338" t="s">
        <v>2417</v>
      </c>
    </row>
    <row r="339" spans="1:17" x14ac:dyDescent="0.2">
      <c r="A339" s="84" t="s">
        <v>1534</v>
      </c>
      <c r="B339" s="84" t="s">
        <v>1535</v>
      </c>
      <c r="C339" t="s">
        <v>182</v>
      </c>
      <c r="D339" t="s">
        <v>2472</v>
      </c>
      <c r="F339" t="s">
        <v>1535</v>
      </c>
      <c r="G339" t="s">
        <v>1609</v>
      </c>
      <c r="H339" t="s">
        <v>1803</v>
      </c>
      <c r="I339" t="s">
        <v>2035</v>
      </c>
      <c r="J339" t="s">
        <v>2036</v>
      </c>
      <c r="K339" t="s">
        <v>2038</v>
      </c>
      <c r="L339" t="s">
        <v>1805</v>
      </c>
      <c r="M339" t="s">
        <v>1734</v>
      </c>
      <c r="N339" t="s">
        <v>2039</v>
      </c>
      <c r="O339" t="s">
        <v>1621</v>
      </c>
      <c r="P339" t="s">
        <v>2418</v>
      </c>
    </row>
    <row r="340" spans="1:17" x14ac:dyDescent="0.2">
      <c r="A340" s="84" t="s">
        <v>1537</v>
      </c>
      <c r="B340" s="84" t="s">
        <v>1538</v>
      </c>
      <c r="C340" t="s">
        <v>182</v>
      </c>
      <c r="F340" t="s">
        <v>1538</v>
      </c>
      <c r="G340" t="s">
        <v>1609</v>
      </c>
      <c r="H340" t="s">
        <v>1648</v>
      </c>
      <c r="I340" t="s">
        <v>2419</v>
      </c>
      <c r="J340" t="s">
        <v>2420</v>
      </c>
      <c r="K340" t="s">
        <v>2421</v>
      </c>
      <c r="L340" t="s">
        <v>1613</v>
      </c>
      <c r="M340" t="s">
        <v>1621</v>
      </c>
      <c r="N340" t="s">
        <v>2422</v>
      </c>
    </row>
    <row r="341" spans="1:17" x14ac:dyDescent="0.2">
      <c r="A341" s="84" t="s">
        <v>1540</v>
      </c>
      <c r="B341" s="84" t="s">
        <v>1541</v>
      </c>
      <c r="C341" t="s">
        <v>182</v>
      </c>
      <c r="D341" t="s">
        <v>2468</v>
      </c>
      <c r="F341" t="s">
        <v>2563</v>
      </c>
      <c r="G341" t="s">
        <v>1609</v>
      </c>
      <c r="H341" t="s">
        <v>1616</v>
      </c>
      <c r="I341" t="s">
        <v>1617</v>
      </c>
      <c r="J341" t="s">
        <v>2081</v>
      </c>
      <c r="K341" t="s">
        <v>1631</v>
      </c>
      <c r="L341" t="s">
        <v>2082</v>
      </c>
      <c r="M341" t="s">
        <v>2423</v>
      </c>
      <c r="N341" t="s">
        <v>1621</v>
      </c>
      <c r="O341" t="s">
        <v>1772</v>
      </c>
    </row>
    <row r="342" spans="1:17" x14ac:dyDescent="0.2">
      <c r="A342" s="84" t="s">
        <v>1543</v>
      </c>
      <c r="B342" s="84" t="s">
        <v>1544</v>
      </c>
      <c r="D342" t="s">
        <v>2490</v>
      </c>
      <c r="F342" t="s">
        <v>2564</v>
      </c>
      <c r="G342" t="s">
        <v>1609</v>
      </c>
      <c r="H342" t="s">
        <v>2090</v>
      </c>
      <c r="I342" t="s">
        <v>2091</v>
      </c>
      <c r="J342" t="s">
        <v>1718</v>
      </c>
      <c r="K342" t="s">
        <v>2093</v>
      </c>
      <c r="L342" t="s">
        <v>1694</v>
      </c>
      <c r="M342" t="s">
        <v>1768</v>
      </c>
    </row>
    <row r="343" spans="1:17" x14ac:dyDescent="0.2">
      <c r="A343" s="84" t="s">
        <v>1546</v>
      </c>
      <c r="B343" s="84" t="s">
        <v>1547</v>
      </c>
      <c r="C343" t="s">
        <v>182</v>
      </c>
      <c r="D343" t="s">
        <v>2459</v>
      </c>
      <c r="F343" t="s">
        <v>1547</v>
      </c>
      <c r="G343" t="s">
        <v>1609</v>
      </c>
      <c r="H343" t="s">
        <v>1616</v>
      </c>
      <c r="I343" t="s">
        <v>1938</v>
      </c>
      <c r="J343" t="s">
        <v>1789</v>
      </c>
      <c r="K343" t="s">
        <v>1694</v>
      </c>
      <c r="L343" t="s">
        <v>1621</v>
      </c>
      <c r="M343" t="s">
        <v>1643</v>
      </c>
    </row>
    <row r="344" spans="1:17" x14ac:dyDescent="0.2">
      <c r="A344" s="84" t="s">
        <v>1549</v>
      </c>
      <c r="B344" s="84" t="s">
        <v>1550</v>
      </c>
      <c r="C344" t="s">
        <v>182</v>
      </c>
      <c r="D344" t="s">
        <v>2458</v>
      </c>
      <c r="F344" t="s">
        <v>1550</v>
      </c>
      <c r="G344" t="s">
        <v>1609</v>
      </c>
      <c r="H344" t="s">
        <v>1616</v>
      </c>
      <c r="I344" t="s">
        <v>1789</v>
      </c>
      <c r="J344" t="s">
        <v>1790</v>
      </c>
      <c r="K344" t="s">
        <v>1629</v>
      </c>
      <c r="L344" t="s">
        <v>1619</v>
      </c>
      <c r="M344" t="s">
        <v>1613</v>
      </c>
      <c r="N344" t="s">
        <v>1621</v>
      </c>
      <c r="O344" t="s">
        <v>1639</v>
      </c>
    </row>
    <row r="345" spans="1:17" x14ac:dyDescent="0.2">
      <c r="A345" s="84" t="s">
        <v>1552</v>
      </c>
      <c r="B345" s="84" t="s">
        <v>1553</v>
      </c>
      <c r="C345" t="s">
        <v>182</v>
      </c>
      <c r="D345" t="s">
        <v>2475</v>
      </c>
      <c r="F345" t="s">
        <v>1553</v>
      </c>
      <c r="G345" t="s">
        <v>1609</v>
      </c>
      <c r="H345" t="s">
        <v>1697</v>
      </c>
      <c r="I345" t="s">
        <v>2424</v>
      </c>
      <c r="J345" t="s">
        <v>1621</v>
      </c>
      <c r="K345" t="s">
        <v>1765</v>
      </c>
    </row>
    <row r="346" spans="1:17" x14ac:dyDescent="0.2">
      <c r="A346" s="84" t="s">
        <v>1555</v>
      </c>
      <c r="B346" s="84" t="s">
        <v>1556</v>
      </c>
      <c r="C346" t="s">
        <v>2452</v>
      </c>
      <c r="D346" t="s">
        <v>2454</v>
      </c>
      <c r="F346" t="s">
        <v>2565</v>
      </c>
      <c r="G346" t="s">
        <v>1609</v>
      </c>
      <c r="H346" t="s">
        <v>1611</v>
      </c>
      <c r="I346" t="s">
        <v>1729</v>
      </c>
      <c r="J346" t="s">
        <v>1942</v>
      </c>
      <c r="K346" t="s">
        <v>2235</v>
      </c>
      <c r="L346" t="s">
        <v>2237</v>
      </c>
      <c r="M346" t="s">
        <v>2425</v>
      </c>
      <c r="N346" t="s">
        <v>1614</v>
      </c>
      <c r="O346" t="s">
        <v>1615</v>
      </c>
    </row>
    <row r="347" spans="1:17" x14ac:dyDescent="0.2">
      <c r="A347" s="84" t="s">
        <v>1562</v>
      </c>
      <c r="B347" s="84" t="s">
        <v>947</v>
      </c>
      <c r="D347" t="s">
        <v>2461</v>
      </c>
      <c r="F347" t="s">
        <v>947</v>
      </c>
      <c r="G347" t="s">
        <v>1609</v>
      </c>
      <c r="H347" t="s">
        <v>1759</v>
      </c>
      <c r="I347" t="s">
        <v>2127</v>
      </c>
      <c r="J347" t="s">
        <v>2128</v>
      </c>
      <c r="K347" t="s">
        <v>1652</v>
      </c>
      <c r="L347" t="s">
        <v>2129</v>
      </c>
    </row>
    <row r="348" spans="1:17" x14ac:dyDescent="0.2">
      <c r="A348" s="84" t="s">
        <v>1564</v>
      </c>
      <c r="B348" s="84" t="s">
        <v>1565</v>
      </c>
      <c r="F348" t="s">
        <v>1565</v>
      </c>
      <c r="G348" t="s">
        <v>1609</v>
      </c>
      <c r="H348" t="s">
        <v>1616</v>
      </c>
      <c r="I348" t="s">
        <v>1989</v>
      </c>
      <c r="J348" t="s">
        <v>2426</v>
      </c>
    </row>
    <row r="349" spans="1:17" x14ac:dyDescent="0.2">
      <c r="A349" s="84" t="s">
        <v>1567</v>
      </c>
      <c r="B349" s="84" t="s">
        <v>1568</v>
      </c>
      <c r="C349" t="s">
        <v>2452</v>
      </c>
      <c r="D349" t="s">
        <v>2469</v>
      </c>
      <c r="F349" t="s">
        <v>2566</v>
      </c>
      <c r="G349" t="s">
        <v>1609</v>
      </c>
      <c r="H349" t="s">
        <v>1703</v>
      </c>
      <c r="I349" t="s">
        <v>1692</v>
      </c>
      <c r="J349" t="s">
        <v>1704</v>
      </c>
      <c r="K349" t="s">
        <v>1614</v>
      </c>
      <c r="L349" t="s">
        <v>1706</v>
      </c>
      <c r="M349" t="s">
        <v>2427</v>
      </c>
    </row>
    <row r="350" spans="1:17" x14ac:dyDescent="0.2">
      <c r="A350" s="84" t="s">
        <v>1570</v>
      </c>
      <c r="B350" s="84" t="s">
        <v>1571</v>
      </c>
      <c r="C350" t="s">
        <v>182</v>
      </c>
      <c r="D350" t="s">
        <v>2478</v>
      </c>
      <c r="F350" t="s">
        <v>2567</v>
      </c>
      <c r="G350" t="s">
        <v>1609</v>
      </c>
      <c r="H350" t="s">
        <v>1648</v>
      </c>
      <c r="I350" t="s">
        <v>1744</v>
      </c>
      <c r="J350" t="s">
        <v>1803</v>
      </c>
      <c r="K350" t="s">
        <v>2428</v>
      </c>
      <c r="L350" t="s">
        <v>1621</v>
      </c>
      <c r="M350" t="s">
        <v>1838</v>
      </c>
      <c r="N350" t="s">
        <v>2429</v>
      </c>
      <c r="O350" t="s">
        <v>2430</v>
      </c>
      <c r="P350" t="s">
        <v>2431</v>
      </c>
      <c r="Q350" t="s">
        <v>2432</v>
      </c>
    </row>
    <row r="351" spans="1:17" x14ac:dyDescent="0.2">
      <c r="A351" s="84" t="s">
        <v>1573</v>
      </c>
      <c r="B351" s="84" t="s">
        <v>1574</v>
      </c>
      <c r="C351" t="s">
        <v>182</v>
      </c>
      <c r="D351" t="s">
        <v>2468</v>
      </c>
      <c r="F351" t="s">
        <v>1574</v>
      </c>
      <c r="G351" t="s">
        <v>1609</v>
      </c>
      <c r="H351" t="s">
        <v>1809</v>
      </c>
      <c r="I351" t="s">
        <v>2433</v>
      </c>
      <c r="J351" t="s">
        <v>1621</v>
      </c>
      <c r="K351" t="s">
        <v>1701</v>
      </c>
      <c r="L351" t="s">
        <v>2434</v>
      </c>
    </row>
    <row r="352" spans="1:17" x14ac:dyDescent="0.2">
      <c r="A352" s="84" t="s">
        <v>1576</v>
      </c>
      <c r="B352" s="84" t="s">
        <v>1577</v>
      </c>
      <c r="C352" t="s">
        <v>182</v>
      </c>
      <c r="D352" t="s">
        <v>2472</v>
      </c>
      <c r="F352" t="s">
        <v>1577</v>
      </c>
      <c r="G352" t="s">
        <v>1609</v>
      </c>
      <c r="H352" t="s">
        <v>1819</v>
      </c>
      <c r="I352" t="s">
        <v>1867</v>
      </c>
      <c r="J352" t="s">
        <v>2435</v>
      </c>
      <c r="K352" t="s">
        <v>2436</v>
      </c>
      <c r="L352" t="s">
        <v>1621</v>
      </c>
      <c r="M352" t="s">
        <v>1998</v>
      </c>
      <c r="N352" t="s">
        <v>1821</v>
      </c>
      <c r="O352" t="s">
        <v>1822</v>
      </c>
      <c r="P352" t="s">
        <v>1823</v>
      </c>
    </row>
    <row r="353" spans="1:16" x14ac:dyDescent="0.2">
      <c r="A353" s="84" t="s">
        <v>1579</v>
      </c>
      <c r="B353" s="84" t="s">
        <v>1580</v>
      </c>
      <c r="C353" t="s">
        <v>2452</v>
      </c>
      <c r="D353" t="s">
        <v>2484</v>
      </c>
      <c r="F353" t="s">
        <v>1580</v>
      </c>
      <c r="G353" t="s">
        <v>1609</v>
      </c>
      <c r="H353" t="s">
        <v>1616</v>
      </c>
      <c r="I353" t="s">
        <v>1938</v>
      </c>
      <c r="J353" t="s">
        <v>1884</v>
      </c>
      <c r="K353" t="s">
        <v>2437</v>
      </c>
      <c r="L353" t="s">
        <v>2438</v>
      </c>
      <c r="M353" t="s">
        <v>1614</v>
      </c>
      <c r="N353" t="s">
        <v>2439</v>
      </c>
    </row>
    <row r="354" spans="1:16" x14ac:dyDescent="0.2">
      <c r="A354" s="84" t="s">
        <v>1582</v>
      </c>
      <c r="B354" s="84" t="s">
        <v>1583</v>
      </c>
      <c r="C354" t="s">
        <v>182</v>
      </c>
      <c r="D354" t="s">
        <v>2469</v>
      </c>
      <c r="F354" t="s">
        <v>1583</v>
      </c>
      <c r="G354" t="s">
        <v>1609</v>
      </c>
      <c r="H354" t="s">
        <v>1616</v>
      </c>
      <c r="I354" t="s">
        <v>1872</v>
      </c>
      <c r="J354" t="s">
        <v>1687</v>
      </c>
      <c r="K354" t="s">
        <v>1873</v>
      </c>
      <c r="L354" t="s">
        <v>2440</v>
      </c>
      <c r="M354" t="s">
        <v>1621</v>
      </c>
      <c r="N354" t="s">
        <v>1706</v>
      </c>
    </row>
    <row r="355" spans="1:16" x14ac:dyDescent="0.2">
      <c r="A355" s="84" t="s">
        <v>1585</v>
      </c>
      <c r="B355" s="84" t="s">
        <v>1586</v>
      </c>
      <c r="C355" t="s">
        <v>2452</v>
      </c>
      <c r="D355" t="s">
        <v>2459</v>
      </c>
      <c r="F355" t="s">
        <v>1586</v>
      </c>
      <c r="G355" t="s">
        <v>1609</v>
      </c>
      <c r="H355" t="s">
        <v>1759</v>
      </c>
      <c r="I355" t="s">
        <v>1760</v>
      </c>
      <c r="J355" t="s">
        <v>1782</v>
      </c>
      <c r="K355" t="s">
        <v>2441</v>
      </c>
      <c r="L355" t="s">
        <v>1614</v>
      </c>
      <c r="M355" t="s">
        <v>1643</v>
      </c>
    </row>
    <row r="356" spans="1:16" x14ac:dyDescent="0.2">
      <c r="A356" s="84" t="s">
        <v>1588</v>
      </c>
      <c r="B356" s="84" t="s">
        <v>1589</v>
      </c>
      <c r="C356" t="s">
        <v>182</v>
      </c>
      <c r="D356" t="s">
        <v>2478</v>
      </c>
      <c r="F356" t="s">
        <v>1589</v>
      </c>
      <c r="G356" t="s">
        <v>1609</v>
      </c>
      <c r="H356" t="s">
        <v>1803</v>
      </c>
      <c r="I356" t="s">
        <v>1804</v>
      </c>
      <c r="J356" t="s">
        <v>2442</v>
      </c>
      <c r="K356" t="s">
        <v>1621</v>
      </c>
      <c r="L356" t="s">
        <v>1859</v>
      </c>
      <c r="M356" t="s">
        <v>2443</v>
      </c>
      <c r="N356" t="s">
        <v>2065</v>
      </c>
    </row>
    <row r="357" spans="1:16" x14ac:dyDescent="0.2">
      <c r="A357" s="84" t="s">
        <v>1591</v>
      </c>
      <c r="B357" s="84" t="s">
        <v>1592</v>
      </c>
      <c r="C357" t="s">
        <v>182</v>
      </c>
      <c r="D357" t="s">
        <v>2461</v>
      </c>
      <c r="F357" t="s">
        <v>2568</v>
      </c>
      <c r="G357" t="s">
        <v>1609</v>
      </c>
      <c r="H357" t="s">
        <v>1627</v>
      </c>
      <c r="I357" t="s">
        <v>1846</v>
      </c>
      <c r="J357" t="s">
        <v>1621</v>
      </c>
      <c r="K357" t="s">
        <v>1832</v>
      </c>
      <c r="L357" t="s">
        <v>2444</v>
      </c>
    </row>
    <row r="358" spans="1:16" x14ac:dyDescent="0.2">
      <c r="A358" s="84" t="s">
        <v>1594</v>
      </c>
      <c r="B358" s="84" t="s">
        <v>1595</v>
      </c>
      <c r="C358" t="s">
        <v>182</v>
      </c>
      <c r="D358" t="s">
        <v>2267</v>
      </c>
      <c r="F358" t="s">
        <v>2569</v>
      </c>
      <c r="G358" t="s">
        <v>1609</v>
      </c>
      <c r="H358" t="s">
        <v>1648</v>
      </c>
      <c r="I358" t="s">
        <v>2445</v>
      </c>
      <c r="J358" t="s">
        <v>1843</v>
      </c>
      <c r="K358" t="s">
        <v>1621</v>
      </c>
      <c r="L358" t="s">
        <v>1874</v>
      </c>
      <c r="M358" t="s">
        <v>2054</v>
      </c>
      <c r="N358" t="s">
        <v>2446</v>
      </c>
      <c r="O358" t="s">
        <v>2447</v>
      </c>
    </row>
    <row r="359" spans="1:16" x14ac:dyDescent="0.2">
      <c r="A359" s="84" t="s">
        <v>1597</v>
      </c>
      <c r="B359" s="84" t="s">
        <v>1039</v>
      </c>
      <c r="C359" t="s">
        <v>182</v>
      </c>
      <c r="D359" t="s">
        <v>2461</v>
      </c>
      <c r="F359" t="s">
        <v>1039</v>
      </c>
      <c r="G359" t="s">
        <v>1609</v>
      </c>
      <c r="H359" t="s">
        <v>1759</v>
      </c>
      <c r="I359" t="s">
        <v>2166</v>
      </c>
      <c r="J359" t="s">
        <v>2167</v>
      </c>
      <c r="K359" t="s">
        <v>2168</v>
      </c>
      <c r="L359" t="s">
        <v>1652</v>
      </c>
      <c r="M359" t="s">
        <v>1621</v>
      </c>
    </row>
    <row r="360" spans="1:16" x14ac:dyDescent="0.2">
      <c r="A360" s="84" t="s">
        <v>1599</v>
      </c>
      <c r="B360" s="84" t="s">
        <v>1600</v>
      </c>
      <c r="C360" t="s">
        <v>182</v>
      </c>
      <c r="D360" t="s">
        <v>2468</v>
      </c>
      <c r="F360" t="s">
        <v>2570</v>
      </c>
      <c r="G360" t="s">
        <v>1609</v>
      </c>
      <c r="H360" t="s">
        <v>1610</v>
      </c>
      <c r="I360" t="s">
        <v>1986</v>
      </c>
      <c r="J360" t="s">
        <v>1987</v>
      </c>
      <c r="K360" t="s">
        <v>1988</v>
      </c>
      <c r="L360" t="s">
        <v>2448</v>
      </c>
      <c r="M360" t="s">
        <v>1613</v>
      </c>
      <c r="N360" t="s">
        <v>1621</v>
      </c>
      <c r="O360" t="s">
        <v>1772</v>
      </c>
    </row>
    <row r="361" spans="1:16" x14ac:dyDescent="0.2">
      <c r="A361" s="84" t="s">
        <v>1602</v>
      </c>
      <c r="B361" s="84" t="s">
        <v>1603</v>
      </c>
      <c r="C361" t="s">
        <v>182</v>
      </c>
      <c r="D361" t="s">
        <v>2459</v>
      </c>
      <c r="F361" t="s">
        <v>2571</v>
      </c>
      <c r="G361" t="s">
        <v>1609</v>
      </c>
      <c r="H361" t="s">
        <v>1640</v>
      </c>
      <c r="I361" t="s">
        <v>2135</v>
      </c>
      <c r="J361" t="s">
        <v>1813</v>
      </c>
      <c r="K361" t="s">
        <v>1621</v>
      </c>
      <c r="L361" t="s">
        <v>1694</v>
      </c>
      <c r="M361" t="s">
        <v>2139</v>
      </c>
      <c r="N361" t="s">
        <v>2140</v>
      </c>
      <c r="O361" t="s">
        <v>1731</v>
      </c>
      <c r="P361" t="s">
        <v>1816</v>
      </c>
    </row>
    <row r="362" spans="1:16" x14ac:dyDescent="0.2">
      <c r="A362" s="84" t="s">
        <v>1605</v>
      </c>
      <c r="B362" s="84" t="s">
        <v>1606</v>
      </c>
      <c r="C362" t="s">
        <v>182</v>
      </c>
      <c r="D362" t="s">
        <v>2491</v>
      </c>
      <c r="F362" t="s">
        <v>1606</v>
      </c>
      <c r="G362" t="s">
        <v>1609</v>
      </c>
      <c r="H362" t="s">
        <v>2230</v>
      </c>
      <c r="I362" t="s">
        <v>2449</v>
      </c>
      <c r="J362" t="s">
        <v>2450</v>
      </c>
      <c r="K362" t="s">
        <v>1621</v>
      </c>
      <c r="L362" t="s">
        <v>2451</v>
      </c>
    </row>
    <row r="363" spans="1:16" x14ac:dyDescent="0.2">
      <c r="B363" s="84" t="s">
        <v>1608</v>
      </c>
      <c r="F363" t="s">
        <v>1608</v>
      </c>
      <c r="G363" t="s">
        <v>1608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Ayuda</vt:lpstr>
      <vt:lpstr>Alternadores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CONTABILIDAD2</dc:creator>
  <cp:lastModifiedBy>LEKAR AUTOMOTRIZ</cp:lastModifiedBy>
  <dcterms:created xsi:type="dcterms:W3CDTF">2021-12-28T15:24:58Z</dcterms:created>
  <dcterms:modified xsi:type="dcterms:W3CDTF">2022-02-18T22:12:22Z</dcterms:modified>
</cp:coreProperties>
</file>