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7C6292F7-9FF8-4FB0-AC0C-CA162819135C}" xr6:coauthVersionLast="47" xr6:coauthVersionMax="47" xr10:uidLastSave="{00000000-0000-0000-0000-000000000000}"/>
  <bookViews>
    <workbookView xWindow="-120" yWindow="-120" windowWidth="20730" windowHeight="11160" firstSheet="1" activeTab="4" xr2:uid="{10108276-2DD5-46A3-B2F7-2455BCA35D83}"/>
  </bookViews>
  <sheets>
    <sheet name="ARR1" sheetId="1" r:id="rId1"/>
    <sheet name="ARR2" sheetId="2" r:id="rId2"/>
    <sheet name="ARR3" sheetId="3" r:id="rId3"/>
    <sheet name="ARR4" sheetId="11" r:id="rId4"/>
    <sheet name="DBIMGLINK" sheetId="7" r:id="rId5"/>
    <sheet name="ALT1" sheetId="4" r:id="rId6"/>
    <sheet name="ALT2" sheetId="5" r:id="rId7"/>
    <sheet name="ALT3" sheetId="6" r:id="rId8"/>
    <sheet name="ALTT" sheetId="8" r:id="rId9"/>
    <sheet name="DBIMGPC" sheetId="9" r:id="rId10"/>
    <sheet name="DB" sheetId="10" r:id="rId11"/>
  </sheets>
  <definedNames>
    <definedName name="_xlnm._FilterDatabase" localSheetId="5" hidden="1">'ALT1'!$A$1:$D$1</definedName>
    <definedName name="_xlnm._FilterDatabase" localSheetId="6" hidden="1">'ALT2'!$A$1:$D$1</definedName>
    <definedName name="_xlnm._FilterDatabase" localSheetId="7" hidden="1">'ALT3'!$A$1:$D$1</definedName>
    <definedName name="_xlnm._FilterDatabase" localSheetId="0" hidden="1">'ARR1'!$A$1:$G$524</definedName>
    <definedName name="_xlnm._FilterDatabase" localSheetId="1" hidden="1">'ARR2'!$A$1:$G$439</definedName>
    <definedName name="_xlnm._FilterDatabase" localSheetId="2" hidden="1">'ARR3'!$A$1:$G$346</definedName>
    <definedName name="_xlnm._FilterDatabase" localSheetId="4" hidden="1">DBIMGLINK!$A$1:$B$1</definedName>
    <definedName name="_xlnm._FilterDatabase" localSheetId="9" hidden="1">DBIMGPC!$A$1:$D$1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6" i="11" l="1"/>
  <c r="G117" i="11"/>
  <c r="G118" i="11"/>
  <c r="G119" i="11"/>
  <c r="G120" i="11"/>
  <c r="G121" i="11"/>
  <c r="E116" i="11"/>
  <c r="E117" i="11"/>
  <c r="E118" i="11"/>
  <c r="E119" i="11"/>
  <c r="E120" i="11"/>
  <c r="E121" i="11"/>
  <c r="D116" i="11"/>
  <c r="D117" i="11"/>
  <c r="D118" i="11"/>
  <c r="D119" i="11"/>
  <c r="D120" i="11"/>
  <c r="D121" i="11"/>
  <c r="C116" i="11"/>
  <c r="C117" i="11"/>
  <c r="C118" i="11"/>
  <c r="C119" i="11"/>
  <c r="C120" i="11"/>
  <c r="C121" i="11"/>
  <c r="B116" i="11"/>
  <c r="B117" i="11"/>
  <c r="B118" i="11"/>
  <c r="B119" i="11"/>
  <c r="B120" i="11"/>
  <c r="B121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3" i="11"/>
  <c r="D93" i="11" s="1"/>
  <c r="C94" i="11"/>
  <c r="D94" i="11" s="1"/>
  <c r="G94" i="11" s="1"/>
  <c r="C95" i="11"/>
  <c r="D95" i="11" s="1"/>
  <c r="C96" i="11"/>
  <c r="D96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22" i="11"/>
  <c r="D122" i="11" s="1"/>
  <c r="C123" i="11"/>
  <c r="D123" i="11" s="1"/>
  <c r="C124" i="11"/>
  <c r="D124" i="11" s="1"/>
  <c r="G124" i="11" s="1"/>
  <c r="C125" i="11"/>
  <c r="D125" i="11" s="1"/>
  <c r="C126" i="11"/>
  <c r="D126" i="11" s="1"/>
  <c r="C127" i="11"/>
  <c r="D127" i="11" s="1"/>
  <c r="C128" i="11"/>
  <c r="D128" i="11" s="1"/>
  <c r="G128" i="11" s="1"/>
  <c r="C129" i="11"/>
  <c r="D129" i="11" s="1"/>
  <c r="C130" i="11"/>
  <c r="D130" i="11" s="1"/>
  <c r="C131" i="11"/>
  <c r="D131" i="11" s="1"/>
  <c r="C132" i="11"/>
  <c r="D132" i="11" s="1"/>
  <c r="G132" i="11" s="1"/>
  <c r="C133" i="11"/>
  <c r="D133" i="11" s="1"/>
  <c r="C134" i="11"/>
  <c r="D134" i="11" s="1"/>
  <c r="C135" i="11"/>
  <c r="D135" i="11" s="1"/>
  <c r="C136" i="11"/>
  <c r="D136" i="11" s="1"/>
  <c r="G136" i="11" s="1"/>
  <c r="C137" i="11"/>
  <c r="D137" i="11" s="1"/>
  <c r="C138" i="11"/>
  <c r="D138" i="11" s="1"/>
  <c r="C139" i="11"/>
  <c r="D139" i="11" s="1"/>
  <c r="C140" i="11"/>
  <c r="D140" i="11" s="1"/>
  <c r="G140" i="11" s="1"/>
  <c r="C141" i="11"/>
  <c r="D141" i="11" s="1"/>
  <c r="C142" i="11"/>
  <c r="D142" i="11" s="1"/>
  <c r="C143" i="11"/>
  <c r="D143" i="11" s="1"/>
  <c r="C144" i="11"/>
  <c r="D144" i="11" s="1"/>
  <c r="G144" i="11" s="1"/>
  <c r="C145" i="11"/>
  <c r="D145" i="11" s="1"/>
  <c r="C146" i="11"/>
  <c r="D146" i="11" s="1"/>
  <c r="C147" i="11"/>
  <c r="D147" i="11" s="1"/>
  <c r="C148" i="11"/>
  <c r="D148" i="11" s="1"/>
  <c r="G148" i="11" s="1"/>
  <c r="C149" i="11"/>
  <c r="D149" i="11" s="1"/>
  <c r="C150" i="11"/>
  <c r="D150" i="11" s="1"/>
  <c r="C151" i="11"/>
  <c r="D151" i="11" s="1"/>
  <c r="C152" i="11"/>
  <c r="D152" i="11" s="1"/>
  <c r="G152" i="11" s="1"/>
  <c r="C153" i="11"/>
  <c r="D153" i="11" s="1"/>
  <c r="C154" i="11"/>
  <c r="D154" i="11" s="1"/>
  <c r="C155" i="11"/>
  <c r="D155" i="11" s="1"/>
  <c r="C156" i="11"/>
  <c r="D156" i="11" s="1"/>
  <c r="G156" i="11" s="1"/>
  <c r="C157" i="11"/>
  <c r="D157" i="11" s="1"/>
  <c r="C158" i="11"/>
  <c r="D158" i="11" s="1"/>
  <c r="C159" i="11"/>
  <c r="D159" i="11" s="1"/>
  <c r="C160" i="11"/>
  <c r="D160" i="11" s="1"/>
  <c r="G160" i="11" s="1"/>
  <c r="C161" i="11"/>
  <c r="D161" i="11" s="1"/>
  <c r="C162" i="11"/>
  <c r="D162" i="11" s="1"/>
  <c r="C163" i="11"/>
  <c r="D163" i="11" s="1"/>
  <c r="C164" i="11"/>
  <c r="D164" i="11" s="1"/>
  <c r="G164" i="11" s="1"/>
  <c r="C165" i="11"/>
  <c r="D165" i="11" s="1"/>
  <c r="C166" i="11"/>
  <c r="D166" i="11" s="1"/>
  <c r="C167" i="11"/>
  <c r="D167" i="11" s="1"/>
  <c r="C168" i="11"/>
  <c r="D168" i="11" s="1"/>
  <c r="G168" i="11" s="1"/>
  <c r="C169" i="11"/>
  <c r="D169" i="11" s="1"/>
  <c r="C170" i="11"/>
  <c r="D170" i="11" s="1"/>
  <c r="C171" i="11"/>
  <c r="D171" i="11" s="1"/>
  <c r="C172" i="11"/>
  <c r="D172" i="11" s="1"/>
  <c r="G172" i="11" s="1"/>
  <c r="C173" i="11"/>
  <c r="D173" i="11" s="1"/>
  <c r="C174" i="11"/>
  <c r="D174" i="11" s="1"/>
  <c r="C175" i="11"/>
  <c r="D175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D1515" i="9"/>
  <c r="C1515" i="9"/>
  <c r="B1515" i="9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D1463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D1446" i="9"/>
  <c r="B1446" i="9"/>
  <c r="C1446" i="9" s="1"/>
  <c r="B1445" i="9"/>
  <c r="D1445" i="9" s="1"/>
  <c r="B1444" i="9"/>
  <c r="C1444" i="9" s="1"/>
  <c r="D1443" i="9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D1390" i="9"/>
  <c r="C1390" i="9"/>
  <c r="B1390" i="9"/>
  <c r="B1389" i="9"/>
  <c r="B1388" i="9"/>
  <c r="C1388" i="9" s="1"/>
  <c r="D1387" i="9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D1364" i="9"/>
  <c r="B1364" i="9"/>
  <c r="C1364" i="9" s="1"/>
  <c r="B1363" i="9"/>
  <c r="B1362" i="9"/>
  <c r="C1361" i="9"/>
  <c r="B1361" i="9"/>
  <c r="D1361" i="9" s="1"/>
  <c r="B1360" i="9"/>
  <c r="D1359" i="9"/>
  <c r="C1359" i="9"/>
  <c r="B1359" i="9"/>
  <c r="B1358" i="9"/>
  <c r="B1357" i="9"/>
  <c r="B1356" i="9"/>
  <c r="B1355" i="9"/>
  <c r="C1355" i="9" s="1"/>
  <c r="B1354" i="9"/>
  <c r="C1353" i="9"/>
  <c r="B1353" i="9"/>
  <c r="D1353" i="9" s="1"/>
  <c r="B1352" i="9"/>
  <c r="D1351" i="9"/>
  <c r="C1351" i="9"/>
  <c r="B1351" i="9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C1337" i="9"/>
  <c r="B1337" i="9"/>
  <c r="D1337" i="9" s="1"/>
  <c r="B1336" i="9"/>
  <c r="D1335" i="9"/>
  <c r="C1335" i="9"/>
  <c r="B1335" i="9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D1326" i="9"/>
  <c r="B1326" i="9"/>
  <c r="C1326" i="9" s="1"/>
  <c r="B1325" i="9"/>
  <c r="B1324" i="9"/>
  <c r="B1323" i="9"/>
  <c r="C1323" i="9" s="1"/>
  <c r="B1322" i="9"/>
  <c r="C1321" i="9"/>
  <c r="B1321" i="9"/>
  <c r="D1321" i="9" s="1"/>
  <c r="B1320" i="9"/>
  <c r="D1319" i="9"/>
  <c r="C1319" i="9"/>
  <c r="B1319" i="9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C1295" i="9"/>
  <c r="B1295" i="9"/>
  <c r="D1295" i="9" s="1"/>
  <c r="C1294" i="9"/>
  <c r="B1294" i="9"/>
  <c r="D1294" i="9" s="1"/>
  <c r="B1293" i="9"/>
  <c r="B1292" i="9"/>
  <c r="B1291" i="9"/>
  <c r="D1291" i="9" s="1"/>
  <c r="B1290" i="9"/>
  <c r="B1289" i="9"/>
  <c r="B1288" i="9"/>
  <c r="B1287" i="9"/>
  <c r="D1286" i="9"/>
  <c r="C1286" i="9"/>
  <c r="B1286" i="9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D1263" i="9"/>
  <c r="C1263" i="9"/>
  <c r="B1263" i="9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C1254" i="9"/>
  <c r="B1254" i="9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D1230" i="9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C1205" i="9"/>
  <c r="B1205" i="9"/>
  <c r="D1205" i="9" s="1"/>
  <c r="B1204" i="9"/>
  <c r="D1203" i="9"/>
  <c r="C1203" i="9"/>
  <c r="B1203" i="9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D1195" i="9"/>
  <c r="C1195" i="9"/>
  <c r="B1195" i="9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D1178" i="9"/>
  <c r="C1178" i="9"/>
  <c r="B1178" i="9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C1122" i="9"/>
  <c r="B1122" i="9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C1111" i="9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D1099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C1071" i="9"/>
  <c r="B1071" i="9"/>
  <c r="D1071" i="9" s="1"/>
  <c r="B1070" i="9"/>
  <c r="B1069" i="9"/>
  <c r="D1069" i="9" s="1"/>
  <c r="B1068" i="9"/>
  <c r="B1067" i="9"/>
  <c r="D1067" i="9" s="1"/>
  <c r="D1066" i="9"/>
  <c r="B1066" i="9"/>
  <c r="C1066" i="9" s="1"/>
  <c r="B1065" i="9"/>
  <c r="B1064" i="9"/>
  <c r="C1064" i="9" s="1"/>
  <c r="D1063" i="9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D1038" i="9"/>
  <c r="B1038" i="9"/>
  <c r="C1038" i="9" s="1"/>
  <c r="B1037" i="9"/>
  <c r="B1036" i="9"/>
  <c r="D1036" i="9" s="1"/>
  <c r="B1035" i="9"/>
  <c r="C1035" i="9" s="1"/>
  <c r="D1034" i="9"/>
  <c r="C1034" i="9"/>
  <c r="B1034" i="9"/>
  <c r="B1033" i="9"/>
  <c r="B1032" i="9"/>
  <c r="D1032" i="9" s="1"/>
  <c r="D1031" i="9"/>
  <c r="B1031" i="9"/>
  <c r="C1031" i="9" s="1"/>
  <c r="B1030" i="9"/>
  <c r="D1030" i="9" s="1"/>
  <c r="B1029" i="9"/>
  <c r="B1028" i="9"/>
  <c r="D1028" i="9" s="1"/>
  <c r="B1027" i="9"/>
  <c r="C1027" i="9" s="1"/>
  <c r="D1026" i="9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C1002" i="9"/>
  <c r="B1002" i="9"/>
  <c r="D1002" i="9" s="1"/>
  <c r="B1001" i="9"/>
  <c r="B1000" i="9"/>
  <c r="D1000" i="9" s="1"/>
  <c r="D999" i="9"/>
  <c r="B999" i="9"/>
  <c r="C999" i="9" s="1"/>
  <c r="B998" i="9"/>
  <c r="D998" i="9" s="1"/>
  <c r="B997" i="9"/>
  <c r="B996" i="9"/>
  <c r="D996" i="9" s="1"/>
  <c r="B995" i="9"/>
  <c r="C995" i="9" s="1"/>
  <c r="D994" i="9"/>
  <c r="B994" i="9"/>
  <c r="C994" i="9" s="1"/>
  <c r="B993" i="9"/>
  <c r="D993" i="9" s="1"/>
  <c r="B992" i="9"/>
  <c r="B991" i="9"/>
  <c r="B990" i="9"/>
  <c r="C989" i="9"/>
  <c r="B989" i="9"/>
  <c r="D989" i="9" s="1"/>
  <c r="B988" i="9"/>
  <c r="B987" i="9"/>
  <c r="C987" i="9" s="1"/>
  <c r="D986" i="9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D971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D963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D915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D883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C833" i="9"/>
  <c r="B833" i="9"/>
  <c r="D833" i="9" s="1"/>
  <c r="B832" i="9"/>
  <c r="B831" i="9"/>
  <c r="B830" i="9"/>
  <c r="B829" i="9"/>
  <c r="D829" i="9" s="1"/>
  <c r="B828" i="9"/>
  <c r="B827" i="9"/>
  <c r="D826" i="9"/>
  <c r="B826" i="9"/>
  <c r="C826" i="9" s="1"/>
  <c r="B825" i="9"/>
  <c r="B824" i="9"/>
  <c r="B823" i="9"/>
  <c r="B822" i="9"/>
  <c r="B821" i="9"/>
  <c r="B820" i="9"/>
  <c r="D819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D810" i="9"/>
  <c r="B810" i="9"/>
  <c r="C810" i="9" s="1"/>
  <c r="B809" i="9"/>
  <c r="B808" i="9"/>
  <c r="B807" i="9"/>
  <c r="B806" i="9"/>
  <c r="B805" i="9"/>
  <c r="B804" i="9"/>
  <c r="D803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C785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C777" i="9"/>
  <c r="B777" i="9"/>
  <c r="D777" i="9" s="1"/>
  <c r="B776" i="9"/>
  <c r="B775" i="9"/>
  <c r="D774" i="9"/>
  <c r="B774" i="9"/>
  <c r="C774" i="9" s="1"/>
  <c r="B773" i="9"/>
  <c r="B772" i="9"/>
  <c r="D771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D753" i="9"/>
  <c r="C753" i="9"/>
  <c r="B753" i="9"/>
  <c r="B752" i="9"/>
  <c r="B751" i="9"/>
  <c r="B750" i="9"/>
  <c r="D750" i="9" s="1"/>
  <c r="D749" i="9"/>
  <c r="C749" i="9"/>
  <c r="B749" i="9"/>
  <c r="B748" i="9"/>
  <c r="B747" i="9"/>
  <c r="D746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D734" i="9"/>
  <c r="C734" i="9"/>
  <c r="B734" i="9"/>
  <c r="B733" i="9"/>
  <c r="B732" i="9"/>
  <c r="B731" i="9"/>
  <c r="B730" i="9"/>
  <c r="D730" i="9" s="1"/>
  <c r="B729" i="9"/>
  <c r="D729" i="9" s="1"/>
  <c r="B728" i="9"/>
  <c r="B727" i="9"/>
  <c r="D726" i="9"/>
  <c r="C726" i="9"/>
  <c r="B726" i="9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D681" i="9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C638" i="9"/>
  <c r="B638" i="9"/>
  <c r="D638" i="9" s="1"/>
  <c r="B637" i="9"/>
  <c r="B636" i="9"/>
  <c r="D636" i="9" s="1"/>
  <c r="B635" i="9"/>
  <c r="B634" i="9"/>
  <c r="C634" i="9" s="1"/>
  <c r="D633" i="9"/>
  <c r="B633" i="9"/>
  <c r="C633" i="9" s="1"/>
  <c r="B632" i="9"/>
  <c r="B631" i="9"/>
  <c r="C631" i="9" s="1"/>
  <c r="B630" i="9"/>
  <c r="B629" i="9"/>
  <c r="B628" i="9"/>
  <c r="D628" i="9" s="1"/>
  <c r="B627" i="9"/>
  <c r="D626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D611" i="9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D603" i="9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D595" i="9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D563" i="9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D555" i="9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D547" i="9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D539" i="9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D531" i="9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D523" i="9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D515" i="9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D488" i="9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D476" i="9"/>
  <c r="C476" i="9"/>
  <c r="B476" i="9"/>
  <c r="B475" i="9"/>
  <c r="C475" i="9" s="1"/>
  <c r="B474" i="9"/>
  <c r="B473" i="9"/>
  <c r="C473" i="9" s="1"/>
  <c r="B472" i="9"/>
  <c r="C472" i="9" s="1"/>
  <c r="B471" i="9"/>
  <c r="C471" i="9" s="1"/>
  <c r="C470" i="9"/>
  <c r="B470" i="9"/>
  <c r="D470" i="9" s="1"/>
  <c r="B469" i="9"/>
  <c r="C469" i="9" s="1"/>
  <c r="B468" i="9"/>
  <c r="D468" i="9" s="1"/>
  <c r="D467" i="9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D448" i="9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D412" i="9"/>
  <c r="C412" i="9"/>
  <c r="B412" i="9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C396" i="9"/>
  <c r="B396" i="9"/>
  <c r="D396" i="9" s="1"/>
  <c r="B395" i="9"/>
  <c r="D395" i="9" s="1"/>
  <c r="B394" i="9"/>
  <c r="D394" i="9" s="1"/>
  <c r="B393" i="9"/>
  <c r="C393" i="9" s="1"/>
  <c r="B392" i="9"/>
  <c r="C392" i="9" s="1"/>
  <c r="D391" i="9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D364" i="9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D288" i="9"/>
  <c r="C288" i="9"/>
  <c r="B288" i="9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D272" i="9"/>
  <c r="C272" i="9"/>
  <c r="B272" i="9"/>
  <c r="B271" i="9"/>
  <c r="D271" i="9" s="1"/>
  <c r="B270" i="9"/>
  <c r="D270" i="9" s="1"/>
  <c r="D269" i="9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C224" i="9"/>
  <c r="B224" i="9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D176" i="9"/>
  <c r="C176" i="9"/>
  <c r="B176" i="9"/>
  <c r="B175" i="9"/>
  <c r="D175" i="9" s="1"/>
  <c r="B174" i="9"/>
  <c r="D174" i="9" s="1"/>
  <c r="D173" i="9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C160" i="9"/>
  <c r="B160" i="9"/>
  <c r="D160" i="9" s="1"/>
  <c r="B159" i="9"/>
  <c r="D159" i="9" s="1"/>
  <c r="B158" i="9"/>
  <c r="D158" i="9" s="1"/>
  <c r="D157" i="9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D112" i="9"/>
  <c r="C112" i="9"/>
  <c r="B112" i="9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C88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G333" i="6"/>
  <c r="G90" i="5"/>
  <c r="G204" i="5"/>
  <c r="E261" i="5"/>
  <c r="G318" i="5"/>
  <c r="E375" i="5"/>
  <c r="G424" i="5"/>
  <c r="G445" i="5"/>
  <c r="G488" i="5"/>
  <c r="G9" i="4"/>
  <c r="E31" i="4"/>
  <c r="G73" i="4"/>
  <c r="E95" i="4"/>
  <c r="G137" i="4"/>
  <c r="E159" i="4"/>
  <c r="G180" i="4"/>
  <c r="G201" i="4"/>
  <c r="E223" i="4"/>
  <c r="G265" i="4"/>
  <c r="E287" i="4"/>
  <c r="E304" i="4"/>
  <c r="E320" i="4"/>
  <c r="E336" i="4"/>
  <c r="E428" i="4"/>
  <c r="G444" i="4"/>
  <c r="G460" i="4"/>
  <c r="E2" i="4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/>
  <c r="B19" i="6"/>
  <c r="C19" i="6"/>
  <c r="D19" i="6" s="1"/>
  <c r="B20" i="6"/>
  <c r="C20" i="6"/>
  <c r="D20" i="6" s="1"/>
  <c r="B21" i="6"/>
  <c r="C21" i="6"/>
  <c r="D21" i="6" s="1"/>
  <c r="B22" i="6"/>
  <c r="C22" i="6"/>
  <c r="D22" i="6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/>
  <c r="B47" i="6"/>
  <c r="C47" i="6"/>
  <c r="D47" i="6" s="1"/>
  <c r="B48" i="6"/>
  <c r="C48" i="6"/>
  <c r="D48" i="6" s="1"/>
  <c r="B49" i="6"/>
  <c r="C49" i="6"/>
  <c r="D49" i="6" s="1"/>
  <c r="B50" i="6"/>
  <c r="C50" i="6"/>
  <c r="D50" i="6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/>
  <c r="B63" i="6"/>
  <c r="C63" i="6"/>
  <c r="D63" i="6" s="1"/>
  <c r="B64" i="6"/>
  <c r="C64" i="6"/>
  <c r="D64" i="6" s="1"/>
  <c r="B65" i="6"/>
  <c r="C65" i="6"/>
  <c r="D65" i="6" s="1"/>
  <c r="B66" i="6"/>
  <c r="C66" i="6"/>
  <c r="D66" i="6"/>
  <c r="B67" i="6"/>
  <c r="C67" i="6"/>
  <c r="D67" i="6" s="1"/>
  <c r="B68" i="6"/>
  <c r="C68" i="6"/>
  <c r="D68" i="6" s="1"/>
  <c r="B69" i="6"/>
  <c r="C69" i="6"/>
  <c r="D69" i="6" s="1"/>
  <c r="B70" i="6"/>
  <c r="C70" i="6"/>
  <c r="D70" i="6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/>
  <c r="B16" i="5"/>
  <c r="C16" i="5"/>
  <c r="D16" i="5" s="1"/>
  <c r="B17" i="5"/>
  <c r="C17" i="5"/>
  <c r="D17" i="5" s="1"/>
  <c r="B18" i="5"/>
  <c r="C18" i="5"/>
  <c r="D18" i="5" s="1"/>
  <c r="B19" i="5"/>
  <c r="C19" i="5"/>
  <c r="D19" i="5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/>
  <c r="B32" i="5"/>
  <c r="C32" i="5"/>
  <c r="D32" i="5" s="1"/>
  <c r="B33" i="5"/>
  <c r="C33" i="5"/>
  <c r="D33" i="5" s="1"/>
  <c r="B34" i="5"/>
  <c r="C34" i="5"/>
  <c r="D34" i="5" s="1"/>
  <c r="B35" i="5"/>
  <c r="C35" i="5"/>
  <c r="D35" i="5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/>
  <c r="B48" i="5"/>
  <c r="C48" i="5"/>
  <c r="D48" i="5" s="1"/>
  <c r="B49" i="5"/>
  <c r="C49" i="5"/>
  <c r="D49" i="5" s="1"/>
  <c r="B50" i="5"/>
  <c r="C50" i="5"/>
  <c r="D50" i="5" s="1"/>
  <c r="B51" i="5"/>
  <c r="C51" i="5"/>
  <c r="D51" i="5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/>
  <c r="B330" i="4"/>
  <c r="C330" i="4"/>
  <c r="D330" i="4" s="1"/>
  <c r="B331" i="4"/>
  <c r="C331" i="4"/>
  <c r="D331" i="4" s="1"/>
  <c r="B332" i="4"/>
  <c r="C332" i="4"/>
  <c r="D332" i="4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/>
  <c r="E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E174" i="11" l="1"/>
  <c r="G174" i="11"/>
  <c r="E170" i="11"/>
  <c r="G170" i="11"/>
  <c r="E166" i="11"/>
  <c r="G166" i="11"/>
  <c r="E162" i="11"/>
  <c r="G162" i="11"/>
  <c r="E158" i="11"/>
  <c r="G158" i="11"/>
  <c r="E154" i="11"/>
  <c r="G154" i="11"/>
  <c r="E150" i="11"/>
  <c r="G150" i="11"/>
  <c r="E146" i="11"/>
  <c r="G146" i="11"/>
  <c r="E142" i="11"/>
  <c r="G142" i="11"/>
  <c r="E138" i="11"/>
  <c r="G138" i="11"/>
  <c r="E134" i="11"/>
  <c r="G134" i="11"/>
  <c r="E130" i="11"/>
  <c r="G130" i="11"/>
  <c r="E126" i="11"/>
  <c r="G126" i="11"/>
  <c r="E122" i="11"/>
  <c r="G122" i="11"/>
  <c r="E112" i="11"/>
  <c r="G112" i="11"/>
  <c r="E108" i="11"/>
  <c r="G108" i="11"/>
  <c r="E104" i="11"/>
  <c r="G104" i="11"/>
  <c r="E100" i="11"/>
  <c r="G100" i="11"/>
  <c r="E96" i="11"/>
  <c r="G96" i="11"/>
  <c r="E92" i="11"/>
  <c r="G92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73" i="11"/>
  <c r="E173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15" i="11"/>
  <c r="E115" i="11"/>
  <c r="G111" i="11"/>
  <c r="E111" i="11"/>
  <c r="G107" i="11"/>
  <c r="E107" i="11"/>
  <c r="G103" i="11"/>
  <c r="E103" i="11"/>
  <c r="G99" i="11"/>
  <c r="E99" i="11"/>
  <c r="G95" i="11"/>
  <c r="E95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75" i="11"/>
  <c r="E175" i="11"/>
  <c r="G171" i="11"/>
  <c r="E171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3" i="11"/>
  <c r="E113" i="11"/>
  <c r="G109" i="11"/>
  <c r="E109" i="11"/>
  <c r="G105" i="11"/>
  <c r="E105" i="11"/>
  <c r="G101" i="11"/>
  <c r="E101" i="11"/>
  <c r="G97" i="11"/>
  <c r="E97" i="11"/>
  <c r="G93" i="11"/>
  <c r="E93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8" i="11"/>
  <c r="E160" i="11"/>
  <c r="E152" i="11"/>
  <c r="E144" i="11"/>
  <c r="E136" i="11"/>
  <c r="E128" i="11"/>
  <c r="E114" i="11"/>
  <c r="E106" i="11"/>
  <c r="E98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72" i="11"/>
  <c r="E164" i="11"/>
  <c r="E156" i="11"/>
  <c r="E148" i="11"/>
  <c r="E140" i="11"/>
  <c r="E132" i="11"/>
  <c r="E124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<sst xmlns="http://schemas.openxmlformats.org/spreadsheetml/2006/main" count="8326" uniqueCount="6611">
  <si>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</si>
  <si>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</si>
  <si>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</si>
  <si>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</si>
  <si>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</si>
  <si>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</si>
  <si>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</si>
  <si>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</si>
  <si>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</si>
  <si>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</si>
  <si>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</si>
  <si>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</si>
  <si>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</si>
  <si>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</si>
  <si>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</si>
  <si>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</si>
  <si>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</si>
  <si>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</si>
  <si>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</si>
  <si>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</si>
  <si>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</si>
  <si>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</si>
  <si>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</si>
  <si>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</si>
  <si>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</si>
  <si>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</si>
  <si>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</si>
  <si>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</si>
  <si>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</si>
  <si>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</si>
  <si>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</si>
  <si>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</si>
  <si>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</si>
  <si>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</si>
  <si>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</si>
  <si>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</si>
  <si>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</si>
  <si>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</si>
  <si>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</si>
  <si>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</si>
  <si>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</si>
  <si>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</si>
  <si>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</si>
  <si>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</si>
  <si>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</si>
  <si>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</si>
  <si>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</si>
  <si>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</si>
  <si>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</si>
  <si>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</si>
  <si>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</si>
  <si>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</si>
  <si>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</si>
  <si>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</si>
  <si>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</si>
  <si>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</si>
  <si>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</si>
  <si>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</si>
  <si>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</si>
  <si>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</si>
  <si>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</si>
  <si>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</si>
  <si>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</si>
  <si>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</si>
  <si>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</si>
  <si>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</si>
  <si>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</si>
  <si>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</si>
  <si>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</si>
  <si>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</si>
  <si>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</si>
  <si>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</si>
  <si>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</si>
  <si>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</si>
  <si>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</si>
  <si>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</si>
  <si>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</si>
  <si>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</si>
  <si>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</si>
  <si>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</si>
  <si>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</si>
  <si>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</si>
  <si>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</si>
  <si>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</si>
  <si>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</si>
  <si>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</si>
  <si>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</si>
  <si>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</si>
  <si>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</si>
  <si>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</si>
  <si>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</si>
  <si>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</si>
  <si>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</si>
  <si>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</si>
  <si>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</si>
  <si>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</si>
  <si>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</si>
  <si>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</si>
  <si>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</si>
  <si>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</si>
  <si>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</si>
  <si>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</si>
  <si>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</si>
  <si>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</si>
  <si>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</si>
  <si>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</si>
  <si>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</si>
  <si>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</si>
  <si>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</si>
  <si>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</si>
  <si>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</si>
  <si>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</si>
  <si>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</si>
  <si>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</si>
  <si>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</si>
  <si>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</si>
  <si>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</si>
  <si>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</si>
  <si>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</si>
  <si>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</si>
  <si>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</si>
  <si>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</si>
  <si>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</si>
  <si>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</si>
  <si>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</si>
  <si>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</si>
  <si>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</si>
  <si>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</si>
  <si>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</si>
  <si>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</si>
  <si>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</si>
  <si>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</si>
  <si>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</si>
  <si>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</si>
  <si>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</si>
  <si>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</si>
  <si>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</si>
  <si>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</si>
  <si>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</si>
  <si>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</si>
  <si>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</si>
  <si>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</si>
  <si>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</si>
  <si>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</si>
  <si>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</si>
  <si>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</si>
  <si>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</si>
  <si>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</si>
  <si>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</si>
  <si>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</si>
  <si>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</si>
  <si>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</si>
  <si>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</si>
  <si>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</si>
  <si>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</si>
  <si>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</si>
  <si>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</si>
  <si>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</si>
  <si>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</si>
  <si>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</si>
  <si>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</si>
  <si>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</si>
  <si>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</si>
  <si>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</si>
  <si>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</si>
  <si>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</si>
  <si>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</si>
  <si>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</si>
  <si>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</si>
  <si>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</si>
  <si>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</si>
  <si>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</si>
  <si>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</si>
  <si>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</si>
  <si>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</si>
  <si>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</si>
  <si>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</si>
  <si>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</si>
  <si>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</si>
  <si>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</si>
  <si>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</si>
  <si>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</si>
  <si>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</si>
  <si>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</si>
  <si>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</si>
  <si>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</si>
  <si>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</si>
  <si>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</si>
  <si>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</si>
  <si>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</si>
  <si>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</si>
  <si>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</si>
  <si>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</si>
  <si>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</si>
  <si>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</si>
  <si>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</si>
  <si>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</si>
  <si>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</si>
  <si>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</si>
  <si>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</si>
  <si>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</si>
  <si>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</si>
  <si>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</si>
  <si>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</si>
  <si>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</si>
  <si>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</si>
  <si>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</si>
  <si>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</si>
  <si>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</si>
  <si>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</si>
  <si>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</si>
  <si>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</si>
  <si>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</si>
  <si>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</si>
  <si>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</si>
  <si>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</si>
  <si>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</si>
  <si>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</si>
  <si>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</si>
  <si>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</si>
  <si>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</si>
  <si>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</si>
  <si>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</si>
  <si>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</si>
  <si>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</si>
  <si>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</si>
  <si>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</si>
  <si>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</si>
  <si>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</si>
  <si>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</si>
  <si>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</si>
  <si>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</si>
  <si>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</si>
  <si>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</si>
  <si>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</si>
  <si>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</si>
  <si>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</si>
  <si>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</si>
  <si>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</si>
  <si>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</si>
  <si>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</si>
  <si>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</si>
  <si>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</si>
  <si>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</si>
  <si>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</si>
  <si>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</si>
  <si>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</si>
  <si>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</si>
  <si>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</si>
  <si>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</si>
  <si>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</si>
  <si>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</si>
  <si>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</si>
  <si>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</si>
  <si>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</si>
  <si>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</si>
  <si>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</si>
  <si>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</si>
  <si>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</si>
  <si>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</si>
  <si>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</si>
  <si>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</si>
  <si>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</si>
  <si>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</si>
  <si>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</si>
  <si>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</si>
  <si>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</si>
  <si>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</si>
  <si>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</si>
  <si>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</si>
  <si>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</si>
  <si>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</si>
  <si>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</si>
  <si>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</si>
  <si>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</si>
  <si>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</si>
  <si>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</si>
  <si>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</si>
  <si>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</si>
  <si>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</si>
  <si>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</si>
  <si>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</si>
  <si>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</si>
  <si>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</si>
  <si>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</si>
  <si>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</si>
  <si>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</si>
  <si>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</si>
  <si>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</si>
  <si>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</si>
  <si>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</si>
  <si>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</si>
  <si>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</si>
  <si>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</si>
  <si>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</si>
  <si>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</si>
  <si>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</si>
  <si>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</si>
  <si>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</si>
  <si>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</si>
  <si>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</si>
  <si>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</si>
  <si>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</si>
  <si>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</si>
  <si>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</si>
  <si>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</si>
  <si>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</si>
  <si>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</si>
  <si>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</si>
  <si>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</si>
  <si>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</si>
  <si>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</si>
  <si>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</si>
  <si>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</si>
  <si>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</si>
  <si>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</si>
  <si>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</si>
  <si>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</si>
  <si>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</si>
  <si>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</si>
  <si>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</si>
  <si>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</si>
  <si>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</si>
  <si>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</si>
  <si>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</si>
  <si>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</si>
  <si>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</si>
  <si>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</si>
  <si>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</si>
  <si>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</si>
  <si>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</si>
  <si>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</si>
  <si>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</si>
  <si>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</si>
  <si>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</si>
  <si>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</si>
  <si>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</si>
  <si>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</si>
  <si>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</si>
  <si>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</si>
  <si>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</si>
  <si>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</si>
  <si>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</si>
  <si>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</si>
  <si>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</si>
  <si>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</si>
  <si>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</si>
  <si>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</si>
  <si>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</si>
  <si>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</si>
  <si>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</si>
  <si>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</si>
  <si>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</si>
  <si>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</si>
  <si>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</si>
  <si>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</si>
  <si>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</si>
  <si>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</si>
  <si>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</si>
  <si>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</si>
  <si>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</si>
  <si>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</si>
  <si>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</si>
  <si>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</si>
  <si>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</si>
  <si>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</si>
  <si>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</si>
  <si>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</si>
  <si>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</si>
  <si>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</si>
  <si>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</si>
  <si>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</si>
  <si>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</si>
  <si>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</si>
  <si>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</si>
  <si>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</si>
  <si>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</si>
  <si>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</si>
  <si>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</si>
  <si>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</si>
  <si>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</si>
  <si>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</si>
  <si>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</si>
  <si>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</si>
  <si>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</si>
  <si>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</si>
  <si>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</si>
  <si>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</si>
  <si>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</si>
  <si>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</si>
  <si>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</si>
  <si>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</si>
  <si>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</si>
  <si>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</si>
  <si>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</si>
  <si>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</si>
  <si>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</si>
  <si>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</si>
  <si>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</si>
  <si>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</si>
  <si>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</si>
  <si>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</si>
  <si>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</si>
  <si>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</si>
  <si>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</si>
  <si>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</si>
  <si>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</si>
  <si>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</si>
  <si>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</si>
  <si>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</si>
  <si>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</si>
  <si>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</si>
  <si>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</si>
  <si>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</si>
  <si>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</si>
  <si>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</si>
  <si>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</si>
  <si>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</si>
  <si>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</si>
  <si>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</si>
  <si>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</si>
  <si>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</si>
  <si>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</si>
  <si>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</si>
  <si>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</si>
  <si>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</si>
  <si>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</si>
  <si>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</si>
  <si>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</si>
  <si>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</si>
  <si>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</si>
  <si>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</si>
  <si>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</si>
  <si>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</si>
  <si>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</si>
  <si>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</si>
  <si>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</si>
  <si>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</si>
  <si>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</si>
  <si>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</si>
  <si>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</si>
  <si>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</si>
  <si>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</si>
  <si>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</si>
  <si>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</si>
  <si>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</si>
  <si>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</si>
  <si>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</si>
  <si>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</si>
  <si>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</si>
  <si>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</si>
  <si>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</si>
  <si>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</si>
  <si>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</si>
  <si>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</si>
  <si>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</si>
  <si>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</si>
  <si>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</si>
  <si>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</si>
  <si>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</si>
  <si>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</si>
  <si>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</si>
  <si>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</si>
  <si>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</si>
  <si>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</si>
  <si>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</si>
  <si>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</si>
  <si>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</si>
  <si>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</si>
  <si>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</si>
  <si>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</si>
  <si>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</si>
  <si>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</si>
  <si>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</si>
  <si>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</si>
  <si>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</si>
  <si>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</si>
  <si>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</si>
  <si>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</si>
  <si>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</si>
  <si>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</si>
  <si>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</si>
  <si>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</si>
  <si>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</si>
  <si>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</si>
  <si>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</si>
  <si>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</si>
  <si>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</si>
  <si>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</si>
  <si>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</si>
  <si>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</si>
  <si>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</si>
  <si>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</si>
  <si>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</si>
  <si>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</si>
  <si>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</si>
  <si>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</si>
  <si>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</si>
  <si>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</si>
  <si>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</si>
  <si>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</si>
  <si>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</si>
  <si>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</si>
  <si>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</si>
  <si>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</si>
  <si>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</si>
  <si>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</si>
  <si>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</si>
  <si>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</si>
  <si>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</si>
  <si>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</si>
  <si>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</si>
  <si>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</si>
  <si>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</si>
  <si>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</si>
  <si>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</si>
  <si>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</si>
  <si>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</si>
  <si>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</si>
  <si>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</si>
  <si>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</si>
  <si>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</si>
  <si>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</si>
  <si>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</si>
  <si>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</si>
  <si>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</si>
  <si>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</si>
  <si>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</si>
  <si>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</si>
  <si>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</si>
  <si>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</si>
  <si>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</si>
  <si>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</si>
  <si>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</si>
  <si>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</si>
  <si>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</si>
  <si>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</si>
  <si>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</si>
  <si>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</si>
  <si>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</si>
  <si>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</si>
  <si>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</si>
  <si>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</si>
  <si>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</si>
  <si>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</si>
  <si>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</si>
  <si>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</si>
  <si>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</si>
  <si>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</si>
  <si>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</si>
  <si>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</si>
  <si>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</si>
  <si>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</si>
  <si>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</si>
  <si>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</si>
  <si>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</si>
  <si>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</si>
  <si>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</si>
  <si>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</si>
  <si>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</si>
  <si>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</si>
  <si>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</si>
  <si>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</si>
  <si>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</si>
  <si>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</si>
  <si>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</si>
  <si>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</si>
  <si>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</si>
  <si>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</si>
  <si>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</si>
  <si>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</si>
  <si>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</si>
  <si>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</si>
  <si>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</si>
  <si>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</si>
  <si>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</si>
  <si>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</si>
  <si>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</si>
  <si>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</si>
  <si>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</si>
  <si>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</si>
  <si>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</si>
  <si>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</si>
  <si>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</si>
  <si>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</si>
  <si>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</si>
  <si>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</si>
  <si>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</si>
  <si>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</si>
  <si>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</si>
  <si>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</si>
  <si>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</si>
  <si>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</si>
  <si>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</si>
  <si>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</si>
  <si>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</si>
  <si>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</si>
  <si>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</si>
  <si>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</si>
  <si>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</si>
  <si>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</si>
  <si>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</si>
  <si>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</si>
  <si>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</si>
  <si>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</si>
  <si>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</si>
  <si>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</si>
  <si>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</si>
  <si>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</si>
  <si>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</si>
  <si>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</si>
  <si>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</si>
  <si>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</si>
  <si>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</si>
  <si>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</si>
  <si>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</si>
  <si>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</si>
  <si>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</si>
  <si>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</si>
  <si>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</si>
  <si>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</si>
  <si>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</si>
  <si>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</si>
  <si>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</si>
  <si>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</si>
  <si>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</si>
  <si>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</si>
  <si>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</si>
  <si>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</si>
  <si>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</si>
  <si>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</si>
  <si>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</si>
  <si>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</si>
  <si>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</si>
  <si>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</si>
  <si>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</si>
  <si>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</si>
  <si>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</si>
  <si>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</si>
  <si>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</si>
  <si>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</si>
  <si>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</si>
  <si>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</si>
  <si>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</si>
  <si>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</si>
  <si>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</si>
  <si>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</si>
  <si>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</si>
  <si>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</si>
  <si>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</si>
  <si>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</si>
  <si>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</si>
  <si>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</si>
  <si>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</si>
  <si>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</si>
  <si>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</si>
  <si>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</si>
  <si>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</si>
  <si>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</si>
  <si>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</si>
  <si>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</si>
  <si>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</si>
  <si>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</si>
  <si>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</si>
  <si>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</si>
  <si>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</si>
  <si>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</si>
  <si>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</si>
  <si>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</si>
  <si>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</si>
  <si>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</si>
  <si>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</si>
  <si>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</si>
  <si>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</si>
  <si>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</si>
  <si>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</si>
  <si>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</si>
  <si>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</si>
  <si>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</si>
  <si>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</si>
  <si>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</si>
  <si>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</si>
  <si>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</si>
  <si>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</si>
  <si>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</si>
  <si>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</si>
  <si>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</si>
  <si>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</si>
  <si>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</si>
  <si>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</si>
  <si>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</si>
  <si>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</si>
  <si>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</si>
  <si>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</si>
  <si>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</si>
  <si>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</si>
  <si>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</si>
  <si>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</si>
  <si>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</si>
  <si>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</si>
  <si>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</si>
  <si>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</si>
  <si>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</si>
  <si>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</si>
  <si>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</si>
  <si>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</si>
  <si>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</si>
  <si>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</si>
  <si>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</si>
  <si>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</si>
  <si>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</si>
  <si>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</si>
  <si>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</si>
  <si>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</si>
  <si>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</si>
  <si>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</si>
  <si>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</si>
  <si>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</si>
  <si>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</si>
  <si>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</si>
  <si>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</si>
  <si>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</si>
  <si>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</si>
  <si>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</si>
  <si>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</si>
  <si>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</si>
  <si>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</si>
  <si>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</si>
  <si>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</si>
  <si>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</si>
  <si>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</si>
  <si>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</si>
  <si>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</si>
  <si>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</si>
  <si>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</si>
  <si>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</si>
  <si>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</si>
  <si>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</si>
  <si>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</si>
  <si>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</si>
  <si>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</si>
  <si>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</si>
  <si>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</si>
  <si>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</si>
  <si>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</si>
  <si>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</si>
  <si>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</si>
  <si>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</si>
  <si>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</si>
  <si>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</si>
  <si>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</si>
  <si>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</si>
  <si>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</si>
  <si>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</si>
  <si>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</si>
  <si>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</si>
  <si>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</si>
  <si>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</si>
  <si>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</si>
  <si>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</si>
  <si>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</si>
  <si>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</si>
  <si>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</si>
  <si>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</si>
  <si>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</si>
  <si>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</si>
  <si>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</si>
  <si>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</si>
  <si>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</si>
  <si>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</si>
  <si>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</si>
  <si>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</si>
  <si>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</si>
  <si>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</si>
  <si>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</si>
  <si>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</si>
  <si>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</si>
  <si>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</si>
  <si>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</si>
  <si>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</si>
  <si>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</si>
  <si>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</si>
  <si>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</si>
  <si>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</si>
  <si>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</si>
  <si>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</si>
  <si>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</si>
  <si>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</si>
  <si>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</si>
  <si>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</si>
  <si>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</si>
  <si>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</si>
  <si>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</si>
  <si>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</si>
  <si>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</si>
  <si>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</si>
  <si>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</si>
  <si>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</si>
  <si>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</si>
  <si>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</si>
  <si>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</si>
  <si>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</si>
  <si>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</si>
  <si>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</si>
  <si>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</si>
  <si>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</si>
  <si>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</si>
  <si>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</si>
  <si>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</si>
  <si>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</si>
  <si>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</si>
  <si>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</si>
  <si>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</si>
  <si>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</si>
  <si>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</si>
  <si>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</si>
  <si>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</si>
  <si>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</si>
  <si>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</si>
  <si>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</si>
  <si>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</si>
  <si>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</si>
  <si>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</si>
  <si>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</si>
  <si>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</si>
  <si>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</si>
  <si>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</si>
  <si>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</si>
  <si>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</si>
  <si>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</si>
  <si>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</si>
  <si>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</si>
  <si>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</si>
  <si>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</si>
  <si>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</si>
  <si>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</si>
  <si>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</si>
  <si>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</si>
  <si>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</si>
  <si>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</si>
  <si>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</si>
  <si>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</si>
  <si>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</si>
  <si>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</si>
  <si>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</si>
  <si>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</si>
  <si>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</si>
  <si>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</si>
  <si>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</si>
  <si>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</si>
  <si>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</si>
  <si>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</si>
  <si>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</si>
  <si>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</si>
  <si>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</si>
  <si>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</si>
  <si>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</si>
  <si>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</si>
  <si>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</si>
  <si>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</si>
  <si>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</si>
  <si>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</si>
  <si>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</si>
  <si>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</si>
  <si>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</si>
  <si>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</si>
  <si>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</si>
  <si>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</si>
  <si>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</si>
  <si>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</si>
  <si>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</si>
  <si>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</si>
  <si>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</si>
  <si>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</si>
  <si>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</si>
  <si>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</si>
  <si>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</si>
  <si>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</si>
  <si>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</si>
  <si>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</si>
  <si>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</si>
  <si>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</si>
  <si>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</si>
  <si>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</si>
  <si>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</si>
  <si>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</si>
  <si>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</si>
  <si>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</si>
  <si>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</si>
  <si>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</si>
  <si>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</si>
  <si>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</si>
  <si>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</si>
  <si>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</si>
  <si>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</si>
  <si>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</si>
  <si>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</si>
  <si>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</si>
  <si>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</si>
  <si>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</si>
  <si>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</si>
  <si>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</si>
  <si>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</si>
  <si>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</si>
  <si>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</si>
  <si>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</si>
  <si>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</si>
  <si>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</si>
  <si>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</si>
  <si>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</si>
  <si>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</si>
  <si>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</si>
  <si>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</si>
  <si>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</si>
  <si>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</si>
  <si>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</si>
  <si>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</si>
  <si>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</si>
  <si>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</si>
  <si>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</si>
  <si>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</si>
  <si>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</si>
  <si>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</si>
  <si>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</si>
  <si>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</si>
  <si>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</si>
  <si>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</si>
  <si>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</si>
  <si>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</si>
  <si>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</si>
  <si>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</si>
  <si>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</si>
  <si>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</si>
  <si>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</si>
  <si>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</si>
  <si>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</si>
  <si>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</si>
  <si>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</si>
  <si>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</si>
  <si>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</si>
  <si>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</si>
  <si>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</si>
  <si>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</si>
  <si>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</si>
  <si>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</si>
  <si>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</si>
  <si>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</si>
  <si>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</si>
  <si>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</si>
  <si>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</si>
  <si>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</si>
  <si>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</si>
  <si>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</si>
  <si>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</si>
  <si>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</si>
  <si>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</si>
  <si>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</si>
  <si>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</si>
  <si>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</si>
  <si>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</si>
  <si>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</si>
  <si>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</si>
  <si>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</si>
  <si>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</si>
  <si>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</si>
  <si>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</si>
  <si>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</si>
  <si>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</si>
  <si>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</si>
  <si>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</si>
  <si>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</si>
  <si>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</si>
  <si>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</si>
  <si>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</si>
  <si>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</si>
  <si>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</si>
  <si>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</si>
  <si>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</si>
  <si>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</si>
  <si>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</si>
  <si>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</si>
  <si>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</si>
  <si>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</si>
  <si>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</si>
  <si>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</si>
  <si>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</si>
  <si>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</si>
  <si>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</si>
  <si>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</si>
  <si>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</si>
  <si>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</si>
  <si>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</si>
  <si>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</si>
  <si>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</si>
  <si>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</si>
  <si>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</si>
  <si>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</si>
  <si>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</si>
  <si>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</si>
  <si>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</si>
  <si>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</si>
  <si>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</si>
  <si>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</si>
  <si>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</si>
  <si>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</si>
  <si>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</si>
  <si>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</si>
  <si>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</si>
  <si>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</si>
  <si>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</si>
  <si>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</si>
  <si>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</si>
  <si>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</si>
  <si>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</si>
  <si>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</si>
  <si>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</si>
  <si>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</si>
  <si>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</si>
  <si>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</si>
  <si>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</si>
  <si>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</si>
  <si>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</si>
  <si>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</si>
  <si>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</si>
  <si>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</si>
  <si>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</si>
  <si>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</si>
  <si>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</si>
  <si>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</si>
  <si>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</si>
  <si>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</si>
  <si>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</si>
  <si>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</si>
  <si>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</si>
  <si>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</si>
  <si>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</si>
  <si>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</si>
  <si>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</si>
  <si>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</si>
  <si>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</si>
  <si>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</si>
  <si>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</si>
  <si>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</si>
  <si>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</si>
  <si>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</si>
  <si>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</si>
  <si>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</si>
  <si>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</si>
  <si>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</si>
  <si>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</si>
  <si>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</si>
  <si>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</si>
  <si>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</si>
  <si>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</si>
  <si>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</si>
  <si>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</si>
  <si>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</si>
  <si>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</si>
  <si>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</si>
  <si>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</si>
  <si>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</si>
  <si>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</si>
  <si>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</si>
  <si>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</si>
  <si>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</si>
  <si>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</si>
  <si>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</si>
  <si>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</si>
  <si>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</si>
  <si>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</si>
  <si>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</si>
  <si>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</si>
  <si>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</si>
  <si>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</si>
  <si>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</si>
  <si>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</si>
  <si>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</si>
  <si>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</si>
  <si>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</si>
  <si>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</si>
  <si>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</si>
  <si>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</si>
  <si>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</si>
  <si>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</si>
  <si>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</si>
  <si>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</si>
  <si>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</si>
  <si>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</si>
  <si>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</si>
  <si>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</si>
  <si>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</si>
  <si>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</si>
  <si>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</si>
  <si>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</si>
  <si>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</si>
  <si>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</si>
  <si>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</si>
  <si>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</si>
  <si>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</si>
  <si>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</si>
  <si>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</si>
  <si>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</si>
  <si>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</si>
  <si>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</si>
  <si>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</si>
  <si>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</si>
  <si>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</si>
  <si>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</si>
  <si>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</si>
  <si>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</si>
  <si>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</si>
  <si>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</si>
  <si>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</si>
  <si>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</si>
  <si>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</si>
  <si>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</si>
  <si>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</si>
  <si>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</si>
  <si>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</si>
  <si>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</si>
  <si>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</si>
  <si>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</si>
  <si>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</si>
  <si>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</si>
  <si>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</si>
  <si>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</si>
  <si>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</si>
  <si>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</si>
  <si>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</si>
  <si>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</si>
  <si>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</si>
  <si>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</si>
  <si>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</si>
  <si>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</si>
  <si>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</si>
  <si>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</si>
  <si>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</si>
  <si>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</si>
  <si>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</si>
  <si>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</si>
  <si>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</si>
  <si>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</si>
  <si>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</si>
  <si>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</si>
  <si>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</si>
  <si>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</si>
  <si>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</si>
  <si>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</si>
  <si>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</si>
  <si>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</si>
  <si>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</si>
  <si>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</si>
  <si>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</si>
  <si>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</si>
  <si>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</si>
  <si>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</si>
  <si>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</si>
  <si>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</si>
  <si>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</si>
  <si>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</si>
  <si>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</si>
  <si>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</si>
  <si>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</si>
  <si>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</si>
  <si>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</si>
  <si>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</si>
  <si>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</si>
  <si>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</si>
  <si>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</si>
  <si>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</si>
  <si>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</si>
  <si>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</si>
  <si>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</si>
  <si>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</si>
  <si>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</si>
  <si>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</si>
  <si>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</si>
  <si>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</si>
  <si>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</si>
  <si>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</si>
  <si>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</si>
  <si>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</si>
  <si>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</si>
  <si>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</si>
  <si>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</si>
  <si>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</si>
  <si>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</si>
  <si>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</si>
  <si>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</si>
  <si>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</si>
  <si>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</si>
  <si>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</si>
  <si>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</si>
  <si>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</si>
  <si>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</si>
  <si>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</si>
  <si>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</si>
  <si>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</si>
  <si>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</si>
  <si>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</si>
  <si>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</si>
  <si>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</si>
  <si>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</si>
  <si>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</si>
  <si>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</si>
  <si>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</si>
  <si>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</si>
  <si>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</si>
  <si>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</si>
  <si>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</si>
  <si>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</si>
  <si>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</si>
  <si>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</si>
  <si>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</si>
  <si>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</si>
  <si>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</si>
  <si>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</si>
  <si>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</si>
  <si>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</si>
  <si>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</si>
  <si>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</si>
  <si>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</si>
  <si>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</si>
  <si>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</si>
  <si>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</si>
  <si>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</si>
  <si>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</si>
  <si>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</si>
  <si>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</si>
  <si>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</si>
  <si>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</si>
  <si>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</si>
  <si>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</si>
  <si>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</si>
  <si>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</si>
  <si>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</si>
  <si>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</si>
  <si>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</si>
  <si>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</si>
  <si>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</si>
  <si>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</si>
  <si>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</si>
  <si>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</si>
  <si>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</si>
  <si>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</si>
  <si>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</si>
  <si>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</si>
  <si>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</si>
  <si>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</si>
  <si>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</si>
  <si>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</si>
  <si>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</si>
  <si>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</si>
  <si>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</si>
  <si>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</si>
  <si>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</si>
  <si>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</si>
  <si>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</si>
  <si>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</si>
  <si>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</si>
  <si>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</si>
  <si>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</si>
  <si>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</si>
  <si>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</si>
  <si>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</si>
  <si>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</si>
  <si>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</si>
  <si>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</si>
  <si>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</si>
  <si>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</si>
  <si>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</si>
  <si>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</si>
  <si>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</si>
  <si>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</si>
  <si>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</si>
  <si>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</si>
  <si>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</si>
  <si>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</si>
  <si>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</si>
  <si>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</si>
  <si>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</si>
  <si>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</si>
  <si>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</si>
  <si>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</si>
  <si>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</si>
  <si>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</si>
  <si>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</si>
  <si>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</si>
  <si>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</si>
  <si>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</si>
  <si>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</si>
  <si>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</si>
  <si>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</si>
  <si>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</si>
  <si>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</si>
  <si>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</si>
  <si>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</si>
  <si>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</si>
  <si>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</si>
  <si>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</si>
  <si>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</si>
  <si>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</si>
  <si>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</si>
  <si>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</si>
  <si>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</si>
  <si>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</si>
  <si>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</si>
  <si>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</si>
  <si>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</si>
  <si>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</si>
  <si>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</si>
  <si>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</si>
  <si>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</si>
  <si>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</si>
  <si>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</si>
  <si>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</si>
  <si>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</si>
  <si>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</si>
  <si>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</si>
  <si>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</si>
  <si>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</si>
  <si>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</si>
  <si>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</si>
  <si>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</si>
  <si>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</si>
  <si>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</si>
  <si>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</si>
  <si>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</si>
  <si>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</si>
  <si>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</si>
  <si>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</si>
  <si>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</si>
  <si>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</si>
  <si>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</si>
  <si>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</si>
  <si>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</si>
  <si>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</si>
  <si>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</si>
  <si>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</si>
  <si>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</si>
  <si>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</si>
  <si>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</si>
  <si>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</si>
  <si>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</si>
  <si>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</si>
  <si>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</si>
  <si>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</si>
  <si>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</si>
  <si>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</si>
  <si>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</si>
  <si>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</si>
  <si>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</si>
  <si>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</si>
  <si>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</si>
  <si>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</si>
  <si>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</si>
  <si>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</si>
  <si>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</si>
  <si>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</si>
  <si>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</si>
  <si>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</si>
  <si>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</si>
  <si>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</si>
  <si>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</si>
  <si>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</si>
  <si>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</si>
  <si>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</si>
  <si>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</si>
  <si>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</si>
  <si>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</si>
  <si>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</si>
  <si>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</si>
  <si>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</si>
  <si>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</si>
  <si>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</si>
  <si>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</si>
  <si>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</si>
  <si>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</si>
  <si>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</si>
  <si>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</si>
  <si>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</si>
  <si>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</si>
  <si>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</si>
  <si>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</si>
  <si>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</si>
  <si>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</si>
  <si>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</si>
  <si>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</si>
  <si>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</si>
  <si>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</si>
  <si>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</si>
  <si>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</si>
  <si>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</si>
  <si>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</si>
  <si>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</si>
  <si>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</si>
  <si>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</si>
  <si>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</si>
  <si>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</si>
  <si>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</si>
  <si>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</si>
  <si>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</si>
  <si>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</si>
  <si>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</si>
  <si>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</si>
  <si>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</si>
  <si>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</si>
  <si>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</si>
  <si>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</si>
  <si>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</si>
  <si>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</si>
  <si>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</si>
  <si>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</si>
  <si>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</si>
  <si>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</si>
  <si>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</si>
  <si>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</si>
  <si>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</si>
  <si>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</si>
  <si>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</si>
  <si>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</si>
  <si>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</si>
  <si>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</si>
  <si>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</si>
  <si>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</si>
  <si>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</si>
  <si>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</si>
  <si>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</si>
  <si>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</si>
  <si>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</si>
  <si>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</si>
  <si>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</si>
  <si>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</si>
  <si>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</si>
  <si>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</si>
  <si>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</si>
  <si>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</si>
  <si>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</si>
  <si>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</si>
  <si>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</si>
  <si>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</si>
  <si>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</si>
  <si>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</si>
  <si>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</si>
  <si>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</si>
  <si>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</si>
  <si>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</si>
  <si>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</si>
  <si>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</si>
  <si>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</si>
  <si>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</si>
  <si>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</si>
  <si>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</si>
  <si>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</si>
  <si>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</si>
  <si>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</si>
  <si>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</si>
  <si>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</si>
  <si>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</si>
  <si>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</si>
  <si>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</si>
  <si>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</si>
  <si>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</si>
  <si>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</si>
  <si>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</si>
  <si>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</si>
  <si>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</si>
  <si>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</si>
  <si>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</si>
  <si>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</si>
  <si>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</si>
  <si>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</si>
  <si>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</si>
  <si>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</si>
  <si>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</si>
  <si>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</si>
  <si>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</si>
  <si>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</si>
  <si>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</si>
  <si>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</si>
  <si>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</si>
  <si>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</si>
  <si>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</si>
  <si>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</si>
  <si>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</si>
  <si>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</si>
  <si>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</si>
  <si>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</si>
  <si>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</si>
  <si>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</si>
  <si>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</si>
  <si>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</si>
  <si>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</si>
  <si>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</si>
  <si>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</si>
  <si>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</si>
  <si>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</si>
  <si>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</si>
  <si>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</si>
  <si>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</si>
  <si>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</si>
  <si>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</si>
  <si>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</si>
  <si>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</si>
  <si>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</si>
  <si>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</si>
  <si>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</si>
  <si>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</si>
  <si>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</si>
  <si>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</si>
  <si>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</si>
  <si>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</si>
  <si>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</si>
  <si>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</si>
  <si>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</si>
  <si>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</si>
  <si>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</si>
  <si>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</si>
  <si>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</si>
  <si>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</si>
  <si>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</si>
  <si>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</si>
  <si>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</si>
  <si>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</si>
  <si>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</si>
  <si>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</si>
  <si>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</si>
  <si>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</si>
  <si>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</si>
  <si>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</si>
  <si>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</si>
  <si>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</si>
  <si>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</si>
  <si>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</si>
  <si>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</si>
  <si>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</si>
  <si>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</si>
  <si>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</si>
  <si>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</si>
  <si>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</si>
  <si>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</si>
  <si>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</si>
  <si>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</si>
  <si>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</si>
  <si>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</si>
  <si>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</si>
  <si>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</si>
  <si>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</si>
  <si>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</si>
  <si>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</si>
  <si>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</si>
  <si>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</si>
  <si>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</si>
  <si>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</si>
  <si>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</si>
  <si>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</si>
  <si>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</si>
  <si>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</si>
  <si>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</si>
  <si>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</si>
  <si>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</si>
  <si>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</si>
  <si>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</si>
  <si>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</si>
  <si>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</si>
  <si>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</si>
  <si>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</si>
  <si>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</si>
  <si>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</si>
  <si>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</si>
  <si>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</si>
  <si>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</si>
  <si>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</si>
  <si>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</si>
  <si>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</si>
  <si>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</si>
  <si>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</si>
  <si>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</si>
  <si>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</si>
  <si>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</si>
  <si>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</si>
  <si>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</si>
  <si>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</si>
  <si>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</si>
  <si>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</si>
  <si>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</si>
  <si>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</si>
  <si>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</si>
  <si>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</si>
  <si>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</si>
  <si>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</si>
  <si>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</si>
  <si>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</si>
  <si>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</si>
  <si>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</si>
  <si>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</si>
  <si>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</si>
  <si>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</si>
  <si>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</si>
  <si>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</si>
  <si>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</si>
  <si>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</si>
  <si>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</si>
  <si>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</si>
  <si>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</si>
  <si>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</si>
  <si>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</si>
  <si>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</si>
  <si>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</si>
  <si>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</si>
  <si>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</si>
  <si>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</si>
  <si>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</si>
  <si>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</si>
  <si>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</si>
  <si>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</si>
  <si>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</si>
  <si>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</si>
  <si>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</si>
  <si>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</si>
  <si>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</si>
  <si>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</si>
  <si>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</si>
  <si>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</si>
  <si>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</si>
  <si>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</si>
  <si>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</si>
  <si>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</si>
  <si>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</si>
  <si>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</si>
  <si>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</si>
  <si>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</si>
  <si>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</si>
  <si>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</si>
  <si>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</si>
  <si>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</si>
  <si>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</si>
  <si>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</si>
  <si>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</si>
  <si>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</si>
  <si>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</si>
  <si>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</si>
  <si>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</si>
  <si>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</si>
  <si>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</si>
  <si>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</si>
  <si>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</si>
  <si>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</si>
  <si>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</si>
  <si>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</si>
  <si>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</si>
  <si>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</si>
  <si>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</si>
  <si>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</si>
  <si>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</si>
  <si>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</si>
  <si>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</si>
  <si>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</si>
  <si>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</si>
  <si>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</si>
  <si>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</si>
  <si>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</si>
  <si>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</si>
  <si>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</si>
  <si>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</si>
  <si>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</si>
  <si>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</si>
  <si>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</si>
  <si>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</si>
  <si>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</si>
  <si>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</si>
  <si>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</si>
  <si>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</si>
  <si>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</si>
  <si>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</si>
  <si>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</si>
  <si>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</si>
  <si>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</si>
  <si>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</si>
  <si>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</si>
  <si>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</si>
  <si>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</si>
  <si>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</si>
  <si>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</si>
  <si>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</si>
  <si>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</si>
  <si>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</si>
  <si>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</si>
  <si>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</si>
  <si>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</si>
  <si>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</si>
  <si>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</si>
  <si>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</si>
  <si>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</si>
  <si>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</si>
  <si>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</si>
  <si>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</si>
  <si>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</si>
  <si>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</si>
  <si>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</si>
  <si>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</si>
  <si>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</si>
  <si>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</si>
  <si>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</si>
  <si>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</si>
  <si>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</si>
  <si>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</si>
  <si>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</si>
  <si>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</si>
  <si>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</si>
  <si>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</si>
  <si>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</si>
  <si>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</si>
  <si>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</si>
  <si>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</si>
  <si>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</si>
  <si>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</si>
  <si>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</si>
  <si>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</si>
  <si>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</si>
  <si>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</si>
  <si>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</si>
  <si>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</si>
  <si>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</si>
  <si>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</si>
  <si>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</si>
  <si>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</si>
  <si>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</si>
  <si>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</si>
  <si>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</si>
  <si>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</si>
  <si>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</si>
  <si>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</si>
  <si>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</si>
  <si>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</si>
  <si>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</si>
  <si>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</si>
  <si>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</si>
  <si>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</si>
  <si>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</si>
  <si>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</si>
  <si>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</si>
  <si>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</si>
  <si>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</si>
  <si>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</si>
  <si>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</si>
  <si>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</si>
  <si>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</si>
  <si>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</si>
  <si>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</si>
  <si>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</si>
  <si>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</si>
  <si>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</si>
  <si>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</si>
  <si>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</si>
  <si>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</si>
  <si>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</si>
  <si>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</si>
  <si>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</si>
  <si>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</si>
  <si>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</si>
  <si>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</si>
  <si>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</si>
  <si>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</si>
  <si>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</si>
  <si>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</si>
  <si>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</si>
  <si>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</si>
  <si>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</si>
  <si>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</si>
  <si>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</si>
  <si>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</si>
  <si>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</si>
  <si>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</si>
  <si>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</si>
  <si>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</si>
  <si>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</si>
  <si>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</si>
  <si>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</si>
  <si>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</si>
  <si>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</si>
  <si>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</si>
  <si>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</si>
  <si>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</si>
  <si>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</si>
  <si>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</si>
  <si>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</si>
  <si>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</si>
  <si>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</si>
  <si>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</si>
  <si>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</si>
  <si>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</si>
  <si>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</si>
  <si>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</si>
  <si>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</si>
  <si>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</si>
  <si>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</si>
  <si>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</si>
  <si>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</si>
  <si>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</si>
  <si>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</si>
  <si>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</si>
  <si>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</si>
  <si>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</si>
  <si>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</si>
  <si>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</si>
  <si>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</si>
  <si>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</si>
  <si>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</si>
  <si>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</si>
  <si>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</si>
  <si>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</si>
  <si>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</si>
  <si>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</si>
  <si>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</si>
  <si>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</si>
  <si>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</si>
  <si>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</si>
  <si>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</si>
  <si>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</si>
  <si>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</si>
  <si>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</si>
  <si>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</si>
  <si>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</si>
  <si>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</si>
  <si>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</si>
  <si>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</si>
  <si>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</si>
  <si>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</si>
  <si>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</si>
  <si>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</si>
  <si>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</si>
  <si>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</si>
  <si>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</si>
  <si>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</si>
  <si>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</si>
  <si>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</si>
  <si>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</si>
  <si>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</si>
  <si>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</si>
  <si>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</si>
  <si>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</si>
  <si>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</si>
  <si>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</si>
  <si>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</si>
  <si>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</si>
  <si>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</si>
  <si>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</si>
  <si>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</si>
  <si>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</si>
  <si>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</si>
  <si>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</si>
  <si>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</si>
  <si>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</si>
  <si>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</si>
  <si>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</si>
  <si>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</si>
  <si>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</si>
  <si>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</si>
  <si>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</si>
  <si>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</si>
  <si>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</si>
  <si>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</si>
  <si>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</si>
  <si>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</si>
  <si>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</si>
  <si>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</si>
  <si>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</si>
  <si>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</si>
  <si>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</si>
  <si>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</si>
  <si>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</si>
  <si>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</si>
  <si>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</si>
  <si>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</si>
  <si>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</si>
  <si>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</si>
  <si>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</si>
  <si>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</si>
  <si>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</si>
  <si>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</si>
  <si>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</si>
  <si>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</si>
  <si>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</si>
  <si>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</si>
  <si>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</si>
  <si>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</si>
  <si>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</si>
  <si>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</si>
  <si>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</si>
  <si>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</si>
  <si>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</si>
  <si>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</si>
  <si>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</si>
  <si>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</si>
  <si>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</si>
  <si>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</si>
  <si>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</si>
  <si>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</si>
  <si>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</si>
  <si>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</si>
  <si>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</si>
  <si>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</si>
  <si>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</si>
  <si>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</si>
  <si>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</si>
  <si>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</si>
  <si>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</si>
  <si>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</si>
  <si>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</si>
  <si>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</si>
  <si>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</si>
  <si>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</si>
  <si>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</si>
  <si>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</si>
  <si>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</si>
  <si>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</si>
  <si>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</si>
  <si>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</si>
  <si>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</si>
  <si>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</si>
  <si>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</si>
  <si>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</si>
  <si>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</si>
  <si>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</si>
  <si>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</si>
  <si>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</si>
  <si>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</si>
  <si>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</si>
  <si>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</si>
  <si>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</si>
  <si>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</si>
  <si>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</si>
  <si>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</si>
  <si>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</si>
  <si>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</si>
  <si>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</si>
  <si>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</si>
  <si>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</si>
  <si>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</si>
  <si>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</si>
  <si>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</si>
  <si>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</si>
  <si>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</si>
  <si>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</si>
  <si>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</si>
  <si>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</si>
  <si>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</si>
  <si>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</si>
  <si>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</si>
  <si>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</si>
  <si>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</si>
  <si>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</si>
  <si>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</si>
  <si>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</si>
  <si>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</si>
  <si>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</si>
  <si>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</si>
  <si>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</si>
  <si>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</si>
  <si>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</si>
  <si>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</si>
  <si>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</si>
  <si>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</si>
  <si>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</si>
  <si>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</si>
  <si>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</si>
  <si>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</si>
  <si>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</si>
  <si>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</si>
  <si>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</si>
  <si>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</si>
  <si>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</si>
  <si>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</si>
  <si>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</si>
  <si>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</si>
  <si>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</si>
  <si>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</si>
  <si>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</si>
  <si>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</si>
  <si>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</si>
  <si>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</si>
  <si>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</si>
  <si>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</si>
  <si>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</si>
  <si>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</si>
  <si>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</si>
  <si>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</si>
  <si>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</si>
  <si>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</si>
  <si>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</si>
  <si>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</si>
  <si>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</si>
  <si>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</si>
  <si>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</si>
  <si>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</si>
  <si>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</si>
  <si>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</si>
  <si>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</si>
  <si>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</si>
  <si>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</si>
  <si>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</si>
  <si>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</si>
  <si>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</si>
  <si>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</si>
  <si>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</si>
  <si>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</si>
  <si>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</si>
  <si>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</si>
  <si>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</si>
  <si>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</si>
  <si>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</si>
  <si>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</si>
  <si>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</si>
  <si>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</si>
  <si>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</si>
  <si>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</si>
  <si>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</si>
  <si>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</si>
  <si>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</si>
  <si>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</si>
  <si>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</si>
  <si>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</si>
  <si>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</si>
  <si>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</si>
  <si>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</si>
  <si>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</si>
  <si>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</si>
  <si>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</si>
  <si>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</si>
  <si>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</si>
  <si>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</si>
  <si>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</si>
  <si>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</si>
  <si>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</si>
  <si>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</si>
  <si>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</si>
  <si>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</si>
  <si>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</si>
  <si>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</si>
  <si>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</si>
  <si>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</si>
  <si>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</si>
  <si>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</si>
  <si>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</si>
  <si>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</si>
  <si>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</si>
  <si>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</si>
  <si>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</si>
  <si>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</si>
  <si>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</si>
  <si>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</si>
  <si>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</si>
  <si>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</si>
  <si>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</si>
  <si>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</si>
  <si>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</si>
  <si>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</si>
  <si>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</si>
  <si>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</si>
  <si>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</si>
  <si>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</si>
  <si>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</si>
  <si>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</si>
  <si>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</si>
  <si>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</si>
  <si>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</si>
  <si>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</si>
  <si>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</si>
  <si>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</si>
  <si>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</si>
  <si>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</si>
  <si>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</si>
  <si>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</si>
  <si>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</si>
  <si>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</si>
  <si>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</si>
  <si>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</si>
  <si>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</si>
  <si>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</si>
  <si>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</si>
  <si>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</si>
  <si>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</si>
  <si>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</si>
  <si>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</si>
  <si>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</si>
  <si>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</si>
  <si>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</si>
  <si>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</si>
  <si>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</si>
  <si>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</si>
  <si>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</si>
  <si>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</si>
  <si>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</si>
  <si>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</si>
  <si>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</si>
  <si>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</si>
  <si>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</si>
  <si>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</si>
  <si>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</si>
  <si>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</si>
  <si>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</si>
  <si>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</si>
  <si>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</si>
  <si>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</si>
  <si>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</si>
  <si>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</si>
  <si>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</si>
  <si>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</si>
  <si>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</si>
  <si>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</si>
  <si>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</si>
  <si>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</si>
  <si>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</si>
  <si>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</si>
  <si>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</si>
  <si>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</si>
  <si>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</si>
  <si>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</si>
  <si>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</si>
  <si>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</si>
  <si>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</si>
  <si>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</si>
  <si>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</si>
  <si>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</si>
  <si>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</si>
  <si>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</si>
  <si>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</si>
  <si>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</si>
  <si>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</si>
  <si>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</si>
  <si>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</si>
  <si>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</si>
  <si>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</si>
  <si>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</si>
  <si>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</si>
  <si>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</si>
  <si>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</si>
  <si>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</si>
  <si>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</si>
  <si>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</si>
  <si>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</si>
  <si>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</si>
  <si>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</si>
  <si>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</si>
  <si>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</si>
  <si>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</si>
  <si>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</si>
  <si>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</si>
  <si>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</si>
  <si>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</si>
  <si>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</si>
  <si>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</si>
  <si>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</si>
  <si>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</si>
  <si>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</si>
  <si>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</si>
  <si>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</si>
  <si>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</si>
  <si>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</si>
  <si>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</si>
  <si>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</si>
  <si>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</si>
  <si>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</si>
  <si>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</si>
  <si>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</si>
  <si>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</si>
  <si>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</si>
  <si>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</si>
  <si>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</si>
  <si>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</si>
  <si>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</si>
  <si>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</si>
  <si>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</si>
  <si>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</si>
  <si>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</si>
  <si>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</si>
  <si>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</si>
  <si>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</si>
  <si>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</si>
  <si>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</si>
  <si>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</si>
  <si>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</si>
  <si>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</si>
  <si>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</si>
  <si>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</si>
  <si>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</si>
  <si>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</si>
  <si>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</si>
  <si>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</si>
  <si>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</si>
  <si>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</si>
  <si>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</si>
  <si>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</si>
  <si>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</si>
  <si>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</si>
  <si>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</si>
  <si>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</si>
  <si>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</si>
  <si>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</si>
  <si>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</si>
  <si>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</si>
  <si>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</si>
  <si>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</si>
  <si>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</si>
  <si>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</si>
  <si>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</si>
  <si>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</si>
  <si>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</si>
  <si>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</si>
  <si>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</si>
  <si>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</si>
  <si>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</si>
  <si>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</si>
  <si>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</si>
  <si>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</si>
  <si>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</si>
  <si>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</si>
  <si>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</si>
  <si>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</si>
  <si>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</si>
  <si>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</si>
  <si>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</si>
  <si>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</si>
  <si>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</si>
  <si>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</si>
  <si>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</si>
  <si>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</si>
  <si>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</si>
  <si>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</si>
  <si>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</si>
  <si>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</si>
  <si>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</si>
  <si>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</si>
  <si>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</si>
  <si>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</si>
  <si>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</si>
  <si>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</si>
  <si>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</si>
  <si>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</si>
  <si>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</si>
  <si>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</si>
  <si>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</si>
  <si>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</si>
  <si>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</si>
  <si>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</si>
  <si>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</si>
  <si>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</si>
  <si>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</si>
  <si>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</si>
  <si>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</si>
  <si>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</si>
  <si>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</si>
  <si>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</si>
  <si>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</si>
  <si>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</si>
  <si>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</si>
  <si>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</si>
  <si>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</si>
  <si>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</si>
  <si>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</si>
  <si>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</si>
  <si>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</si>
  <si>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</si>
  <si>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</si>
  <si>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</si>
  <si>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</si>
  <si>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</si>
  <si>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</si>
  <si>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</si>
  <si>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</si>
  <si>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</si>
  <si>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</si>
  <si>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</si>
  <si>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</si>
  <si>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</si>
  <si>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</si>
  <si>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</si>
  <si>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</si>
  <si>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</si>
  <si>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</si>
  <si>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</si>
  <si>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</si>
  <si>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</si>
  <si>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</si>
  <si>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</si>
  <si>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</si>
  <si>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</si>
  <si>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</si>
  <si>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</si>
  <si>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</si>
  <si>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</si>
  <si>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</si>
  <si>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</si>
  <si>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</si>
  <si>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</si>
  <si>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</si>
  <si>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</si>
  <si>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</si>
  <si>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</si>
  <si>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</si>
  <si>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</si>
  <si>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</si>
  <si>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</si>
  <si>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</si>
  <si>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</si>
  <si>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</si>
  <si>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</si>
  <si>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</si>
  <si>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</si>
  <si>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</si>
  <si>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</si>
  <si>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</si>
  <si>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</si>
  <si>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</si>
  <si>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</si>
  <si>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</si>
  <si>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</si>
  <si>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</si>
  <si>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</si>
  <si>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</si>
  <si>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</si>
  <si>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</si>
  <si>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</si>
  <si>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</si>
  <si>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</si>
  <si>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</si>
  <si>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</si>
  <si>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</si>
  <si>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</si>
  <si>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</si>
  <si>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</si>
  <si>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</si>
  <si>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</si>
  <si>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</si>
  <si>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</si>
  <si>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</si>
  <si>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</si>
  <si>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</si>
  <si>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</si>
  <si>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</si>
  <si>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</si>
  <si>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</si>
  <si>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</si>
  <si>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</si>
  <si>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</si>
  <si>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</si>
  <si>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</si>
  <si>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</si>
  <si>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</si>
  <si>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</si>
  <si>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</si>
  <si>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</si>
  <si>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</si>
  <si>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</si>
  <si>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</si>
  <si>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</si>
  <si>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</si>
  <si>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</si>
  <si>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</si>
  <si>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</si>
  <si>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</si>
  <si>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</si>
  <si>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</si>
  <si>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</si>
  <si>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</si>
  <si>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</si>
  <si>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</si>
  <si>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</si>
  <si>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</si>
  <si>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</si>
  <si>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</si>
  <si>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</si>
  <si>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</si>
  <si>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</si>
  <si>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</si>
  <si>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</si>
  <si>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</si>
  <si>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</si>
  <si>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</si>
  <si>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</si>
  <si>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</si>
  <si>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</si>
  <si>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</si>
  <si>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</si>
  <si>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</si>
  <si>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</si>
  <si>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</si>
  <si>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</si>
  <si>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</si>
  <si>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</si>
  <si>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</si>
  <si>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</si>
  <si>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</si>
  <si>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</si>
  <si>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</si>
  <si>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</si>
  <si>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</si>
  <si>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</si>
  <si>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</si>
  <si>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</si>
  <si>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</si>
  <si>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</si>
  <si>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</si>
  <si>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</si>
  <si>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</si>
  <si>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</si>
  <si>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</si>
  <si>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</si>
  <si>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</si>
  <si>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</si>
  <si>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</si>
  <si>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</si>
  <si>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</si>
  <si>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</si>
  <si>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</si>
  <si>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</si>
  <si>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</si>
  <si>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</si>
  <si>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</si>
  <si>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</si>
  <si>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</si>
  <si>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</si>
  <si>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</si>
  <si>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</si>
  <si>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</si>
  <si>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</si>
  <si>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</si>
  <si>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</si>
  <si>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</si>
  <si>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</si>
  <si>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</si>
  <si>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</si>
  <si>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</si>
  <si>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</si>
  <si>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</si>
  <si>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</si>
  <si>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</si>
  <si>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</si>
  <si>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</si>
  <si>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</si>
  <si>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</si>
  <si>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</si>
  <si>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</si>
  <si>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</si>
  <si>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</si>
  <si>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</si>
  <si>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</si>
  <si>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</si>
  <si>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</si>
  <si>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</si>
  <si>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</si>
  <si>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</si>
  <si>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</si>
  <si>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</si>
  <si>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</si>
  <si>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</si>
  <si>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</si>
  <si>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</si>
  <si>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</si>
  <si>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</si>
  <si>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</si>
  <si>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</si>
  <si>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</si>
  <si>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</si>
  <si>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</si>
  <si>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</si>
  <si>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</si>
  <si>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</si>
  <si>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</si>
  <si>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</si>
  <si>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</si>
  <si>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</si>
  <si>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</si>
  <si>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</si>
  <si>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</si>
  <si>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</si>
  <si>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</si>
  <si>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</si>
  <si>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</si>
  <si>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</si>
  <si>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</si>
  <si>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</si>
  <si>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</si>
  <si>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</si>
  <si>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</si>
  <si>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</si>
  <si>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</si>
  <si>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</si>
  <si>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</si>
  <si>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</si>
  <si>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</si>
  <si>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</si>
  <si>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</si>
  <si>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</si>
  <si>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</si>
  <si>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</si>
  <si>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</si>
  <si>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</si>
  <si>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</si>
  <si>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</si>
  <si>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</si>
  <si>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</si>
  <si>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</si>
  <si>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</si>
  <si>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</si>
  <si>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</si>
  <si>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</si>
  <si>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</si>
  <si>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</si>
  <si>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</si>
  <si>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</si>
  <si>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</si>
  <si>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</si>
  <si>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</si>
  <si>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</si>
  <si>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</si>
  <si>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</si>
  <si>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</si>
  <si>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</si>
  <si>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</si>
  <si>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</si>
  <si>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</si>
  <si>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</si>
  <si>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</si>
  <si>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</si>
  <si>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</si>
  <si>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</si>
  <si>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</si>
  <si>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</si>
  <si>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</si>
  <si>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</si>
  <si>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</si>
  <si>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</si>
  <si>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</si>
  <si>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</si>
  <si>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</si>
  <si>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</si>
  <si>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</si>
  <si>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</si>
  <si>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</si>
  <si>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</si>
  <si>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</si>
  <si>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</si>
  <si>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</si>
  <si>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</si>
  <si>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</si>
  <si>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</si>
  <si>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</si>
  <si>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</si>
  <si>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</si>
  <si>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</si>
  <si>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</si>
  <si>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</si>
  <si>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</si>
  <si>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</si>
  <si>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</si>
  <si>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</si>
  <si>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</si>
  <si>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</si>
  <si>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</si>
  <si>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</si>
  <si>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</si>
  <si>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</si>
  <si>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</si>
  <si>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</si>
  <si>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</si>
  <si>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</si>
  <si>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</si>
  <si>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</si>
  <si>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</si>
  <si>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</si>
  <si>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</si>
  <si>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</si>
  <si>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</si>
  <si>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</si>
  <si>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</si>
  <si>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</si>
  <si>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</si>
  <si>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</si>
  <si>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</si>
  <si>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</si>
  <si>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</si>
  <si>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</si>
  <si>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</si>
  <si>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</si>
  <si>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</si>
  <si>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</si>
  <si>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</si>
  <si>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</si>
  <si>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</si>
  <si>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</si>
  <si>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</si>
  <si>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</si>
  <si>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</si>
  <si>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</si>
  <si>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</si>
  <si>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</si>
  <si>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</si>
  <si>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</si>
  <si>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</si>
  <si>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</si>
  <si>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</si>
  <si>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</si>
  <si>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</si>
  <si>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</si>
  <si>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</si>
  <si>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</si>
  <si>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</si>
  <si>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</si>
  <si>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</si>
  <si>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</si>
  <si>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</si>
  <si>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</si>
  <si>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</si>
  <si>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</si>
  <si>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</si>
  <si>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</si>
  <si>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</si>
  <si>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</si>
  <si>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</si>
  <si>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</si>
  <si>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</si>
  <si>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</si>
  <si>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</si>
  <si>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</si>
  <si>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</si>
  <si>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</si>
  <si>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</si>
  <si>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</si>
  <si>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</si>
  <si>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</si>
  <si>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</si>
  <si>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</si>
  <si>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</si>
  <si>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</si>
  <si>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</si>
  <si>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</si>
  <si>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</si>
  <si>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</si>
  <si>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</si>
  <si>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</si>
  <si>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</si>
  <si>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</si>
  <si>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</si>
  <si>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</si>
  <si>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</si>
  <si>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</si>
  <si>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</si>
  <si>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</si>
  <si>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</si>
  <si>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</si>
  <si>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</si>
  <si>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</si>
  <si>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</si>
  <si>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</si>
  <si>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</si>
  <si>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</si>
  <si>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</si>
  <si>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</si>
  <si>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</si>
  <si>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</si>
  <si>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</si>
  <si>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</si>
  <si>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</si>
  <si>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</si>
  <si>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</si>
  <si>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</si>
  <si>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</si>
  <si>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</si>
  <si>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</si>
  <si>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</si>
  <si>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</si>
  <si>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</si>
  <si>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</si>
  <si>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</si>
  <si>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</si>
  <si>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</si>
  <si>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</si>
  <si>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</si>
  <si>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</si>
  <si>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</si>
  <si>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</si>
  <si>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</si>
  <si>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</si>
  <si>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</si>
  <si>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</si>
  <si>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</si>
  <si>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</si>
  <si>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</si>
  <si>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</si>
  <si>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</si>
  <si>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</si>
  <si>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</si>
  <si>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</si>
  <si>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</si>
  <si>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</si>
  <si>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</si>
  <si>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</si>
  <si>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</si>
  <si>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</si>
  <si>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</si>
  <si>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</si>
  <si>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</si>
  <si>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</si>
  <si>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</si>
  <si>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</si>
  <si>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</si>
  <si>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</si>
  <si>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</si>
  <si>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</si>
  <si>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</si>
  <si>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</si>
  <si>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</si>
  <si>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</si>
  <si>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</si>
  <si>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</si>
  <si>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</si>
  <si>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</si>
  <si>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</si>
  <si>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</si>
  <si>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</si>
  <si>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</si>
  <si>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</si>
  <si>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</si>
  <si>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</si>
  <si>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</si>
  <si>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</si>
  <si>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</si>
  <si>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</si>
  <si>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</si>
  <si>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</si>
  <si>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</si>
  <si>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</si>
  <si>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</si>
  <si>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</si>
  <si>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</si>
  <si>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</si>
  <si>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</si>
  <si>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</si>
  <si>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</si>
  <si>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</si>
  <si>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</si>
  <si>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</si>
  <si>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</si>
  <si>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</si>
  <si>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</si>
  <si>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</si>
  <si>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</si>
  <si>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</si>
  <si>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</si>
  <si>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</si>
  <si>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</si>
  <si>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</si>
  <si>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</si>
  <si>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</si>
  <si>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</si>
  <si>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</si>
  <si>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</si>
  <si>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</si>
  <si>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</si>
  <si>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</si>
  <si>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</si>
  <si>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</si>
  <si>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</si>
  <si>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</si>
  <si>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</si>
  <si>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</si>
  <si>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</si>
  <si>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</si>
  <si>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</si>
  <si>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</si>
  <si>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</si>
  <si>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</si>
  <si>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</si>
  <si>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</si>
  <si>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</si>
  <si>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</si>
  <si>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</si>
  <si>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</si>
  <si>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</si>
  <si>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</si>
  <si>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</si>
  <si>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</si>
  <si>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</si>
  <si>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</si>
  <si>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</si>
  <si>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</si>
  <si>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</si>
  <si>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</si>
  <si>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</si>
  <si>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</si>
  <si>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</si>
  <si>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</si>
  <si>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</si>
  <si>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</si>
  <si>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</si>
  <si>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</si>
  <si>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</si>
  <si>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</si>
  <si>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</si>
  <si>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</si>
  <si>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</si>
  <si>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</si>
  <si>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</si>
  <si>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</si>
  <si>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</si>
  <si>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</si>
  <si>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</si>
  <si>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</si>
  <si>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</si>
  <si>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</si>
  <si>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</si>
  <si>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</si>
  <si>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</si>
  <si>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</si>
  <si>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</si>
  <si>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</si>
  <si>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</si>
  <si>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</si>
  <si>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</si>
  <si>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</si>
  <si>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</si>
  <si>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</si>
  <si>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</si>
  <si>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</si>
  <si>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</si>
  <si>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</si>
  <si>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</si>
  <si>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</si>
  <si>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</si>
  <si>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</si>
  <si>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</si>
  <si>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</si>
  <si>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</si>
  <si>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</si>
  <si>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</si>
  <si>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</si>
  <si>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</si>
  <si>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</si>
  <si>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</si>
  <si>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</si>
  <si>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</si>
  <si>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</si>
  <si>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</si>
  <si>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</si>
  <si>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</si>
  <si>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</si>
  <si>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</si>
  <si>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</si>
  <si>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</si>
  <si>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</si>
  <si>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</si>
  <si>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</si>
  <si>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</si>
  <si>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</si>
  <si>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</si>
  <si>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</si>
  <si>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</si>
  <si>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</si>
  <si>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</si>
  <si>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</si>
  <si>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</si>
  <si>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</si>
  <si>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</si>
  <si>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</si>
  <si>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</si>
  <si>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</si>
  <si>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</si>
  <si>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</si>
  <si>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</si>
  <si>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</si>
  <si>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</si>
  <si>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</si>
  <si>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</si>
  <si>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</si>
  <si>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</si>
  <si>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</si>
  <si>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</si>
  <si>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</si>
  <si>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</si>
  <si>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</si>
  <si>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</si>
  <si>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</si>
  <si>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</si>
  <si>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</si>
  <si>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</si>
  <si>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</si>
  <si>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</si>
  <si>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</si>
  <si>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</si>
  <si>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</si>
  <si>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</si>
  <si>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</si>
  <si>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</si>
  <si>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</si>
  <si>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</si>
  <si>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</si>
  <si>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</si>
  <si>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</si>
  <si>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</si>
  <si>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</si>
  <si>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</si>
  <si>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</si>
  <si>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</si>
  <si>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</si>
  <si>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</si>
  <si>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</si>
  <si>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</si>
  <si>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</si>
  <si>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</si>
  <si>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</si>
  <si>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</si>
  <si>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</si>
  <si>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</si>
  <si>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</si>
  <si>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</si>
  <si>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</si>
  <si>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</si>
  <si>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</si>
  <si>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</si>
  <si>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</si>
  <si>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</si>
  <si>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</si>
  <si>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</si>
  <si>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</si>
  <si>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</si>
  <si>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</si>
  <si>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</si>
  <si>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</si>
  <si>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</si>
  <si>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</si>
  <si>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</si>
  <si>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</si>
  <si>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</si>
  <si>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</si>
  <si>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</si>
  <si>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</si>
  <si>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</si>
  <si>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</si>
  <si>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</si>
  <si>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</si>
  <si>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</si>
  <si>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</si>
  <si>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</si>
  <si>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</si>
  <si>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</si>
  <si>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</si>
  <si>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</si>
  <si>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</si>
  <si>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</si>
  <si>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</si>
  <si>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</si>
  <si>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</si>
  <si>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</si>
  <si>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</si>
  <si>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</si>
  <si>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</si>
  <si>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</si>
  <si>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</si>
  <si>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</si>
  <si>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</si>
  <si>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</si>
  <si>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</si>
  <si>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</si>
  <si>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</si>
  <si>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</si>
  <si>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</si>
  <si>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</si>
  <si>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</si>
  <si>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</si>
  <si>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</si>
  <si>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</si>
  <si>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</si>
  <si>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</si>
  <si>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</si>
  <si>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</si>
  <si>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</si>
  <si>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</si>
  <si>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</si>
  <si>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</si>
  <si>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</si>
  <si>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</si>
  <si>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</si>
  <si>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</si>
  <si>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</si>
  <si>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</si>
  <si>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</si>
  <si>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</si>
  <si>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</si>
  <si>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</si>
  <si>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</si>
  <si>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</si>
  <si>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</si>
  <si>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</si>
  <si>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</si>
  <si>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</si>
  <si>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</si>
  <si>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</si>
  <si>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</si>
  <si>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</si>
  <si>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</si>
  <si>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</si>
  <si>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</si>
  <si>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</si>
  <si>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</si>
  <si>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</si>
  <si>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</si>
  <si>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</si>
  <si>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</si>
  <si>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</si>
  <si>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</si>
  <si>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</si>
  <si>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</si>
  <si>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</si>
  <si>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</si>
  <si>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</si>
  <si>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</si>
  <si>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</si>
  <si>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</si>
  <si>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</si>
  <si>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</si>
  <si>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</si>
  <si>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</si>
  <si>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</si>
  <si>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</si>
  <si>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</si>
  <si>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</si>
  <si>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</si>
  <si>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</si>
  <si>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</si>
  <si>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</si>
  <si>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</si>
  <si>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</si>
  <si>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</si>
  <si>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</si>
  <si>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</si>
  <si>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</si>
  <si>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</si>
  <si>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</si>
  <si>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</si>
  <si>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</si>
  <si>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</si>
  <si>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</si>
  <si>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</si>
  <si>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</si>
  <si>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</si>
  <si>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</si>
  <si>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</si>
  <si>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</si>
  <si>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</si>
  <si>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</si>
  <si>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</si>
  <si>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</si>
  <si>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</si>
  <si>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</si>
  <si>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</si>
  <si>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</si>
  <si>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</si>
  <si>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</si>
  <si>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</si>
  <si>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</si>
  <si>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</si>
  <si>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</si>
  <si>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</si>
  <si>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</si>
  <si>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</si>
  <si>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</si>
  <si>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</si>
  <si>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</si>
  <si>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</si>
  <si>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</si>
  <si>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</si>
  <si>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</si>
  <si>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</si>
  <si>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</si>
  <si>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</si>
  <si>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</si>
  <si>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</si>
  <si>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</si>
  <si>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</si>
  <si>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</si>
  <si>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</si>
  <si>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</si>
  <si>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</si>
  <si>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</si>
  <si>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</si>
  <si>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</si>
  <si>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</si>
  <si>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</si>
  <si>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</si>
  <si>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</si>
  <si>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</si>
  <si>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</si>
  <si>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</si>
  <si>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</si>
  <si>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</si>
  <si>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</si>
  <si>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</si>
  <si>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</si>
  <si>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</si>
  <si>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</si>
  <si>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</si>
  <si>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</si>
  <si>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</si>
  <si>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</si>
  <si>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</si>
  <si>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</si>
  <si>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</si>
  <si>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</si>
  <si>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</si>
  <si>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</si>
  <si>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</si>
  <si>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</si>
  <si>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</si>
  <si>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</si>
  <si>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</si>
  <si>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</si>
  <si>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</si>
  <si>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</si>
  <si>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</si>
  <si>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</si>
  <si>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</si>
  <si>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</si>
  <si>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</si>
  <si>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</si>
  <si>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</si>
  <si>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</si>
  <si>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</si>
  <si>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</si>
  <si>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</si>
  <si>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</si>
  <si>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</si>
  <si>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</si>
  <si>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</si>
  <si>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</si>
  <si>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</si>
  <si>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</si>
  <si>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</si>
  <si>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</si>
  <si>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</si>
  <si>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</si>
  <si>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</si>
  <si>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</si>
  <si>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</si>
  <si>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</si>
  <si>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</si>
  <si>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</si>
  <si>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</si>
  <si>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</si>
  <si>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</si>
  <si>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</si>
  <si>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</si>
  <si>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</si>
  <si>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</si>
  <si>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</si>
  <si>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</si>
  <si>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</si>
  <si>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</si>
  <si>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</si>
  <si>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</si>
  <si>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</si>
  <si>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</si>
  <si>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</si>
  <si>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</si>
  <si>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</si>
  <si>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</si>
  <si>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</si>
  <si>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</si>
  <si>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</si>
  <si>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</si>
  <si>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</si>
  <si>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</si>
  <si>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</si>
  <si>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</si>
  <si>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</si>
  <si>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</si>
  <si>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</si>
  <si>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</si>
  <si>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</si>
  <si>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</si>
  <si>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</si>
  <si>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</si>
  <si>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</si>
  <si>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</si>
  <si>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</si>
  <si>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</si>
  <si>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</si>
  <si>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</si>
  <si>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</si>
  <si>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</si>
  <si>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</si>
  <si>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</si>
  <si>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</si>
  <si>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</si>
  <si>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</si>
  <si>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</si>
  <si>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</si>
  <si>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</si>
  <si>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</si>
  <si>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</si>
  <si>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</si>
  <si>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</si>
  <si>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</si>
  <si>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</si>
  <si>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</si>
  <si>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</si>
  <si>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</si>
  <si>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</si>
  <si>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</si>
  <si>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</si>
  <si>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</si>
  <si>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</si>
  <si>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</si>
  <si>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</si>
  <si>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</si>
  <si>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</si>
  <si>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</si>
  <si>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</si>
  <si>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</si>
  <si>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</si>
  <si>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</si>
  <si>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</si>
  <si>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</si>
  <si>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</si>
  <si>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</si>
  <si>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</si>
  <si>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</si>
  <si>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</si>
  <si>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</si>
  <si>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</si>
  <si>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</si>
  <si>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</si>
  <si>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</si>
  <si>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</si>
  <si>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</si>
  <si>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</si>
  <si>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</si>
  <si>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</si>
  <si>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</si>
  <si>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</si>
  <si>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</si>
  <si>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</si>
  <si>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</si>
  <si>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</si>
  <si>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</si>
  <si>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</si>
  <si>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</si>
  <si>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</si>
  <si>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</si>
  <si>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</si>
  <si>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</si>
  <si>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</si>
  <si>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</si>
  <si>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</si>
  <si>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</si>
  <si>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</si>
  <si>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</si>
  <si>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</si>
  <si>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</si>
  <si>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</si>
  <si>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</si>
  <si>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</si>
  <si>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</si>
  <si>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</si>
  <si>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</si>
  <si>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</si>
  <si>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</si>
  <si>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</si>
  <si>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</si>
  <si>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</si>
  <si>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</si>
  <si>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</si>
  <si>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</si>
  <si>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</si>
  <si>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</si>
  <si>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</si>
  <si>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</si>
  <si>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</si>
  <si>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</si>
  <si>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</si>
  <si>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</si>
  <si>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</si>
  <si>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</si>
  <si>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</si>
  <si>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</si>
  <si>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</si>
  <si>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</si>
  <si>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</si>
  <si>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</si>
  <si>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</si>
  <si>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</si>
  <si>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</si>
  <si>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</si>
  <si>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</si>
  <si>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</si>
  <si>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</si>
  <si>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</si>
  <si>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</si>
  <si>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</si>
  <si>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</si>
  <si>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</si>
  <si>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</si>
  <si>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</si>
  <si>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</si>
  <si>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</si>
  <si>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</si>
  <si>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</si>
  <si>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</si>
  <si>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</si>
  <si>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</si>
  <si>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</si>
  <si>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</si>
  <si>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</si>
  <si>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</si>
  <si>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</si>
  <si>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</si>
  <si>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</si>
  <si>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</si>
  <si>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</si>
  <si>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</si>
  <si>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</si>
  <si>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</si>
  <si>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</si>
  <si>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</si>
  <si>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</si>
  <si>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</si>
  <si>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</si>
  <si>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</si>
  <si>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</si>
  <si>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</si>
  <si>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</si>
  <si>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</si>
  <si>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</si>
  <si>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</si>
  <si>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</si>
  <si>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</si>
  <si>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</si>
  <si>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</si>
  <si>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</si>
  <si>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</si>
  <si>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</si>
  <si>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</si>
  <si>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</si>
  <si>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</si>
  <si>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</si>
  <si>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</si>
  <si>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</si>
  <si>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</si>
  <si>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</si>
  <si>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</si>
  <si>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</si>
  <si>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</si>
  <si>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</si>
  <si>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</si>
  <si>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</si>
  <si>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</si>
  <si>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</si>
  <si>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</si>
  <si>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</si>
  <si>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</si>
  <si>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</si>
  <si>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</si>
  <si>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</si>
  <si>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</si>
  <si>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</si>
  <si>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</si>
  <si>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</si>
  <si>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</si>
  <si>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</si>
  <si>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</si>
  <si>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</si>
  <si>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</si>
  <si>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</si>
  <si>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</si>
  <si>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</si>
  <si>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</si>
  <si>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</si>
  <si>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</si>
  <si>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</si>
  <si>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</si>
  <si>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</si>
  <si>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</si>
  <si>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</si>
  <si>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</si>
  <si>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</si>
  <si>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</si>
  <si>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</si>
  <si>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</si>
  <si>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</si>
  <si>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</si>
  <si>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</si>
  <si>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</si>
  <si>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</si>
  <si>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</si>
  <si>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</si>
  <si>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</si>
  <si>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</si>
  <si>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</si>
  <si>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</si>
  <si>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</si>
  <si>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</si>
  <si>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</si>
  <si>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</si>
  <si>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</si>
  <si>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</si>
  <si>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</si>
  <si>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</si>
  <si>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</si>
  <si>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</si>
  <si>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</si>
  <si>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</si>
  <si>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</si>
  <si>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</si>
  <si>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</si>
  <si>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</si>
  <si>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</si>
  <si>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</si>
  <si>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</si>
  <si>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</si>
  <si>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</si>
  <si>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</si>
  <si>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</si>
  <si>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</si>
  <si>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</si>
  <si>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</si>
  <si>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</si>
  <si>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</si>
  <si>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</si>
  <si>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</si>
  <si>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</si>
  <si>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</si>
  <si>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</si>
  <si>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</si>
  <si>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</si>
  <si>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</si>
  <si>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</si>
  <si>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</si>
  <si>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</si>
  <si>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</si>
  <si>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</si>
  <si>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</si>
  <si>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</si>
  <si>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</si>
  <si>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</si>
  <si>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</si>
  <si>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</si>
  <si>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</si>
  <si>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</si>
  <si>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</si>
  <si>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</si>
  <si>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</si>
  <si>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</si>
  <si>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</si>
  <si>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</si>
  <si>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</si>
  <si>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</si>
  <si>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</si>
  <si>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</si>
  <si>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</si>
  <si>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</si>
  <si>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</si>
  <si>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</si>
  <si>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</si>
  <si>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</si>
  <si>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</si>
  <si>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</si>
  <si>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</si>
  <si>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</si>
  <si>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</si>
  <si>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</si>
  <si>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</si>
  <si>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</si>
  <si>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</si>
  <si>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</si>
  <si>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</si>
  <si>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</si>
  <si>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</si>
  <si>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</si>
  <si>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</si>
  <si>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</si>
  <si>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</si>
  <si>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</si>
  <si>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</si>
  <si>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</si>
  <si>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</si>
  <si>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</si>
  <si>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</si>
  <si>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</si>
  <si>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</si>
  <si>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</si>
  <si>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</si>
  <si>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</si>
  <si>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</si>
  <si>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</si>
  <si>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</si>
  <si>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</si>
  <si>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</si>
  <si>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</si>
  <si>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</si>
  <si>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</si>
  <si>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</si>
  <si>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</si>
  <si>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</si>
  <si>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</si>
  <si>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</si>
  <si>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</si>
  <si>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</si>
  <si>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</si>
  <si>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</si>
  <si>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</si>
  <si>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</si>
  <si>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</si>
  <si>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</si>
  <si>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</si>
  <si>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</si>
  <si>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</si>
  <si>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</si>
  <si>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</si>
  <si>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</si>
  <si>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</si>
  <si>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</si>
  <si>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</si>
  <si>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</si>
  <si>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</si>
  <si>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</si>
  <si>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</si>
  <si>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</si>
  <si>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</si>
  <si>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</si>
  <si>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</si>
  <si>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</si>
  <si>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</si>
  <si>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</si>
  <si>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</si>
  <si>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</si>
  <si>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</si>
  <si>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</si>
  <si>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</si>
  <si>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</si>
  <si>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</si>
  <si>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</si>
  <si>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</si>
  <si>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</si>
  <si>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</si>
  <si>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</si>
  <si>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</si>
  <si>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</si>
  <si>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</si>
  <si>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</si>
  <si>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</si>
  <si>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</si>
  <si>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</si>
  <si>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</si>
  <si>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</si>
  <si>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</si>
  <si>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</si>
  <si>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</si>
  <si>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</si>
  <si>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</si>
  <si>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</si>
  <si>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</si>
  <si>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</si>
  <si>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</si>
  <si>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</si>
  <si>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</si>
  <si>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</si>
  <si>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</si>
  <si>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</si>
  <si>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</si>
  <si>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</si>
  <si>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</si>
  <si>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</si>
  <si>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</si>
  <si>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</si>
  <si>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</si>
  <si>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</si>
  <si>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</si>
  <si>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</si>
  <si>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</si>
  <si>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</si>
  <si>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</si>
  <si>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</si>
  <si>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</si>
  <si>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</si>
  <si>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</si>
  <si>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</si>
  <si>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</si>
  <si>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</si>
  <si>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</si>
  <si>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</si>
  <si>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</si>
  <si>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</si>
  <si>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</si>
  <si>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</si>
  <si>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</si>
  <si>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</si>
  <si>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</si>
  <si>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</si>
  <si>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</si>
  <si>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</si>
  <si>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</si>
  <si>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</si>
  <si>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</si>
  <si>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</si>
  <si>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</si>
  <si>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</si>
  <si>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</si>
  <si>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</si>
  <si>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</si>
  <si>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</si>
  <si>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</si>
  <si>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</si>
  <si>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</si>
  <si>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</si>
  <si>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</si>
  <si>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</si>
  <si>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</si>
  <si>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</si>
  <si>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</si>
  <si>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</si>
  <si>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</si>
  <si>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</si>
  <si>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</si>
  <si>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</si>
  <si>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</si>
  <si>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</si>
  <si>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</si>
  <si>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</si>
  <si>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</si>
  <si>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</si>
  <si>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</si>
  <si>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</si>
  <si>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</si>
  <si>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</si>
  <si>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</si>
  <si>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</si>
  <si>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</si>
  <si>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</si>
  <si>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</si>
  <si>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</si>
  <si>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</si>
  <si>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</si>
  <si>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</si>
  <si>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</si>
  <si>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</si>
  <si>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</si>
  <si>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</si>
  <si>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</si>
  <si>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</si>
  <si>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</si>
  <si>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</si>
  <si>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</si>
  <si>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</si>
  <si>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</si>
  <si>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</si>
  <si>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</si>
  <si>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</si>
  <si>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</si>
  <si>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</si>
  <si>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</si>
  <si>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</si>
  <si>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</si>
  <si>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</si>
  <si>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</si>
  <si>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</si>
  <si>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</si>
  <si>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</si>
  <si>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</si>
  <si>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</si>
  <si>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</si>
  <si>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</si>
  <si>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</si>
  <si>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</si>
  <si>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</si>
  <si>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</si>
  <si>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</si>
  <si>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</si>
  <si>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</si>
  <si>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</si>
  <si>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</si>
  <si>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</si>
  <si>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</si>
  <si>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</si>
  <si>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</si>
  <si>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</si>
  <si>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</si>
  <si>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</si>
  <si>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</si>
  <si>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</si>
  <si>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</si>
  <si>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</si>
  <si>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</si>
  <si>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</si>
  <si>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</si>
  <si>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</si>
  <si>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</si>
  <si>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</si>
  <si>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</si>
  <si>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</si>
  <si>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</si>
  <si>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</si>
  <si>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</si>
  <si>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</si>
  <si>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</si>
  <si>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</si>
  <si>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</si>
  <si>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</si>
  <si>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</si>
  <si>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</si>
  <si>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</si>
  <si>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</si>
  <si>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</si>
  <si>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</si>
  <si>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</si>
  <si>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</si>
  <si>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</si>
  <si>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</si>
  <si>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</si>
  <si>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</si>
  <si>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</si>
  <si>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</si>
  <si>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</si>
  <si>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</si>
  <si>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</si>
  <si>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</si>
  <si>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</si>
  <si>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</si>
  <si>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</si>
  <si>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</si>
  <si>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</si>
  <si>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</si>
  <si>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</si>
  <si>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</si>
  <si>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</si>
  <si>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</si>
  <si>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</si>
  <si>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</si>
  <si>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</si>
  <si>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</si>
  <si>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</si>
  <si>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</si>
  <si>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</si>
  <si>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</si>
  <si>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</si>
  <si>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</si>
  <si>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</si>
  <si>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</si>
  <si>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</si>
  <si>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</si>
  <si>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</si>
  <si>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</si>
  <si>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</si>
  <si>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</si>
  <si>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</si>
  <si>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</si>
  <si>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</si>
  <si>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</si>
  <si>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</si>
  <si>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</si>
  <si>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</si>
  <si>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</si>
  <si>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</si>
  <si>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</si>
  <si>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</si>
  <si>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</si>
  <si>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</si>
  <si>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</si>
  <si>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</si>
  <si>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</si>
  <si>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</si>
  <si>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</si>
  <si>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</si>
  <si>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</si>
  <si>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</si>
  <si>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</si>
  <si>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</si>
  <si>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</si>
  <si>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</si>
  <si>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</si>
  <si>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</si>
  <si>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</si>
  <si>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</si>
  <si>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</si>
  <si>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</si>
  <si>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</si>
  <si>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</si>
  <si>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</si>
  <si>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</si>
  <si>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</si>
  <si>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</si>
  <si>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</si>
  <si>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</si>
  <si>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</si>
  <si>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</si>
  <si>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</si>
  <si>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</si>
  <si>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</si>
  <si>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</si>
  <si>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</si>
  <si>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</si>
  <si>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</si>
  <si>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</si>
  <si>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</si>
  <si>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</si>
  <si>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</si>
  <si>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</si>
  <si>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</si>
  <si>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</si>
  <si>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</si>
  <si>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</si>
  <si>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</si>
  <si>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</si>
  <si>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</si>
  <si>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</si>
  <si>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</si>
  <si>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</si>
  <si>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</si>
  <si>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</si>
  <si>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</si>
  <si>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</si>
  <si>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</si>
  <si>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</si>
  <si>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</si>
  <si>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</si>
  <si>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</si>
  <si>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</si>
  <si>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</si>
  <si>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</si>
  <si>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</si>
  <si>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</si>
  <si>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</si>
  <si>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</si>
  <si>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</si>
  <si>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</si>
  <si>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</si>
  <si>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</si>
  <si>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</si>
  <si>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</si>
  <si>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</si>
  <si>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</si>
  <si>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</si>
  <si>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</si>
  <si>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</si>
  <si>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</si>
  <si>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</si>
  <si>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</si>
  <si>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</si>
  <si>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</si>
  <si>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</si>
  <si>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</si>
  <si>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</si>
  <si>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</si>
  <si>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</si>
  <si>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</si>
  <si>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</si>
  <si>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</si>
  <si>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</si>
  <si>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</si>
  <si>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</si>
  <si>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</si>
  <si>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</si>
  <si>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</si>
  <si>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</si>
  <si>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</si>
  <si>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</si>
  <si>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</si>
  <si>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</si>
  <si>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</si>
  <si>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</si>
  <si>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</si>
  <si>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</si>
  <si>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</si>
  <si>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</si>
  <si>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</si>
  <si>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</si>
  <si>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</si>
  <si>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</si>
  <si>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</si>
  <si>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</si>
  <si>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</si>
  <si>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</si>
  <si>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</si>
  <si>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</si>
  <si>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</si>
  <si>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</si>
  <si>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</si>
  <si>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</si>
  <si>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</si>
  <si>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</si>
  <si>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</si>
  <si>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</si>
  <si>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</si>
  <si>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</si>
  <si>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</si>
  <si>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</si>
  <si>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</si>
  <si>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</si>
  <si>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</si>
  <si>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</si>
  <si>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</si>
  <si>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</si>
  <si>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</si>
  <si>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</si>
  <si>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</si>
  <si>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</si>
  <si>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</si>
  <si>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</si>
  <si>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</si>
  <si>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</si>
  <si>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</si>
  <si>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</si>
  <si>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</si>
  <si>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</si>
  <si>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</si>
  <si>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</si>
  <si>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</si>
  <si>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</si>
  <si>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</si>
  <si>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</si>
  <si>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</si>
  <si>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</si>
  <si>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</si>
  <si>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</si>
  <si>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</si>
  <si>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</si>
  <si>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</si>
  <si>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</si>
  <si>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</si>
  <si>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</si>
  <si>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</si>
  <si>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</si>
  <si>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</si>
  <si>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</si>
  <si>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</si>
  <si>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</si>
  <si>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</si>
  <si>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</si>
  <si>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</si>
  <si>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</si>
  <si>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</si>
  <si>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</si>
  <si>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</si>
  <si>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</si>
  <si>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</si>
  <si>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</si>
  <si>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</si>
  <si>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</si>
  <si>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</si>
  <si>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</si>
  <si>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</si>
  <si>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</si>
  <si>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</si>
  <si>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</si>
  <si>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</si>
  <si>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</si>
  <si>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</si>
  <si>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</si>
  <si>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</si>
  <si>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</si>
  <si>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</si>
  <si>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</si>
  <si>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</si>
  <si>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</si>
  <si>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</si>
  <si>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</si>
  <si>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</si>
  <si>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</si>
  <si>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</si>
  <si>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</si>
  <si>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</si>
  <si>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</si>
  <si>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</si>
  <si>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</si>
  <si>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</si>
  <si>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</si>
  <si>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</si>
  <si>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</si>
  <si>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</si>
  <si>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</si>
  <si>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</si>
  <si>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</si>
  <si>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</si>
  <si>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</si>
  <si>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</si>
  <si>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</si>
  <si>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</si>
  <si>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</si>
  <si>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</si>
  <si>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</si>
  <si>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</si>
  <si>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</si>
  <si>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</si>
  <si>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</si>
  <si>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</si>
  <si>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</si>
  <si>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</si>
  <si>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</si>
  <si>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</si>
  <si>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</si>
  <si>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</si>
  <si>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</si>
  <si>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</si>
  <si>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</si>
  <si>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</si>
  <si>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</si>
  <si>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</si>
  <si>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</si>
  <si>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</si>
  <si>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</si>
  <si>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</si>
  <si>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</si>
  <si>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</si>
  <si>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</si>
  <si>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</si>
  <si>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</si>
  <si>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</si>
  <si>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</si>
  <si>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</si>
  <si>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</si>
  <si>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</si>
  <si>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</si>
  <si>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</si>
  <si>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</si>
  <si>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</si>
  <si>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</si>
  <si>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</si>
  <si>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</si>
  <si>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</si>
  <si>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</si>
  <si>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</si>
  <si>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</si>
  <si>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</si>
  <si>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</si>
  <si>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</si>
  <si>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</si>
  <si>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</si>
  <si>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</si>
  <si>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</si>
  <si>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</si>
  <si>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</si>
  <si>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</si>
  <si>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</si>
  <si>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</si>
  <si>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</si>
  <si>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</si>
  <si>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</si>
  <si>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</si>
  <si>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</si>
  <si>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</si>
  <si>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</si>
  <si>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</si>
  <si>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</si>
  <si>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</si>
  <si>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</si>
  <si>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</si>
  <si>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</si>
  <si>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</si>
  <si>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</si>
  <si>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</si>
  <si>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</si>
  <si>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</si>
  <si>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</si>
  <si>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</si>
  <si>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</si>
  <si>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</si>
  <si>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</si>
  <si>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</si>
  <si>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</si>
  <si>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</si>
  <si>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</si>
  <si>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</si>
  <si>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</si>
  <si>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</si>
  <si>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</si>
  <si>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</si>
  <si>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</si>
  <si>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</si>
  <si>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</si>
  <si>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</si>
  <si>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</si>
  <si>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</si>
  <si>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</si>
  <si>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</si>
  <si>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</si>
  <si>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</si>
  <si>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</si>
  <si>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</si>
  <si>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</si>
  <si>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</si>
  <si>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</si>
  <si>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</si>
  <si>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</si>
  <si>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</si>
  <si>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</si>
  <si>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</si>
  <si>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</si>
  <si>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</si>
  <si>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</si>
  <si>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</si>
  <si>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</si>
  <si>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</si>
  <si>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</si>
  <si>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</si>
  <si>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</si>
  <si>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</si>
  <si>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</si>
  <si>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</si>
  <si>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</si>
  <si>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</si>
  <si>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</si>
  <si>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</si>
  <si>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</si>
  <si>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</si>
  <si>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</si>
  <si>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</si>
  <si>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</si>
  <si>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</si>
  <si>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</si>
  <si>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</si>
  <si>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</si>
  <si>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</si>
  <si>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</si>
  <si>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</si>
  <si>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</si>
  <si>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</si>
  <si>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</si>
  <si>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</si>
  <si>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</si>
  <si>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</si>
  <si>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</si>
  <si>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</si>
  <si>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</si>
  <si>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</si>
  <si>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</si>
  <si>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</si>
  <si>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</si>
  <si>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</si>
  <si>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</si>
  <si>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</si>
  <si>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</si>
  <si>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</si>
  <si>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</si>
  <si>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</si>
  <si>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</si>
  <si>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</si>
  <si>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</si>
  <si>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</si>
  <si>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</si>
  <si>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</si>
  <si>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</si>
  <si>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</si>
  <si>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</si>
  <si>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</si>
  <si>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</si>
  <si>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</si>
  <si>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</si>
  <si>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</si>
  <si>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</si>
  <si>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</si>
  <si>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</si>
  <si>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</si>
  <si>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</si>
  <si>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</si>
  <si>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</si>
  <si>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</si>
  <si>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</si>
  <si>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</si>
  <si>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</si>
  <si>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</si>
  <si>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</si>
  <si>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</si>
  <si>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</si>
  <si>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</si>
  <si>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</si>
  <si>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</si>
  <si>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</si>
  <si>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</si>
  <si>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</si>
  <si>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</si>
  <si>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</si>
  <si>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</si>
  <si>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</si>
  <si>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</si>
  <si>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</si>
  <si>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</si>
  <si>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</si>
  <si>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</si>
  <si>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</si>
  <si>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</si>
  <si>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</si>
  <si>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</si>
  <si>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</si>
  <si>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</si>
  <si>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</si>
  <si>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</si>
  <si>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</si>
  <si>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</si>
  <si>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</si>
  <si>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</si>
  <si>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</si>
  <si>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</si>
  <si>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</si>
  <si>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</si>
  <si>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</si>
  <si>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</si>
  <si>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</si>
  <si>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</si>
  <si>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</si>
  <si>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</si>
  <si>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</si>
  <si>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</si>
  <si>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</si>
  <si>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</si>
  <si>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</si>
  <si>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</si>
  <si>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</si>
  <si>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</si>
  <si>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</si>
  <si>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</si>
  <si>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</si>
  <si>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</si>
  <si>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</si>
  <si>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</si>
  <si>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</si>
  <si>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</si>
  <si>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</si>
  <si>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</si>
  <si>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</si>
  <si>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</si>
  <si>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</si>
  <si>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</si>
  <si>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</si>
  <si>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</si>
  <si>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</si>
  <si>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</si>
  <si>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</si>
  <si>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</si>
  <si>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</si>
  <si>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</si>
  <si>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</si>
  <si>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</si>
  <si>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</si>
  <si>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</si>
  <si>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</si>
  <si>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</si>
  <si>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</si>
  <si>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</si>
  <si>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</si>
  <si>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</si>
  <si>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</si>
  <si>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</si>
  <si>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</si>
  <si>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</si>
  <si>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</si>
  <si>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</si>
  <si>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</si>
  <si>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</si>
  <si>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</si>
  <si>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</si>
  <si>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</si>
  <si>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</si>
  <si>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</si>
  <si>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</si>
  <si>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</si>
  <si>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</si>
  <si>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</si>
  <si>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</si>
  <si>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</si>
  <si>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</si>
  <si>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</si>
  <si>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</si>
  <si>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</si>
  <si>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</si>
  <si>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</si>
  <si>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</si>
  <si>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</si>
  <si>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</si>
  <si>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</si>
  <si>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</si>
  <si>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</si>
  <si>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</si>
  <si>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</si>
  <si>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</si>
  <si>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</si>
  <si>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</si>
  <si>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</si>
  <si>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</si>
  <si>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</si>
  <si>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</si>
  <si>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</si>
  <si>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</si>
  <si>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</si>
  <si>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</si>
  <si>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</si>
  <si>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</si>
  <si>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</si>
  <si>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</si>
  <si>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</si>
  <si>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</si>
  <si>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</si>
  <si>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</si>
  <si>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</si>
  <si>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</si>
  <si>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</si>
  <si>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</si>
  <si>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</si>
  <si>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</si>
  <si>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</si>
  <si>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</si>
  <si>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</si>
  <si>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</si>
  <si>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</si>
  <si>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</si>
  <si>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</si>
  <si>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</si>
  <si>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</si>
  <si>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</si>
  <si>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</si>
  <si>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</si>
  <si>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</si>
  <si>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</si>
  <si>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</si>
  <si>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</si>
  <si>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</si>
  <si>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</si>
  <si>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</si>
  <si>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</si>
  <si>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</si>
  <si>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</si>
  <si>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</si>
  <si>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</si>
  <si>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</si>
  <si>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</si>
  <si>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</si>
  <si>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</si>
  <si>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</si>
  <si>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</si>
  <si>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</si>
  <si>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</si>
  <si>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</si>
  <si>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</si>
  <si>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</si>
  <si>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</si>
  <si>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</si>
  <si>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</si>
  <si>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</si>
  <si>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</si>
  <si>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</si>
  <si>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</si>
  <si>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</si>
  <si>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</si>
  <si>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</si>
  <si>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</si>
  <si>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</si>
  <si>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</si>
  <si>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</si>
  <si>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</si>
  <si>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</si>
  <si>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</si>
  <si>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</si>
  <si>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</si>
  <si>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</si>
  <si>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</si>
  <si>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</si>
  <si>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</si>
  <si>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</si>
  <si>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</si>
  <si>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</si>
  <si>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</si>
  <si>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</si>
  <si>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</si>
  <si>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</si>
  <si>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</si>
  <si>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</si>
  <si>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</si>
  <si>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</si>
  <si>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</si>
  <si>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</si>
  <si>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</si>
  <si>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</si>
  <si>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</si>
  <si>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</si>
  <si>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</si>
  <si>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</si>
  <si>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</si>
  <si>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</si>
  <si>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</si>
  <si>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</si>
  <si>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</si>
  <si>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</si>
  <si>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</si>
  <si>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</si>
  <si>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</si>
  <si>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</si>
  <si>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</si>
  <si>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</si>
  <si>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</si>
  <si>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</si>
  <si>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</si>
  <si>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</si>
  <si>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</si>
  <si>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</si>
  <si>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</si>
  <si>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</si>
  <si>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</si>
  <si>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</si>
  <si>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</si>
  <si>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</si>
  <si>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</si>
  <si>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</si>
  <si>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</si>
  <si>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</si>
  <si>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</si>
  <si>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</si>
  <si>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</si>
  <si>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</si>
  <si>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</si>
  <si>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</si>
  <si>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</si>
  <si>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</si>
  <si>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</si>
  <si>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</si>
  <si>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</si>
  <si>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</si>
  <si>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</si>
  <si>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</si>
  <si>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</si>
  <si>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</si>
  <si>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</si>
  <si>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</si>
  <si>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</si>
  <si>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</si>
  <si>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</si>
  <si>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</si>
  <si>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</si>
  <si>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</si>
  <si>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</si>
  <si>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</si>
  <si>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</si>
  <si>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</si>
  <si>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</si>
  <si>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</si>
  <si>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</si>
  <si>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</si>
  <si>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</si>
  <si>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</si>
  <si>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</si>
  <si>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</si>
  <si>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</si>
  <si>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</si>
  <si>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</si>
  <si>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</si>
  <si>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</si>
  <si>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</si>
  <si>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</si>
  <si>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</si>
  <si>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</si>
  <si>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</si>
  <si>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</si>
  <si>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</si>
  <si>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</si>
  <si>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</si>
  <si>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</si>
  <si>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</si>
  <si>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</si>
  <si>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</si>
  <si>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</si>
  <si>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</si>
  <si>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</si>
  <si>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</si>
  <si>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</si>
  <si>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</si>
  <si>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</si>
  <si>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</si>
  <si>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</si>
  <si>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</si>
  <si>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</si>
  <si>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</si>
  <si>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</si>
  <si>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</si>
  <si>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</si>
  <si>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</si>
  <si>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</si>
  <si>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</si>
  <si>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</si>
  <si>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</si>
  <si>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</si>
  <si>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</si>
  <si>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</si>
  <si>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</si>
  <si>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</si>
  <si>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</si>
  <si>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</si>
  <si>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</si>
  <si>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</si>
  <si>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</si>
  <si>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</si>
  <si>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</si>
  <si>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</si>
  <si>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</si>
  <si>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</si>
  <si>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</si>
  <si>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</si>
  <si>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</si>
  <si>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</si>
  <si>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</si>
  <si>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</si>
  <si>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</si>
  <si>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</si>
  <si>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</si>
  <si>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</si>
  <si>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</si>
  <si>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</si>
  <si>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</si>
  <si>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</si>
  <si>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</si>
  <si>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</si>
  <si>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</si>
  <si>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</si>
  <si>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</si>
  <si>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</si>
  <si>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</si>
  <si>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</si>
  <si>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</si>
  <si>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</si>
  <si>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</si>
  <si>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</si>
  <si>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</si>
  <si>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</si>
  <si>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</si>
  <si>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</si>
  <si>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</si>
  <si>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</si>
  <si>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</si>
  <si>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</si>
  <si>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</si>
  <si>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</si>
  <si>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</si>
  <si>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</si>
  <si>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</si>
  <si>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</si>
  <si>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</si>
  <si>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</si>
  <si>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</si>
  <si>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</si>
  <si>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</si>
  <si>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</si>
  <si>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</si>
  <si>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</si>
  <si>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</si>
  <si>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</si>
  <si>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</si>
  <si>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</si>
  <si>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</si>
  <si>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</si>
  <si>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</si>
  <si>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</si>
  <si>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</si>
  <si>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</si>
  <si>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</si>
  <si>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</si>
  <si>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</si>
  <si>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</si>
  <si>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</si>
  <si>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</si>
  <si>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</si>
  <si>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</si>
  <si>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</si>
  <si>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</si>
  <si>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</si>
  <si>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</si>
  <si>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</si>
  <si>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</si>
  <si>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</si>
  <si>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</si>
  <si>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</si>
  <si>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</si>
  <si>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</si>
  <si>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</si>
  <si>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</si>
  <si>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</si>
  <si>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</si>
  <si>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</si>
  <si>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</si>
  <si>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</si>
  <si>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</si>
  <si>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</si>
  <si>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</si>
  <si>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</si>
  <si>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</si>
  <si>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</si>
  <si>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</si>
  <si>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</si>
  <si>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</si>
  <si>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</si>
  <si>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</si>
  <si>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</si>
  <si>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</si>
  <si>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</si>
  <si>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</si>
  <si>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</si>
  <si>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</si>
  <si>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</si>
  <si>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</si>
  <si>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</si>
  <si>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</si>
  <si>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</si>
  <si>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</si>
  <si>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</si>
  <si>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</si>
  <si>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</si>
  <si>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</si>
  <si>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</si>
  <si>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</si>
  <si>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</si>
  <si>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</si>
  <si>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</si>
  <si>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</si>
  <si>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</si>
  <si>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</si>
  <si>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</si>
  <si>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</si>
  <si>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</si>
  <si>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</si>
  <si>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</si>
  <si>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</si>
  <si>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</si>
  <si>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</si>
  <si>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</si>
  <si>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</si>
  <si>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</si>
  <si>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</si>
  <si>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</si>
  <si>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</si>
  <si>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</si>
  <si>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</si>
  <si>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</si>
  <si>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</si>
  <si>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</si>
  <si>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</si>
  <si>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</si>
  <si>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</si>
  <si>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</si>
  <si>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</si>
  <si>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</si>
  <si>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</si>
  <si>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</si>
  <si>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</si>
  <si>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</si>
  <si>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</si>
  <si>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</si>
  <si>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</si>
  <si>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</si>
  <si>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</si>
  <si>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</si>
  <si>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</si>
  <si>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</si>
  <si>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</si>
  <si>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</si>
  <si>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</si>
  <si>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</si>
  <si>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</si>
  <si>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</si>
  <si>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</si>
  <si>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</si>
  <si>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</si>
  <si>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</si>
  <si>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</si>
  <si>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</si>
  <si>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</si>
  <si>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</si>
  <si>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</si>
  <si>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</si>
  <si>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</si>
  <si>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</si>
  <si>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</si>
  <si>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</si>
  <si>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</si>
  <si>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</si>
  <si>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</si>
  <si>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</si>
  <si>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</si>
  <si>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</si>
  <si>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</si>
  <si>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</si>
  <si>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</si>
  <si>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</si>
  <si>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</si>
  <si>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</si>
  <si>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</si>
  <si>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</si>
  <si>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</si>
  <si>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</si>
  <si>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</si>
  <si>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</si>
  <si>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</si>
  <si>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</si>
  <si>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</si>
  <si>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</si>
  <si>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</si>
  <si>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</si>
  <si>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</si>
  <si>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</si>
  <si>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</si>
  <si>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</si>
  <si>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</si>
  <si>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</si>
  <si>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</si>
  <si>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</si>
  <si>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</si>
  <si>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</si>
  <si>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</si>
  <si>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</si>
  <si>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</si>
  <si>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</si>
  <si>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</si>
  <si>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</si>
  <si>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</si>
  <si>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</si>
  <si>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</si>
  <si>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</si>
  <si>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</si>
  <si>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</si>
  <si>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</si>
  <si>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</si>
  <si>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</si>
  <si>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</si>
  <si>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</si>
  <si>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</si>
  <si>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</si>
  <si>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</si>
  <si>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</si>
  <si>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</si>
  <si>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</si>
  <si>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</si>
  <si>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</si>
  <si>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</si>
  <si>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</si>
  <si>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</si>
  <si>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</si>
  <si>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</si>
  <si>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</si>
  <si>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</si>
  <si>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</si>
  <si>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</si>
  <si>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</si>
  <si>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</si>
  <si>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</si>
  <si>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</si>
  <si>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</si>
  <si>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</si>
  <si>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</si>
  <si>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</si>
  <si>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</si>
  <si>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</si>
  <si>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</si>
  <si>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</si>
  <si>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</si>
  <si>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</si>
  <si>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</si>
  <si>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</si>
  <si>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</si>
  <si>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</si>
  <si>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</si>
  <si>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</si>
  <si>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</si>
  <si>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</si>
  <si>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</si>
  <si>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</si>
  <si>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</si>
  <si>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</si>
  <si>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</si>
  <si>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</si>
  <si>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</si>
  <si>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</si>
  <si>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</si>
  <si>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</si>
  <si>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</si>
  <si>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</si>
  <si>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</si>
  <si>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</si>
  <si>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</si>
  <si>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</si>
  <si>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</si>
  <si>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</si>
  <si>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</si>
  <si>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</si>
  <si>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</si>
  <si>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</si>
  <si>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</si>
  <si>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</si>
  <si>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</si>
  <si>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</si>
  <si>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</si>
  <si>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</si>
  <si>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</si>
  <si>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</si>
  <si>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</si>
  <si>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</si>
  <si>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</si>
  <si>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</si>
  <si>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</si>
  <si>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</si>
  <si>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</si>
  <si>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</si>
  <si>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</si>
  <si>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</si>
  <si>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</si>
  <si>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</si>
  <si>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</si>
  <si>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</si>
  <si>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</si>
  <si>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</si>
  <si>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</si>
  <si>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</si>
  <si>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</si>
  <si>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</si>
  <si>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</si>
  <si>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</si>
  <si>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</si>
  <si>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</si>
  <si>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</si>
  <si>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</si>
  <si>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</si>
  <si>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</si>
  <si>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</si>
  <si>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</si>
  <si>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</si>
  <si>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</si>
  <si>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</si>
  <si>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</si>
  <si>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</si>
  <si>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</si>
  <si>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</si>
  <si>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</si>
  <si>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</si>
  <si>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</si>
  <si>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</si>
  <si>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</si>
  <si>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</si>
  <si>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</si>
  <si>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</si>
  <si>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</si>
  <si>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</si>
  <si>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</si>
  <si>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</si>
  <si>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</si>
  <si>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</si>
  <si>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</si>
  <si>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</si>
  <si>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</si>
  <si>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</si>
  <si>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</si>
  <si>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</si>
  <si>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</si>
  <si>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</si>
  <si>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</si>
  <si>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</si>
  <si>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</si>
  <si>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</si>
  <si>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</si>
  <si>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</si>
  <si>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</si>
  <si>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</si>
  <si>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</si>
  <si>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</si>
  <si>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</si>
  <si>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</si>
  <si>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</si>
  <si>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</si>
  <si>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</si>
  <si>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</si>
  <si>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</si>
  <si>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</si>
  <si>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</si>
  <si>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</si>
  <si>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</si>
  <si>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</si>
  <si>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</si>
  <si>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</si>
  <si>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</si>
  <si>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</si>
  <si>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</si>
  <si>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</si>
  <si>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</si>
  <si>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</si>
  <si>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</si>
  <si>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</si>
  <si>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</si>
  <si>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</si>
  <si>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</si>
  <si>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</si>
  <si>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</si>
  <si>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</si>
  <si>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</si>
  <si>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</si>
  <si>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</si>
  <si>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</si>
  <si>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</si>
  <si>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</si>
  <si>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</si>
  <si>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</si>
  <si>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</si>
  <si>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</si>
  <si>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</si>
  <si>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</si>
  <si>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</si>
  <si>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</si>
  <si>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</si>
  <si>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</si>
  <si>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</si>
  <si>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</si>
  <si>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</si>
  <si>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</si>
  <si>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</si>
  <si>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</si>
  <si>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</si>
  <si>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</si>
  <si>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</si>
  <si>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</si>
  <si>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</si>
  <si>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</si>
  <si>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</si>
  <si>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</si>
  <si>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</si>
  <si>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</si>
  <si>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</si>
  <si>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</si>
  <si>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</si>
  <si>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</si>
  <si>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</si>
  <si>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</si>
  <si>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</si>
  <si>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</si>
  <si>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</si>
  <si>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</si>
  <si>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</si>
  <si>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</si>
  <si>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</si>
  <si>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</si>
  <si>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</si>
  <si>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</si>
  <si>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</si>
  <si>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</si>
  <si>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</si>
  <si>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</si>
  <si>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</si>
  <si>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</si>
  <si>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</si>
  <si>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</si>
  <si>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</si>
  <si>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</si>
  <si>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</si>
  <si>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</si>
  <si>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</si>
  <si>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</si>
  <si>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</si>
  <si>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</si>
  <si>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</si>
  <si>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</si>
  <si>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</si>
  <si>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</si>
  <si>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</si>
  <si>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</si>
  <si>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</si>
  <si>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</si>
  <si>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</si>
  <si>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</si>
  <si>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</si>
  <si>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</si>
  <si>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</si>
  <si>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</si>
  <si>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</si>
  <si>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</si>
  <si>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</si>
  <si>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</si>
  <si>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</si>
  <si>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</si>
  <si>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</si>
  <si>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</si>
  <si>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</si>
  <si>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</si>
  <si>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</si>
  <si>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</si>
  <si>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</si>
  <si>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</si>
  <si>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</si>
  <si>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</si>
  <si>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</si>
  <si>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</si>
  <si>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</si>
  <si>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</si>
  <si>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</si>
  <si>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</si>
  <si>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</si>
  <si>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</si>
  <si>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</si>
  <si>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</si>
  <si>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</si>
  <si>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</si>
  <si>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</si>
  <si>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</si>
  <si>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</si>
  <si>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</si>
  <si>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</si>
  <si>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</si>
  <si>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</si>
  <si>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</si>
  <si>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</si>
  <si>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</si>
  <si>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</si>
  <si>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</si>
  <si>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</si>
  <si>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</si>
  <si>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</si>
  <si>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</si>
  <si>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</si>
  <si>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</si>
  <si>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</si>
  <si>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</si>
  <si>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</si>
  <si>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</si>
  <si>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</si>
  <si>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</si>
  <si>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</si>
  <si>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</si>
  <si>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</si>
  <si>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</si>
  <si>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</si>
  <si>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</si>
  <si>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</si>
  <si>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</si>
  <si>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</si>
  <si>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</si>
  <si>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</si>
  <si>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</si>
  <si>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</si>
  <si>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</si>
  <si>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</si>
  <si>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</si>
  <si>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</si>
  <si>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</si>
  <si>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</si>
  <si>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</si>
  <si>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</si>
  <si>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</si>
  <si>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</si>
  <si>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</si>
  <si>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</si>
  <si>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</si>
  <si>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</si>
  <si>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</si>
  <si>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</si>
  <si>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</si>
  <si>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</si>
  <si>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</si>
  <si>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</si>
  <si>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</si>
  <si>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</si>
  <si>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</si>
  <si>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</si>
  <si>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</si>
  <si>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</si>
  <si>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</si>
  <si>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</si>
  <si>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</si>
  <si>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</si>
  <si>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</si>
  <si>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</si>
  <si>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</si>
  <si>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</si>
  <si>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</si>
  <si>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</si>
  <si>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</si>
  <si>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</si>
  <si>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</si>
  <si>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</si>
  <si>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</si>
  <si>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</si>
  <si>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</si>
  <si>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</si>
  <si>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</si>
  <si>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</si>
  <si>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</si>
  <si>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</si>
  <si>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</si>
  <si>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</si>
  <si>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</si>
  <si>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</si>
  <si>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</si>
  <si>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</si>
  <si>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</si>
  <si>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</si>
  <si>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</si>
  <si>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</si>
  <si>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</si>
  <si>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</si>
  <si>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</si>
  <si>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</si>
  <si>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</si>
  <si>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</si>
  <si>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</si>
  <si>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</si>
  <si>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</si>
  <si>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</si>
  <si>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</si>
  <si>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</si>
  <si>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</si>
  <si>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</si>
  <si>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</si>
  <si>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</si>
  <si>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</si>
  <si>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</si>
  <si>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</si>
  <si>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</si>
  <si>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</si>
  <si>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</si>
  <si>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</si>
  <si>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</si>
  <si>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</si>
  <si>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</si>
  <si>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</si>
  <si>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</si>
  <si>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</si>
  <si>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</si>
  <si>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</si>
  <si>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</si>
  <si>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</si>
  <si>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</si>
  <si>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</si>
  <si>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</si>
  <si>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</si>
  <si>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</si>
  <si>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</si>
  <si>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</si>
  <si>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</si>
  <si>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</si>
  <si>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</si>
  <si>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</si>
  <si>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</si>
  <si>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</si>
  <si>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</si>
  <si>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</si>
  <si>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</si>
  <si>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</si>
  <si>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</si>
  <si>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</si>
  <si>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</si>
  <si>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</si>
  <si>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</si>
  <si>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</si>
  <si>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</si>
  <si>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</si>
  <si>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</si>
  <si>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</si>
  <si>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</si>
  <si>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</si>
  <si>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</si>
  <si>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</si>
  <si>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</si>
  <si>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</si>
  <si>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</si>
  <si>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</si>
  <si>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</si>
  <si>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</si>
  <si>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</si>
  <si>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</si>
  <si>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</si>
  <si>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</si>
  <si>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</si>
  <si>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</si>
  <si>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</si>
  <si>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</si>
  <si>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</si>
  <si>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</si>
  <si>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</si>
  <si>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</si>
  <si>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</si>
  <si>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</si>
  <si>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</si>
  <si>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</si>
  <si>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</si>
  <si>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</si>
  <si>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</si>
  <si>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</si>
  <si>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</si>
  <si>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</si>
  <si>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</si>
  <si>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</si>
  <si>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</si>
  <si>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</si>
  <si>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</si>
  <si>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</si>
  <si>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</si>
  <si>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</si>
  <si>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</si>
  <si>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</si>
  <si>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</si>
  <si>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</si>
  <si>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</si>
  <si>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</si>
  <si>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</si>
  <si>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</si>
  <si>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</si>
  <si>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</si>
  <si>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</si>
  <si>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</si>
  <si>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</si>
  <si>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</si>
  <si>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</si>
  <si>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</si>
  <si>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</si>
  <si>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</si>
  <si>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</si>
  <si>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</si>
  <si>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</si>
  <si>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</si>
  <si>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</si>
  <si>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</si>
  <si>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</si>
  <si>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</si>
  <si>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</si>
  <si>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</si>
  <si>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</si>
  <si>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</si>
  <si>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</si>
  <si>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</si>
  <si>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</si>
  <si>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</si>
  <si>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</si>
  <si>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</si>
  <si>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</si>
  <si>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</si>
  <si>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</si>
  <si>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</si>
  <si>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</si>
  <si>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</si>
  <si>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</si>
  <si>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</si>
  <si>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</si>
  <si>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</si>
  <si>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</si>
  <si>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</si>
  <si>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</si>
  <si>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</si>
  <si>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</si>
  <si>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</si>
  <si>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</si>
  <si>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</si>
  <si>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</si>
  <si>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</si>
  <si>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</si>
  <si>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</si>
  <si>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</si>
  <si>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</si>
  <si>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</si>
  <si>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</si>
  <si>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</si>
  <si>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</si>
  <si>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</si>
  <si>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</si>
  <si>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</si>
  <si>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</si>
  <si>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</si>
  <si>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</si>
  <si>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</si>
  <si>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</si>
  <si>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</si>
  <si>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</si>
  <si>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</si>
  <si>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</si>
  <si>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</si>
  <si>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</si>
  <si>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</si>
  <si>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</si>
  <si>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</si>
  <si>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</si>
  <si>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</si>
  <si>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</si>
  <si>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</si>
  <si>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</si>
  <si>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</si>
  <si>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</si>
  <si>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</si>
  <si>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</si>
  <si>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</si>
  <si>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</si>
  <si>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</si>
  <si>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</si>
  <si>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</si>
  <si>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</si>
  <si>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</si>
  <si>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</si>
  <si>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</si>
  <si>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</si>
  <si>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</si>
  <si>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</si>
  <si>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</si>
  <si>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</si>
  <si>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</si>
  <si>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</si>
  <si>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</si>
  <si>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</si>
  <si>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</si>
  <si>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</si>
  <si>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</si>
  <si>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</si>
  <si>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</si>
  <si>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</si>
  <si>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</si>
  <si>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</si>
  <si>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</si>
  <si>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</si>
  <si>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</si>
  <si>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</si>
  <si>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</si>
  <si>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</si>
  <si>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</si>
  <si>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</si>
  <si>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</si>
  <si>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</si>
  <si>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</si>
  <si>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</si>
  <si>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</si>
  <si>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</si>
  <si>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</si>
  <si>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</si>
  <si>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</si>
  <si>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</si>
  <si>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</si>
  <si>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</si>
  <si>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</si>
  <si>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</si>
  <si>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</si>
  <si>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</si>
  <si>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</si>
  <si>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</si>
  <si>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</si>
  <si>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</si>
  <si>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</si>
  <si>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</si>
  <si>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</si>
  <si>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</si>
  <si>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</si>
  <si>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</si>
  <si>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</si>
  <si>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</si>
  <si>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</si>
  <si>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</si>
  <si>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</si>
  <si>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</si>
  <si>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</si>
  <si>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</si>
  <si>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</si>
  <si>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</si>
  <si>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</si>
  <si>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</si>
  <si>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</si>
  <si>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</si>
  <si>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</si>
  <si>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</si>
  <si>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</si>
  <si>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</si>
  <si>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</si>
  <si>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</si>
  <si>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</si>
  <si>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</si>
  <si>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</si>
  <si>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</si>
  <si>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</si>
  <si>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</si>
  <si>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</si>
  <si>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</si>
  <si>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</si>
  <si>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</si>
  <si>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</si>
  <si>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</si>
  <si>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</si>
  <si>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</si>
  <si>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</si>
  <si>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</si>
  <si>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</si>
  <si>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</si>
  <si>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</si>
  <si>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</si>
  <si>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</si>
  <si>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</si>
  <si>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</si>
  <si>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</si>
  <si>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</si>
  <si>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</si>
  <si>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</si>
  <si>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</si>
  <si>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</si>
  <si>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</si>
  <si>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</si>
  <si>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</si>
  <si>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</si>
  <si>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</si>
  <si>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</si>
  <si>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</si>
  <si>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</si>
  <si>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</si>
  <si>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</si>
  <si>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</si>
  <si>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</si>
  <si>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</si>
  <si>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</si>
  <si>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</si>
  <si>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</si>
  <si>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</si>
  <si>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</si>
  <si>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</si>
  <si>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</si>
  <si>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</si>
  <si>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</si>
  <si>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</si>
  <si>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</si>
  <si>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</si>
  <si>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</si>
  <si>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</si>
  <si>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</si>
  <si>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</si>
  <si>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</si>
  <si>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</si>
  <si>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</si>
  <si>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</si>
  <si>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</si>
  <si>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</si>
  <si>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</si>
  <si>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</si>
  <si>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</si>
  <si>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</si>
  <si>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</si>
  <si>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</si>
  <si>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</si>
  <si>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</si>
  <si>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</si>
  <si>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</si>
  <si>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</si>
  <si>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</si>
  <si>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</si>
  <si>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</si>
  <si>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</si>
  <si>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</si>
  <si>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</si>
  <si>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</si>
  <si>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</si>
  <si>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</si>
  <si>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</si>
  <si>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</si>
  <si>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</si>
  <si>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</si>
  <si>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</si>
  <si>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</si>
  <si>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</si>
  <si>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</si>
  <si>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</si>
  <si>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</si>
  <si>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</si>
  <si>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</si>
  <si>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</si>
  <si>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</si>
  <si>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</si>
  <si>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</si>
  <si>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</si>
  <si>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</si>
  <si>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</si>
  <si>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</si>
  <si>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</si>
  <si>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</si>
  <si>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</si>
  <si>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</si>
  <si>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</si>
  <si>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</si>
  <si>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</si>
  <si>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</si>
  <si>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</si>
  <si>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</si>
  <si>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</si>
  <si>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</si>
  <si>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</si>
  <si>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</si>
  <si>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</si>
  <si>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</si>
  <si>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</si>
  <si>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</si>
  <si>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</si>
  <si>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</si>
  <si>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</si>
  <si>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</si>
  <si>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</si>
  <si>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</si>
  <si>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</si>
  <si>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</si>
  <si>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</si>
  <si>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</si>
  <si>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</si>
  <si>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</si>
  <si>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</si>
  <si>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</si>
  <si>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</si>
  <si>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</si>
  <si>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</si>
  <si>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</si>
  <si>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</si>
  <si>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</si>
  <si>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</si>
  <si>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</si>
  <si>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</si>
  <si>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</si>
  <si>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</si>
  <si>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</si>
  <si>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</si>
  <si>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</si>
  <si>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</si>
  <si>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</si>
  <si>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</si>
  <si>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</si>
  <si>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</si>
  <si>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</si>
  <si>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</si>
  <si>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</si>
  <si>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</si>
  <si>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</si>
  <si>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</si>
  <si>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</si>
  <si>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</si>
  <si>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</si>
  <si>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</si>
  <si>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</si>
  <si>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</si>
  <si>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</si>
  <si>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</si>
  <si>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</si>
  <si>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</si>
  <si>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</si>
  <si>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</si>
  <si>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</si>
  <si>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</si>
  <si>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</si>
  <si>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</si>
  <si>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</si>
  <si>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</si>
  <si>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</si>
  <si>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</si>
  <si>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</si>
  <si>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</si>
  <si>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</si>
  <si>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</si>
  <si>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</si>
  <si>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</si>
  <si>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</si>
  <si>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</si>
  <si>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</si>
  <si>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</si>
  <si>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</si>
  <si>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</si>
  <si>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</si>
  <si>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</si>
  <si>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</si>
  <si>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</si>
  <si>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</si>
  <si>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</si>
  <si>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</si>
  <si>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</si>
  <si>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</si>
  <si>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</si>
  <si>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</si>
  <si>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</si>
  <si>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</si>
  <si>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</si>
  <si>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</si>
  <si>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</si>
  <si>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</si>
  <si>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</si>
  <si>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</si>
  <si>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</si>
  <si>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</si>
  <si>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</si>
  <si>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</si>
  <si>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</si>
  <si>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</si>
  <si>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</si>
  <si>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</si>
  <si>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</si>
  <si>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</si>
  <si>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</si>
  <si>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</si>
  <si>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</si>
  <si>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</si>
  <si>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</si>
  <si>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</si>
  <si>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</si>
  <si>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</si>
  <si>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</si>
  <si>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</si>
  <si>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</si>
  <si>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</si>
  <si>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</si>
  <si>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</si>
  <si>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</si>
  <si>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</si>
  <si>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</si>
  <si>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</si>
  <si>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</si>
  <si>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</si>
  <si>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</si>
  <si>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</si>
  <si>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</si>
  <si>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</si>
  <si>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</si>
  <si>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</si>
  <si>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</si>
  <si>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</si>
  <si>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</si>
  <si>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</si>
  <si>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</si>
  <si>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</si>
  <si>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</si>
  <si>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</si>
  <si>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</si>
  <si>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</si>
  <si>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</si>
  <si>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</si>
  <si>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</si>
  <si>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</si>
  <si>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</si>
  <si>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</si>
  <si>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</si>
  <si>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</si>
  <si>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</si>
  <si>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</si>
  <si>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</si>
  <si>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</si>
  <si>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</si>
  <si>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</si>
  <si>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</si>
  <si>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</si>
  <si>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</si>
  <si>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</si>
  <si>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</si>
  <si>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</si>
  <si>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</si>
  <si>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</si>
  <si>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</si>
  <si>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</si>
  <si>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</si>
  <si>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</si>
  <si>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</si>
  <si>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</si>
  <si>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</si>
  <si>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</si>
  <si>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</si>
  <si>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</si>
  <si>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</si>
  <si>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</si>
  <si>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</si>
  <si>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</si>
  <si>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</si>
  <si>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</si>
  <si>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</si>
  <si>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</si>
  <si>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</si>
  <si>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</si>
  <si>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</si>
  <si>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</si>
  <si>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</si>
  <si>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</si>
  <si>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</si>
  <si>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</si>
  <si>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</si>
  <si>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</si>
  <si>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</si>
  <si>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</si>
  <si>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</si>
  <si>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</si>
  <si>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</si>
  <si>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</si>
  <si>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</si>
  <si>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</si>
  <si>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</si>
  <si>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</si>
  <si>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</si>
  <si>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</si>
  <si>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</si>
  <si>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</si>
  <si>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</si>
  <si>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</si>
  <si>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</si>
  <si>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</si>
  <si>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ARR-6578N</t>
  </si>
  <si>
    <t>ARR-6585N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</si>
  <si>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</si>
  <si>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</si>
  <si>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</si>
  <si>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</si>
  <si>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</si>
  <si>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</si>
  <si>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</si>
  <si>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</si>
  <si>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</si>
  <si>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</si>
  <si>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</si>
  <si>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</si>
  <si>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</si>
  <si>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</si>
  <si>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</si>
  <si>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</si>
  <si>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</si>
  <si>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</si>
  <si>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</si>
  <si>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</si>
  <si>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</si>
  <si>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</si>
  <si>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</si>
  <si>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</si>
  <si>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</si>
  <si>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</si>
  <si>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</si>
  <si>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</si>
  <si>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</si>
  <si>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</si>
  <si>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</si>
  <si>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</si>
  <si>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</si>
  <si>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</si>
  <si>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</si>
  <si>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</si>
  <si>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</si>
  <si>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</si>
  <si>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</si>
  <si>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</si>
  <si>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</si>
  <si>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</si>
  <si>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</si>
  <si>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</si>
  <si>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</si>
  <si>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</si>
  <si>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</si>
  <si>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</si>
  <si>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</si>
  <si>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</si>
  <si>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</si>
  <si>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</si>
  <si>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</si>
  <si>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</si>
  <si>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</si>
  <si>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</si>
  <si>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</si>
  <si>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</si>
  <si>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</si>
  <si>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</si>
  <si>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</si>
  <si>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</si>
  <si>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</si>
  <si>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</si>
  <si>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</si>
  <si>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</si>
  <si>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</si>
  <si>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</si>
  <si>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</si>
  <si>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</si>
  <si>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</si>
  <si>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</si>
  <si>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</si>
  <si>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</si>
  <si>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</si>
  <si>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</si>
  <si>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</si>
  <si>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</si>
  <si>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</si>
  <si>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</si>
  <si>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</si>
  <si>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</si>
  <si>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</si>
  <si>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</si>
  <si>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</si>
  <si>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</si>
  <si>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</si>
  <si>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</si>
  <si>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</si>
  <si>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</si>
  <si>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</si>
  <si>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</si>
  <si>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</si>
  <si>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</si>
  <si>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</si>
  <si>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</si>
  <si>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</si>
  <si>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</si>
  <si>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</si>
  <si>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</si>
  <si>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</si>
  <si>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</si>
  <si>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</si>
  <si>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</si>
  <si>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</si>
  <si>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</si>
  <si>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</si>
  <si>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</si>
  <si>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</si>
  <si>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</si>
  <si>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</si>
  <si>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</si>
  <si>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</si>
  <si>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</si>
  <si>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</si>
  <si>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</si>
  <si>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</si>
  <si>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</si>
  <si>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</si>
  <si>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</si>
  <si>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</si>
  <si>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</si>
  <si>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</si>
  <si>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</si>
  <si>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</si>
  <si>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</si>
  <si>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</si>
  <si>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</si>
  <si>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</si>
  <si>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</si>
  <si>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</si>
  <si>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</si>
  <si>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</si>
  <si>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</si>
  <si>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</si>
  <si>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</si>
  <si>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</si>
  <si>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</si>
  <si>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</si>
  <si>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</si>
  <si>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</si>
  <si>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</si>
  <si>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</si>
  <si>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</si>
  <si>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</si>
  <si>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</si>
  <si>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</si>
  <si>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</si>
  <si>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</si>
  <si>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</si>
  <si>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</si>
  <si>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</si>
  <si>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</si>
  <si>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</si>
  <si>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</si>
  <si>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</si>
  <si>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</si>
  <si>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</si>
  <si>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</si>
  <si>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</si>
  <si>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</si>
  <si>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</si>
  <si>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</si>
  <si>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</si>
  <si>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</si>
  <si>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</si>
  <si>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</si>
  <si>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</si>
  <si>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</si>
  <si>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</si>
  <si>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</si>
  <si>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</si>
  <si>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</si>
  <si>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</si>
  <si>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</si>
  <si>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</si>
  <si>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</si>
  <si>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</si>
  <si>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</si>
  <si>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</si>
  <si>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</si>
  <si>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</si>
  <si>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</si>
  <si>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</si>
  <si>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</si>
  <si>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</si>
  <si>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</si>
  <si>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</si>
  <si>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</si>
  <si>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</si>
  <si>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</si>
  <si>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</si>
  <si>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</si>
  <si>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</si>
  <si>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</si>
  <si>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</si>
  <si>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</si>
  <si>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</si>
  <si>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</si>
  <si>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</si>
  <si>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</si>
  <si>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</si>
  <si>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</si>
  <si>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</si>
  <si>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</si>
  <si>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</si>
  <si>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</si>
  <si>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</si>
  <si>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</si>
  <si>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</si>
  <si>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</si>
  <si>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</si>
  <si>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</si>
  <si>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</si>
  <si>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</si>
  <si>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</si>
  <si>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</si>
  <si>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</si>
  <si>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</si>
  <si>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</si>
  <si>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</si>
  <si>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</si>
  <si>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</si>
  <si>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</si>
  <si>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</si>
  <si>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</si>
  <si>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</si>
  <si>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</si>
  <si>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</si>
  <si>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</si>
  <si>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</si>
  <si>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</si>
  <si>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</si>
  <si>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</si>
  <si>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</si>
  <si>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</si>
  <si>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</si>
  <si>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</si>
  <si>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</si>
  <si>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</si>
  <si>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</si>
  <si>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</si>
  <si>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</si>
  <si>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</si>
  <si>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</si>
  <si>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</si>
  <si>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</si>
  <si>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</si>
  <si>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</si>
  <si>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</si>
  <si>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</si>
  <si>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</si>
  <si>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</si>
  <si>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</si>
  <si>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</si>
  <si>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</si>
  <si>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</si>
  <si>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</si>
  <si>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</si>
  <si>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</si>
  <si>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</si>
  <si>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</si>
  <si>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</si>
  <si>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</si>
  <si>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</si>
  <si>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</si>
  <si>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</si>
  <si>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</si>
  <si>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</si>
  <si>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</si>
  <si>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</si>
  <si>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</si>
  <si>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</si>
  <si>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</si>
  <si>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</si>
  <si>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</si>
  <si>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</si>
  <si>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</si>
  <si>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</si>
  <si>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</si>
  <si>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</si>
  <si>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</si>
  <si>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</si>
  <si>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</si>
  <si>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</si>
  <si>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</si>
  <si>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</si>
  <si>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</si>
  <si>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</si>
  <si>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</si>
  <si>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</si>
  <si>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</si>
  <si>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</si>
  <si>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</si>
  <si>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</si>
  <si>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</si>
  <si>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</si>
  <si>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</si>
  <si>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</si>
  <si>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</si>
  <si>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</si>
  <si>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</si>
  <si>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</si>
  <si>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</si>
  <si>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</si>
  <si>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</si>
  <si>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</si>
  <si>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</si>
  <si>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</si>
  <si>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</si>
  <si>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</si>
  <si>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</si>
  <si>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</si>
  <si>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</si>
  <si>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</si>
  <si>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</si>
  <si>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</si>
  <si>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</si>
  <si>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</si>
  <si>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</si>
  <si>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</si>
  <si>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</si>
  <si>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</si>
  <si>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</si>
  <si>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</si>
  <si>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</si>
  <si>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</si>
  <si>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</si>
  <si>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</si>
  <si>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</si>
  <si>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</si>
  <si>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</si>
  <si>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</si>
  <si>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</si>
  <si>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</si>
  <si>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</si>
  <si>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</si>
  <si>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</si>
  <si>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</si>
  <si>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</si>
  <si>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</si>
  <si>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</si>
  <si>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</si>
  <si>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</si>
  <si>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</si>
  <si>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</si>
  <si>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</si>
  <si>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</si>
  <si>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</si>
  <si>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</si>
  <si>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</si>
  <si>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</si>
  <si>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</si>
  <si>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</si>
  <si>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</si>
  <si>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</si>
  <si>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</si>
  <si>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</si>
  <si>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</si>
  <si>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</si>
  <si>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</si>
  <si>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</si>
  <si>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</si>
  <si>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</si>
  <si>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</si>
  <si>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</si>
  <si>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</si>
  <si>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</si>
  <si>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</si>
  <si>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</si>
  <si>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</si>
  <si>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</si>
  <si>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</si>
  <si>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</si>
  <si>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</si>
  <si>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</si>
  <si>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</si>
  <si>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</si>
  <si>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</si>
  <si>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</si>
  <si>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</si>
  <si>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</si>
  <si>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</si>
  <si>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</si>
  <si>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</si>
  <si>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</si>
  <si>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</si>
  <si>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</si>
  <si>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</si>
  <si>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</si>
  <si>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</si>
  <si>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</si>
  <si>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</si>
  <si>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</si>
  <si>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</si>
  <si>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</si>
  <si>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</si>
  <si>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</si>
  <si>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</si>
  <si>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</si>
  <si>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</si>
  <si>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</si>
  <si>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</si>
  <si>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</si>
  <si>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</si>
  <si>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</si>
  <si>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</si>
  <si>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</si>
  <si>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</si>
  <si>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</si>
  <si>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</si>
  <si>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</si>
  <si>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</si>
  <si>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</si>
  <si>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</si>
  <si>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</si>
  <si>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23300-B0301R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</si>
  <si>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</si>
  <si>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</si>
  <si>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</si>
  <si>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</si>
  <si>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</si>
  <si>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</si>
  <si>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</si>
  <si>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</si>
  <si>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</si>
  <si>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</si>
  <si>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</si>
  <si>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</si>
  <si>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</si>
  <si>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</si>
  <si>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</si>
  <si>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</si>
  <si>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</si>
  <si>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</si>
  <si>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</si>
  <si>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</si>
  <si>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</si>
  <si>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</si>
  <si>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</si>
  <si>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</si>
  <si>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</si>
  <si>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</si>
  <si>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</si>
  <si>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</si>
  <si>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</si>
  <si>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</si>
  <si>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</si>
  <si>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</si>
  <si>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</si>
  <si>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</si>
  <si>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</si>
  <si>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0834</t>
  </si>
  <si>
    <t>ARRANQUE FORD BRONCO 3H 12V 9D CAJA/AUT</t>
  </si>
  <si>
    <t>2F-0006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</si>
  <si>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</si>
  <si>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</si>
  <si>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</si>
  <si>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</si>
  <si>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</si>
  <si>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</si>
  <si>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</si>
  <si>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</si>
  <si>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</si>
  <si>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</si>
  <si>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</si>
  <si>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</si>
  <si>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</si>
  <si>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</si>
  <si>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0850</t>
  </si>
  <si>
    <t>ARRANQUE THERMO KING 9D 12V HI CW 2.0KW</t>
  </si>
  <si>
    <t>2J-0056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</si>
  <si>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</si>
  <si>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</si>
  <si>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</si>
  <si>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</si>
  <si>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</si>
  <si>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</si>
  <si>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</si>
  <si>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</si>
  <si>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</si>
  <si>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0858</t>
  </si>
  <si>
    <t>ARRANQUE MITSUBISHI KOBELCO RETRO 13D 24V INDUSTRIAL</t>
  </si>
  <si>
    <t>2J-02808</t>
  </si>
  <si>
    <t>0859</t>
  </si>
  <si>
    <t>ARRANQUE</t>
  </si>
  <si>
    <t>ARR-</t>
  </si>
  <si>
    <t>ARRANQUE CHEVROLET TRACKER SUZ VITARA SIDEKICK 12V 8D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</si>
  <si>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</si>
  <si>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</si>
  <si>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</si>
  <si>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</si>
  <si>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</si>
  <si>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</si>
  <si>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</si>
  <si>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</si>
  <si>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</si>
  <si>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</si>
  <si>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</si>
  <si>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</si>
  <si>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</si>
  <si>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</si>
  <si>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</si>
  <si>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</si>
  <si>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</si>
  <si>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</si>
  <si>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</si>
  <si>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</si>
  <si>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</si>
  <si>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</si>
  <si>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</si>
  <si>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</si>
  <si>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</si>
  <si>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</si>
  <si>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</si>
  <si>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</si>
  <si>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</si>
  <si>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ARRANQUE CHEVROLET LUV 2.3 TROOPER 12V 9D 16878N</t>
  </si>
  <si>
    <t>8-94469-246-0N</t>
  </si>
  <si>
    <t>1919</t>
  </si>
  <si>
    <t>ARRANQUE CH SPARK GT 9D ORIG</t>
  </si>
  <si>
    <t>1931</t>
  </si>
  <si>
    <t>ARRANQUE DOOSAN 24V 11D 4.5KW CW</t>
  </si>
  <si>
    <t>82-00777</t>
  </si>
  <si>
    <t>1932</t>
  </si>
  <si>
    <t>ARRANQUE 38MT 12D 12V REMY</t>
  </si>
  <si>
    <t>1933</t>
  </si>
  <si>
    <t>ARRANQUE 38MT F/LINER K/WORTH 12D 24V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</si>
  <si>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</si>
  <si>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</si>
  <si>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</si>
  <si>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</si>
  <si>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</si>
  <si>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</si>
  <si>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</si>
  <si>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</si>
  <si>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</si>
  <si>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</si>
  <si>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</si>
  <si>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</si>
  <si>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</si>
  <si>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</si>
  <si>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</si>
  <si>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</si>
  <si>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2165</t>
  </si>
  <si>
    <t>ARRANQUE CH OPTRA 1.8 CAPTIVA EPICA RELA</t>
  </si>
  <si>
    <t>2481</t>
  </si>
  <si>
    <t>ARRANQUE MONTA/C MONT MAZ</t>
  </si>
  <si>
    <t>ARR-082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</si>
  <si>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</si>
  <si>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</si>
  <si>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</si>
  <si>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</si>
  <si>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</si>
  <si>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</si>
  <si>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</si>
  <si>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</si>
  <si>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</si>
  <si>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</si>
  <si>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</si>
  <si>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</si>
  <si>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</si>
  <si>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</si>
  <si>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</si>
  <si>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2498</t>
  </si>
  <si>
    <t>ARRANQUE DAHIATSU TERIOS 12V 9D ND RELA</t>
  </si>
  <si>
    <t>ARR-17002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</si>
  <si>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</si>
  <si>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</si>
  <si>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</si>
  <si>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</si>
  <si>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</si>
  <si>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</si>
  <si>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</si>
  <si>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</si>
  <si>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2505</t>
  </si>
  <si>
    <t>ARRANQUE BOSCH MERCED 12V 10D CW</t>
  </si>
  <si>
    <t>ARR-17040N</t>
  </si>
  <si>
    <t>ARRANQUE LUCAS M50 PERKINS MASSEY FERGUNSON 10D</t>
  </si>
  <si>
    <t>ARR-17072N</t>
  </si>
  <si>
    <t>2508</t>
  </si>
  <si>
    <t>ARRANQUE DODGE RAM DART 10D ND RELA=3205 KT</t>
  </si>
  <si>
    <t>ARR-17084N</t>
  </si>
  <si>
    <t>ARRANQUE DODGE RAM DART 10D 12V BB-1225</t>
  </si>
  <si>
    <t>ARR-17084R</t>
  </si>
  <si>
    <t>2511</t>
  </si>
  <si>
    <t>ARRANQUE DENSO CARRIER THERMO KING 15D 12V</t>
  </si>
  <si>
    <t>ARR-17099N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</si>
  <si>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</si>
  <si>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</si>
  <si>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</si>
  <si>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</si>
  <si>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</si>
  <si>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</si>
  <si>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2518</t>
  </si>
  <si>
    <t>ARRANQUE ND JOHN DEERE BOBCAT 2H 12V 13D</t>
  </si>
  <si>
    <t>ARR-17362N</t>
  </si>
  <si>
    <t>ARRANQUE CASE 2-1751ND 5.5KW 24V 10D CW</t>
  </si>
  <si>
    <t>ARRANQUE NISSAN PATHFINDER 12V 9D</t>
  </si>
  <si>
    <t>ARR-17437N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</si>
  <si>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</si>
  <si>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</si>
  <si>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</si>
  <si>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</si>
  <si>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</si>
  <si>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</si>
  <si>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</si>
  <si>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</si>
  <si>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</si>
  <si>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LUCAS MASSEY TRACTORES 10D 12V</t>
  </si>
  <si>
    <t>ARR-17649N</t>
  </si>
  <si>
    <t>ARR-17685N</t>
  </si>
  <si>
    <t>2537</t>
  </si>
  <si>
    <t>ARRANQUE BO MERCED 12V 9D CW</t>
  </si>
  <si>
    <t>ARR-17730N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</si>
  <si>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</si>
  <si>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</si>
  <si>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</si>
  <si>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</si>
  <si>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</si>
  <si>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</si>
  <si>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</si>
  <si>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</si>
  <si>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</si>
  <si>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ARRANQUE VW JETTA BORA SEAT 12V 0001121008</t>
  </si>
  <si>
    <t>ARR-17780N</t>
  </si>
  <si>
    <t>2555</t>
  </si>
  <si>
    <t>ARRANQUE HONDA ACURA 02/06 9D CW 12V R</t>
  </si>
  <si>
    <t>ARR-17886R</t>
  </si>
  <si>
    <t>ARRANQUE JEEP CHEROKEE 1.4KW/ 12V CW 10D</t>
  </si>
  <si>
    <t>2564</t>
  </si>
  <si>
    <t>ARRANQUE JHON DEERE TRACTOR 9D 12V CCW</t>
  </si>
  <si>
    <t>ARR-18012N</t>
  </si>
  <si>
    <t>ARRANQUE YAMMAR JHON DEERE 12V 2.0KW 15D CW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</si>
  <si>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</si>
  <si>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</si>
  <si>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</si>
  <si>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</si>
  <si>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</si>
  <si>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</si>
  <si>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</si>
  <si>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</si>
  <si>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</si>
  <si>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</si>
  <si>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</si>
  <si>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MITSUBISHI FUSO RETRO 24V 11D MI 2J-02806</t>
  </si>
  <si>
    <t>ARR-18242N</t>
  </si>
  <si>
    <t>2583</t>
  </si>
  <si>
    <t>ARRANQUE MITSUBISHI CATERPILAR 320 ED30 11D 24V</t>
  </si>
  <si>
    <t>ARR-18245N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</si>
  <si>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</si>
  <si>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</si>
  <si>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</si>
  <si>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</si>
  <si>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</si>
  <si>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</si>
  <si>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</si>
  <si>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</si>
  <si>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</si>
  <si>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KUBOTA ND 12V 9D 1.4KW 428000-2640 REEMPLAZA 13D</t>
  </si>
  <si>
    <t>ARR-18419N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</si>
  <si>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</si>
  <si>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</si>
  <si>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</si>
  <si>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</si>
  <si>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</si>
  <si>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</si>
  <si>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</si>
  <si>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</si>
  <si>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</si>
  <si>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</si>
  <si>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</si>
  <si>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</si>
  <si>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2611</t>
  </si>
  <si>
    <t>ARRANQUE ND JHON DEERE 4120 12V=2-2959 ND</t>
  </si>
  <si>
    <t>ARR-18989N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</si>
  <si>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</si>
  <si>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</si>
  <si>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</si>
  <si>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</si>
  <si>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</si>
  <si>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</si>
  <si>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</si>
  <si>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</si>
  <si>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</si>
  <si>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</si>
  <si>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</si>
  <si>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</si>
  <si>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</si>
  <si>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</si>
  <si>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</si>
  <si>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</si>
  <si>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</si>
  <si>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</si>
  <si>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</si>
  <si>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</si>
  <si>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</si>
  <si>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</si>
  <si>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</si>
  <si>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</si>
  <si>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</si>
  <si>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</si>
  <si>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</si>
  <si>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</si>
  <si>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</si>
  <si>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</si>
  <si>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</si>
  <si>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</si>
  <si>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</si>
  <si>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</si>
  <si>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</si>
  <si>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</si>
  <si>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</si>
  <si>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</si>
  <si>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</si>
  <si>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</si>
  <si>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</si>
  <si>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</si>
  <si>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</si>
  <si>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2641</t>
  </si>
  <si>
    <t>ARRANQUE SKODA FABIA 12V 10D CCW BOSCH</t>
  </si>
  <si>
    <t>ARR-31220N</t>
  </si>
  <si>
    <t>ARRANQUE FORD 65 F100 3H 9D N/RELAC 6CC MV 2F-0008</t>
  </si>
  <si>
    <t>ARR-3131N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</si>
  <si>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</si>
  <si>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</si>
  <si>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</si>
  <si>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</si>
  <si>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</si>
  <si>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</si>
  <si>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</si>
  <si>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</si>
  <si>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</si>
  <si>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</si>
  <si>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</si>
  <si>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</si>
  <si>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ARRANQUE TOYOTA LAND CRUISER 2.2 KW 12V</t>
  </si>
  <si>
    <t>ARR-32414N</t>
  </si>
  <si>
    <t>ARRANQUE TOYOTA PRADO DIESEL 1KZT 10D 12V</t>
  </si>
  <si>
    <t>ARR-32415N</t>
  </si>
  <si>
    <t>2660</t>
  </si>
  <si>
    <t>ARRANQUE MI FD42 24V 11D KT</t>
  </si>
  <si>
    <t>ARR-33001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</si>
  <si>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</si>
  <si>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</si>
  <si>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</si>
  <si>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</si>
  <si>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</si>
  <si>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</si>
  <si>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</si>
  <si>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</si>
  <si>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</si>
  <si>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</si>
  <si>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</si>
  <si>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</si>
  <si>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</si>
  <si>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</si>
  <si>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</si>
  <si>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</si>
  <si>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</si>
  <si>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</si>
  <si>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</si>
  <si>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</si>
  <si>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</si>
  <si>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</si>
  <si>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</si>
  <si>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</si>
  <si>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</si>
  <si>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</si>
  <si>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</si>
  <si>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ARR-6598N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</si>
  <si>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</si>
  <si>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</si>
  <si>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</si>
  <si>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</si>
  <si>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</si>
  <si>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</si>
  <si>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41MT KODIAK TORN TRAS CORTO 12D 12V CW</t>
  </si>
  <si>
    <t>ARR-6668N</t>
  </si>
  <si>
    <t>2685</t>
  </si>
  <si>
    <t>ARRANQUE FORD 450 550 DIES V8 12D</t>
  </si>
  <si>
    <t>ARR-6670N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</si>
  <si>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</si>
  <si>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</si>
  <si>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</si>
  <si>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</si>
  <si>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</si>
  <si>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</si>
  <si>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</si>
  <si>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</si>
  <si>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</si>
  <si>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</si>
  <si>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</si>
  <si>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</si>
  <si>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</si>
  <si>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</si>
  <si>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</si>
  <si>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</si>
  <si>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</si>
  <si>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39MT MACK VOLVO GIRATORIO 12V 11D CW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</si>
  <si>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</si>
  <si>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</si>
  <si>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</si>
  <si>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</si>
  <si>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</si>
  <si>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</si>
  <si>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</si>
  <si>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</si>
  <si>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</si>
  <si>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</si>
  <si>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2707</t>
  </si>
  <si>
    <t>ARRANQUE MI MONT L300 12V 10D</t>
  </si>
  <si>
    <t>ARR-84071N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</si>
  <si>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</si>
  <si>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</si>
  <si>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</si>
  <si>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</si>
  <si>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</si>
  <si>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</si>
  <si>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</si>
  <si>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</si>
  <si>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</si>
  <si>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</si>
  <si>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</si>
  <si>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</si>
  <si>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</si>
  <si>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</si>
  <si>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</si>
  <si>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</si>
  <si>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ARRANQUE RENAULT SYMBOL CLIO TWINGO 2H 9D VA D7E1-CS1057</t>
  </si>
  <si>
    <t>D7E1-CS1057N</t>
  </si>
  <si>
    <t>3077</t>
  </si>
  <si>
    <t>ARRANQUE R-SYMBOL CITIUS 3H 8D VA</t>
  </si>
  <si>
    <t>D7E15-CS1186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</si>
  <si>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</si>
  <si>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</si>
  <si>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</si>
  <si>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</si>
  <si>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</si>
  <si>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</si>
  <si>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</si>
  <si>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</si>
  <si>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</si>
  <si>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</si>
  <si>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</si>
  <si>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</si>
  <si>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</si>
  <si>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</si>
  <si>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</si>
  <si>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</si>
  <si>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</si>
  <si>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</si>
  <si>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</si>
  <si>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</si>
  <si>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</si>
  <si>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</si>
  <si>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5756</t>
  </si>
  <si>
    <t>ARRANQUE MI RETRO 6D22 24V 5.5KW 13D</t>
  </si>
  <si>
    <t>M003T95082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</si>
  <si>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</si>
  <si>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</si>
  <si>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</si>
  <si>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</si>
  <si>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</si>
  <si>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</si>
  <si>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</si>
  <si>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</si>
  <si>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</si>
  <si>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</si>
  <si>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</si>
  <si>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</si>
  <si>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</si>
  <si>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</si>
  <si>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</si>
  <si>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</si>
  <si>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</si>
  <si>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</si>
  <si>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</si>
  <si>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</si>
  <si>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</si>
  <si>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6148</t>
  </si>
  <si>
    <t>ARRANQUE KIA BESTA 3H 12V</t>
  </si>
  <si>
    <t>R201-14-400A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</si>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</sst>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4" fontId="2" fillId="0" borderId="0" xfId="0" applyNumberFormat="1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.postimg.cc/V6xKhMR6/0001-1.jp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G3" sqref="G3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5838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 filterMode="1"/>
  <dimension ref="A1:G439"/>
  <sheetViews>
    <sheetView topLeftCell="A125" workbookViewId="0">
      <selection sqref="A1:G439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hidden="1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hidden="1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hidden="1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hidden="1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hidden="1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hidden="1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hidden="1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hidden="1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hidden="1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hidden="1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hidden="1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hidden="1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hidden="1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hidden="1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hidden="1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hidden="1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hidden="1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hidden="1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hidden="1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hidden="1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hidden="1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hidden="1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hidden="1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hidden="1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hidden="1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hidden="1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hidden="1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hidden="1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hidden="1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hidden="1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hidden="1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hidden="1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hidden="1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hidden="1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hidden="1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hidden="1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hidden="1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hidden="1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hidden="1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hidden="1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hidden="1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hidden="1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hidden="1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hidden="1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hidden="1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hidden="1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hidden="1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hidden="1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hidden="1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hidden="1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hidden="1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hidden="1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hidden="1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hidden="1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hidden="1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hidden="1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hidden="1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hidden="1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hidden="1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hidden="1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hidden="1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hidden="1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hidden="1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hidden="1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hidden="1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hidden="1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hidden="1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hidden="1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hidden="1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hidden="1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hidden="1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hidden="1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hidden="1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hidden="1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hidden="1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hidden="1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hidden="1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hidden="1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hidden="1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hidden="1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hidden="1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hidden="1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hidden="1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hidden="1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hidden="1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hidden="1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hidden="1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hidden="1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hidden="1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hidden="1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hidden="1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hidden="1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hidden="1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hidden="1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hidden="1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hidden="1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hidden="1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hidden="1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hidden="1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hidden="1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hidden="1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hidden="1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hidden="1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hidden="1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hidden="1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hidden="1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hidden="1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hidden="1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hidden="1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hidden="1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hidden="1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hidden="1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hidden="1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hidden="1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hidden="1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hidden="1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hidden="1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hidden="1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hidden="1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hidden="1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hidden="1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hidden="1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hidden="1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hidden="1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hidden="1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hidden="1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hidden="1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hidden="1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hidden="1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hidden="1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hidden="1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hidden="1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hidden="1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hidden="1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hidden="1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hidden="1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hidden="1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hidden="1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hidden="1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hidden="1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hidden="1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hidden="1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hidden="1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hidden="1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hidden="1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hidden="1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hidden="1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hidden="1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hidden="1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hidden="1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hidden="1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hidden="1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hidden="1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hidden="1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hidden="1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hidden="1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hidden="1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hidden="1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hidden="1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hidden="1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hidden="1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hidden="1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hidden="1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hidden="1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hidden="1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hidden="1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hidden="1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hidden="1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hidden="1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hidden="1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hidden="1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hidden="1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hidden="1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hidden="1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hidden="1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hidden="1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hidden="1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hidden="1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hidden="1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hidden="1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hidden="1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hidden="1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hidden="1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hidden="1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hidden="1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hidden="1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hidden="1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hidden="1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hidden="1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hidden="1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hidden="1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hidden="1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hidden="1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hidden="1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hidden="1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hidden="1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hidden="1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hidden="1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hidden="1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hidden="1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hidden="1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hidden="1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hidden="1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hidden="1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hidden="1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hidden="1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hidden="1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hidden="1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hidden="1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hidden="1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hidden="1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hidden="1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hidden="1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hidden="1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hidden="1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hidden="1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hidden="1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hidden="1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hidden="1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hidden="1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hidden="1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hidden="1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hidden="1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hidden="1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hidden="1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hidden="1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hidden="1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hidden="1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hidden="1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hidden="1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hidden="1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hidden="1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hidden="1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hidden="1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hidden="1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hidden="1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hidden="1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hidden="1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hidden="1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hidden="1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hidden="1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hidden="1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hidden="1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hidden="1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hidden="1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hidden="1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hidden="1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hidden="1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hidden="1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hidden="1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hidden="1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hidden="1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hidden="1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hidden="1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hidden="1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hidden="1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hidden="1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hidden="1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hidden="1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hidden="1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hidden="1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hidden="1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hidden="1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hidden="1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hidden="1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hidden="1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hidden="1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hidden="1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hidden="1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hidden="1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hidden="1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hidden="1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hidden="1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hidden="1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hidden="1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hidden="1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hidden="1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hidden="1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hidden="1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hidden="1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hidden="1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hidden="1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hidden="1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hidden="1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hidden="1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hidden="1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hidden="1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hidden="1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hidden="1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hidden="1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hidden="1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hidden="1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hidden="1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hidden="1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hidden="1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hidden="1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hidden="1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hidden="1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hidden="1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hidden="1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hidden="1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hidden="1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hidden="1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hidden="1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hidden="1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hidden="1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hidden="1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hidden="1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hidden="1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hidden="1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hidden="1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hidden="1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hidden="1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hidden="1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hidden="1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hidden="1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hidden="1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hidden="1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hidden="1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hidden="1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hidden="1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hidden="1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hidden="1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hidden="1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hidden="1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hidden="1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hidden="1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hidden="1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autoFilter ref="A1:G439" xr:uid="{B70B048C-D2F3-402A-8AF6-9884E4313DB2}">
    <filterColumn colId="4">
      <filters>
        <filter val="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F3" sqref="F3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75"/>
  <sheetViews>
    <sheetView topLeftCell="A97" workbookViewId="0">
      <selection activeCell="E176" sqref="E176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5844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8" t="s">
        <v>6012</v>
      </c>
      <c r="G2" t="str">
        <f>LEFT(D2,4)</f>
        <v>0115</v>
      </c>
    </row>
    <row r="3" spans="1:7" x14ac:dyDescent="0.25">
      <c r="A3" t="s">
        <v>5845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8"/>
      <c r="G3" t="str">
        <f t="shared" ref="G3:G66" si="4">LEFT(D3,4)</f>
        <v>0115</v>
      </c>
    </row>
    <row r="4" spans="1:7" x14ac:dyDescent="0.25">
      <c r="A4" t="s">
        <v>5846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8"/>
      <c r="G4" t="str">
        <f t="shared" si="4"/>
        <v>0115</v>
      </c>
    </row>
    <row r="5" spans="1:7" x14ac:dyDescent="0.25">
      <c r="A5" t="s">
        <v>5847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8" t="s">
        <v>6013</v>
      </c>
      <c r="G5" t="str">
        <f t="shared" si="4"/>
        <v>0457</v>
      </c>
    </row>
    <row r="6" spans="1:7" x14ac:dyDescent="0.25">
      <c r="A6" t="s">
        <v>5848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8"/>
      <c r="G6" t="str">
        <f t="shared" si="4"/>
        <v>0457</v>
      </c>
    </row>
    <row r="7" spans="1:7" x14ac:dyDescent="0.25">
      <c r="A7" t="s">
        <v>5849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8"/>
      <c r="G7" t="str">
        <f t="shared" si="4"/>
        <v>0457</v>
      </c>
    </row>
    <row r="8" spans="1:7" x14ac:dyDescent="0.25">
      <c r="A8" t="s">
        <v>5850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8" t="s">
        <v>6014</v>
      </c>
      <c r="G8" t="str">
        <f t="shared" si="4"/>
        <v>0467</v>
      </c>
    </row>
    <row r="9" spans="1:7" x14ac:dyDescent="0.25">
      <c r="A9" t="s">
        <v>5851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8"/>
      <c r="G9" t="str">
        <f t="shared" si="4"/>
        <v>0467</v>
      </c>
    </row>
    <row r="10" spans="1:7" x14ac:dyDescent="0.25">
      <c r="A10" t="s">
        <v>5852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8"/>
      <c r="G10" t="str">
        <f t="shared" si="4"/>
        <v>0467</v>
      </c>
    </row>
    <row r="11" spans="1:7" x14ac:dyDescent="0.25">
      <c r="A11" t="s">
        <v>5853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8" t="s">
        <v>6015</v>
      </c>
      <c r="G11" t="str">
        <f t="shared" si="4"/>
        <v>0628</v>
      </c>
    </row>
    <row r="12" spans="1:7" x14ac:dyDescent="0.25">
      <c r="A12" t="s">
        <v>5854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8"/>
      <c r="G12" t="str">
        <f t="shared" si="4"/>
        <v>0628</v>
      </c>
    </row>
    <row r="13" spans="1:7" x14ac:dyDescent="0.25">
      <c r="A13" t="s">
        <v>5855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8"/>
      <c r="G13" t="str">
        <f t="shared" si="4"/>
        <v>0628</v>
      </c>
    </row>
    <row r="14" spans="1:7" x14ac:dyDescent="0.25">
      <c r="A14" t="s">
        <v>5856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8" t="s">
        <v>6016</v>
      </c>
      <c r="G14" t="str">
        <f t="shared" si="4"/>
        <v>0686</v>
      </c>
    </row>
    <row r="15" spans="1:7" x14ac:dyDescent="0.25">
      <c r="A15" t="s">
        <v>5857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8"/>
      <c r="G15" t="str">
        <f t="shared" si="4"/>
        <v>0686</v>
      </c>
    </row>
    <row r="16" spans="1:7" x14ac:dyDescent="0.25">
      <c r="A16" t="s">
        <v>5858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8"/>
      <c r="G16" t="str">
        <f t="shared" si="4"/>
        <v>0686</v>
      </c>
    </row>
    <row r="17" spans="1:7" x14ac:dyDescent="0.25">
      <c r="A17" t="s">
        <v>5859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8" t="s">
        <v>6017</v>
      </c>
      <c r="G17" t="str">
        <f t="shared" si="4"/>
        <v>0687</v>
      </c>
    </row>
    <row r="18" spans="1:7" x14ac:dyDescent="0.25">
      <c r="A18" t="s">
        <v>5860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8"/>
      <c r="G18" t="str">
        <f t="shared" si="4"/>
        <v>0687</v>
      </c>
    </row>
    <row r="19" spans="1:7" x14ac:dyDescent="0.25">
      <c r="A19" t="s">
        <v>5861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8"/>
      <c r="G19" t="str">
        <f t="shared" si="4"/>
        <v>0687</v>
      </c>
    </row>
    <row r="20" spans="1:7" x14ac:dyDescent="0.25">
      <c r="A20" t="s">
        <v>5862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8" t="s">
        <v>6018</v>
      </c>
      <c r="G20" t="str">
        <f t="shared" si="4"/>
        <v>0812</v>
      </c>
    </row>
    <row r="21" spans="1:7" x14ac:dyDescent="0.25">
      <c r="A21" t="s">
        <v>5863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8"/>
      <c r="G21" t="str">
        <f t="shared" si="4"/>
        <v>0812</v>
      </c>
    </row>
    <row r="22" spans="1:7" x14ac:dyDescent="0.25">
      <c r="A22" t="s">
        <v>5864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8"/>
      <c r="G22" t="str">
        <f t="shared" si="4"/>
        <v>0812</v>
      </c>
    </row>
    <row r="23" spans="1:7" x14ac:dyDescent="0.25">
      <c r="A23" t="s">
        <v>5865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8" t="s">
        <v>6019</v>
      </c>
      <c r="G23" t="str">
        <f t="shared" si="4"/>
        <v>0821</v>
      </c>
    </row>
    <row r="24" spans="1:7" x14ac:dyDescent="0.25">
      <c r="A24" t="s">
        <v>5866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8"/>
      <c r="G24" t="str">
        <f t="shared" si="4"/>
        <v>0821</v>
      </c>
    </row>
    <row r="25" spans="1:7" x14ac:dyDescent="0.25">
      <c r="A25" t="s">
        <v>5867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8"/>
      <c r="G25" t="str">
        <f t="shared" si="4"/>
        <v>0821</v>
      </c>
    </row>
    <row r="26" spans="1:7" x14ac:dyDescent="0.25">
      <c r="A26" t="s">
        <v>5868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8" t="s">
        <v>6020</v>
      </c>
      <c r="G26" t="str">
        <f t="shared" si="4"/>
        <v>0827</v>
      </c>
    </row>
    <row r="27" spans="1:7" x14ac:dyDescent="0.25">
      <c r="A27" t="s">
        <v>5869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8"/>
      <c r="G27" t="str">
        <f t="shared" si="4"/>
        <v>0827</v>
      </c>
    </row>
    <row r="28" spans="1:7" x14ac:dyDescent="0.25">
      <c r="A28" t="s">
        <v>5870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8"/>
      <c r="G28" t="str">
        <f t="shared" si="4"/>
        <v>0827</v>
      </c>
    </row>
    <row r="29" spans="1:7" x14ac:dyDescent="0.25">
      <c r="A29" t="s">
        <v>5871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8" t="s">
        <v>6021</v>
      </c>
      <c r="G29" t="str">
        <f t="shared" si="4"/>
        <v>0845</v>
      </c>
    </row>
    <row r="30" spans="1:7" x14ac:dyDescent="0.25">
      <c r="A30" t="s">
        <v>5872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8"/>
      <c r="G30" t="str">
        <f t="shared" si="4"/>
        <v>0845</v>
      </c>
    </row>
    <row r="31" spans="1:7" x14ac:dyDescent="0.25">
      <c r="A31" t="s">
        <v>5873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8"/>
      <c r="G31" t="str">
        <f t="shared" si="4"/>
        <v>0845</v>
      </c>
    </row>
    <row r="32" spans="1:7" x14ac:dyDescent="0.25">
      <c r="A32" t="s">
        <v>5874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8" t="s">
        <v>6022</v>
      </c>
      <c r="G32" t="str">
        <f t="shared" si="4"/>
        <v>0853</v>
      </c>
    </row>
    <row r="33" spans="1:7" x14ac:dyDescent="0.25">
      <c r="A33" t="s">
        <v>5875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8"/>
      <c r="G33" t="str">
        <f t="shared" si="4"/>
        <v>0853</v>
      </c>
    </row>
    <row r="34" spans="1:7" x14ac:dyDescent="0.25">
      <c r="A34" t="s">
        <v>5876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8"/>
      <c r="G34" t="str">
        <f t="shared" si="4"/>
        <v>0853</v>
      </c>
    </row>
    <row r="35" spans="1:7" x14ac:dyDescent="0.25">
      <c r="A35" t="s">
        <v>5877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8" t="s">
        <v>6023</v>
      </c>
      <c r="G35" t="str">
        <f t="shared" si="4"/>
        <v>0857</v>
      </c>
    </row>
    <row r="36" spans="1:7" x14ac:dyDescent="0.25">
      <c r="A36" t="s">
        <v>5878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8"/>
      <c r="G36" t="str">
        <f t="shared" si="4"/>
        <v>0857</v>
      </c>
    </row>
    <row r="37" spans="1:7" x14ac:dyDescent="0.25">
      <c r="A37" t="s">
        <v>5879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8"/>
      <c r="G37" t="str">
        <f t="shared" si="4"/>
        <v>0857</v>
      </c>
    </row>
    <row r="38" spans="1:7" x14ac:dyDescent="0.25">
      <c r="A38" t="s">
        <v>5880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8" t="s">
        <v>6024</v>
      </c>
      <c r="G38" t="str">
        <f t="shared" si="4"/>
        <v>0917</v>
      </c>
    </row>
    <row r="39" spans="1:7" x14ac:dyDescent="0.25">
      <c r="A39" t="s">
        <v>5881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8"/>
      <c r="G39" t="str">
        <f t="shared" si="4"/>
        <v>0917</v>
      </c>
    </row>
    <row r="40" spans="1:7" x14ac:dyDescent="0.25">
      <c r="A40" t="s">
        <v>5882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8"/>
      <c r="G40" t="str">
        <f t="shared" si="4"/>
        <v>0917</v>
      </c>
    </row>
    <row r="41" spans="1:7" x14ac:dyDescent="0.25">
      <c r="A41" t="s">
        <v>5883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8" t="s">
        <v>6025</v>
      </c>
      <c r="G41" t="str">
        <f t="shared" si="4"/>
        <v>0921</v>
      </c>
    </row>
    <row r="42" spans="1:7" x14ac:dyDescent="0.25">
      <c r="A42" t="s">
        <v>5884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8"/>
      <c r="G42" t="str">
        <f t="shared" si="4"/>
        <v>0921</v>
      </c>
    </row>
    <row r="43" spans="1:7" x14ac:dyDescent="0.25">
      <c r="A43" t="s">
        <v>5885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8"/>
      <c r="G43" t="str">
        <f t="shared" si="4"/>
        <v>0921</v>
      </c>
    </row>
    <row r="44" spans="1:7" x14ac:dyDescent="0.25">
      <c r="A44" t="s">
        <v>5886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8" t="s">
        <v>6026</v>
      </c>
      <c r="G44" t="str">
        <f t="shared" si="4"/>
        <v>0923</v>
      </c>
    </row>
    <row r="45" spans="1:7" x14ac:dyDescent="0.25">
      <c r="A45" t="s">
        <v>5887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8"/>
      <c r="G45" t="str">
        <f t="shared" si="4"/>
        <v>0923</v>
      </c>
    </row>
    <row r="46" spans="1:7" x14ac:dyDescent="0.25">
      <c r="A46" t="s">
        <v>5888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8"/>
      <c r="G46" t="str">
        <f t="shared" si="4"/>
        <v>0923</v>
      </c>
    </row>
    <row r="47" spans="1:7" x14ac:dyDescent="0.25">
      <c r="A47" t="s">
        <v>5889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8" t="s">
        <v>6027</v>
      </c>
      <c r="G47" t="str">
        <f t="shared" si="4"/>
        <v>0946</v>
      </c>
    </row>
    <row r="48" spans="1:7" x14ac:dyDescent="0.25">
      <c r="A48" t="s">
        <v>5890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8"/>
      <c r="G48" t="str">
        <f t="shared" si="4"/>
        <v>0946</v>
      </c>
    </row>
    <row r="49" spans="1:7" x14ac:dyDescent="0.25">
      <c r="A49" t="s">
        <v>5891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8"/>
      <c r="G49" t="str">
        <f t="shared" si="4"/>
        <v>0946</v>
      </c>
    </row>
    <row r="50" spans="1:7" x14ac:dyDescent="0.25">
      <c r="A50" t="s">
        <v>5892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8" t="s">
        <v>6028</v>
      </c>
      <c r="G50" t="str">
        <f t="shared" si="4"/>
        <v>0953</v>
      </c>
    </row>
    <row r="51" spans="1:7" x14ac:dyDescent="0.25">
      <c r="A51" t="s">
        <v>5893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8"/>
      <c r="G51" t="str">
        <f t="shared" si="4"/>
        <v>0953</v>
      </c>
    </row>
    <row r="52" spans="1:7" x14ac:dyDescent="0.25">
      <c r="A52" t="s">
        <v>5894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8"/>
      <c r="G52" t="str">
        <f t="shared" si="4"/>
        <v>0953</v>
      </c>
    </row>
    <row r="53" spans="1:7" x14ac:dyDescent="0.25">
      <c r="A53" t="s">
        <v>5895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8" t="s">
        <v>6029</v>
      </c>
      <c r="G53" t="str">
        <f t="shared" si="4"/>
        <v>1017</v>
      </c>
    </row>
    <row r="54" spans="1:7" x14ac:dyDescent="0.25">
      <c r="A54" t="s">
        <v>5896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8"/>
      <c r="G54" t="str">
        <f t="shared" si="4"/>
        <v>1017</v>
      </c>
    </row>
    <row r="55" spans="1:7" x14ac:dyDescent="0.25">
      <c r="A55" t="s">
        <v>5897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8"/>
      <c r="G55" t="str">
        <f t="shared" si="4"/>
        <v>1017</v>
      </c>
    </row>
    <row r="56" spans="1:7" x14ac:dyDescent="0.25">
      <c r="A56" t="s">
        <v>5898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8" t="s">
        <v>6030</v>
      </c>
      <c r="G56" t="str">
        <f t="shared" si="4"/>
        <v>1034</v>
      </c>
    </row>
    <row r="57" spans="1:7" x14ac:dyDescent="0.25">
      <c r="A57" t="s">
        <v>5899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8"/>
      <c r="G57" t="str">
        <f t="shared" si="4"/>
        <v>1034</v>
      </c>
    </row>
    <row r="58" spans="1:7" x14ac:dyDescent="0.25">
      <c r="A58" t="s">
        <v>5900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8"/>
      <c r="G58" t="str">
        <f t="shared" si="4"/>
        <v>1034</v>
      </c>
    </row>
    <row r="59" spans="1:7" x14ac:dyDescent="0.25">
      <c r="A59" t="s">
        <v>5901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8" t="s">
        <v>6031</v>
      </c>
      <c r="G59" t="str">
        <f t="shared" si="4"/>
        <v>1903</v>
      </c>
    </row>
    <row r="60" spans="1:7" x14ac:dyDescent="0.25">
      <c r="A60" t="s">
        <v>5902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8"/>
      <c r="G60" t="str">
        <f t="shared" si="4"/>
        <v>1903</v>
      </c>
    </row>
    <row r="61" spans="1:7" x14ac:dyDescent="0.25">
      <c r="A61" t="s">
        <v>5903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8"/>
      <c r="G61" t="str">
        <f t="shared" si="4"/>
        <v>1903</v>
      </c>
    </row>
    <row r="62" spans="1:7" x14ac:dyDescent="0.25">
      <c r="A62" t="s">
        <v>5904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8" t="s">
        <v>6032</v>
      </c>
      <c r="G62" t="str">
        <f t="shared" si="4"/>
        <v>2146</v>
      </c>
    </row>
    <row r="63" spans="1:7" x14ac:dyDescent="0.25">
      <c r="A63" t="s">
        <v>5905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8"/>
      <c r="G63" t="str">
        <f t="shared" si="4"/>
        <v>2146</v>
      </c>
    </row>
    <row r="64" spans="1:7" x14ac:dyDescent="0.25">
      <c r="A64" t="s">
        <v>5906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8"/>
      <c r="G64" t="str">
        <f t="shared" si="4"/>
        <v>2146</v>
      </c>
    </row>
    <row r="65" spans="1:7" x14ac:dyDescent="0.25">
      <c r="A65" t="s">
        <v>5907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8" t="s">
        <v>6033</v>
      </c>
      <c r="G65" t="str">
        <f t="shared" si="4"/>
        <v>2489</v>
      </c>
    </row>
    <row r="66" spans="1:7" x14ac:dyDescent="0.25">
      <c r="A66" t="s">
        <v>5908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8"/>
      <c r="G66" t="str">
        <f t="shared" si="4"/>
        <v>2489</v>
      </c>
    </row>
    <row r="67" spans="1:7" x14ac:dyDescent="0.25">
      <c r="A67" t="s">
        <v>5909</v>
      </c>
      <c r="B67">
        <f t="shared" ref="B67:B136" si="5">LEN(A67)</f>
        <v>40</v>
      </c>
      <c r="C67" t="str">
        <f t="shared" ref="C67:C136" si="6">RIGHT(A67,10)</f>
        <v>2489-3.jpg</v>
      </c>
      <c r="D67" t="str">
        <f t="shared" ref="D67:D136" si="7">LEFT(C67,6)</f>
        <v>2489-3</v>
      </c>
      <c r="E67" t="str">
        <f t="shared" ref="E67:E136" si="8">RIGHT(D67,1)</f>
        <v>3</v>
      </c>
      <c r="F67" s="8"/>
      <c r="G67" t="str">
        <f t="shared" ref="G67:G136" si="9">LEFT(D67,4)</f>
        <v>2489</v>
      </c>
    </row>
    <row r="68" spans="1:7" x14ac:dyDescent="0.25">
      <c r="A68" t="s">
        <v>5910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8" t="s">
        <v>6034</v>
      </c>
      <c r="G68" t="str">
        <f t="shared" si="9"/>
        <v>2532</v>
      </c>
    </row>
    <row r="69" spans="1:7" x14ac:dyDescent="0.25">
      <c r="A69" t="s">
        <v>5911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8"/>
      <c r="G69" t="str">
        <f t="shared" si="9"/>
        <v>2532</v>
      </c>
    </row>
    <row r="70" spans="1:7" x14ac:dyDescent="0.25">
      <c r="A70" t="s">
        <v>5912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8"/>
      <c r="G70" t="str">
        <f t="shared" si="9"/>
        <v>2532</v>
      </c>
    </row>
    <row r="71" spans="1:7" x14ac:dyDescent="0.25">
      <c r="A71" t="s">
        <v>5913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8" t="s">
        <v>6035</v>
      </c>
      <c r="G71" t="str">
        <f t="shared" si="9"/>
        <v>2569</v>
      </c>
    </row>
    <row r="72" spans="1:7" x14ac:dyDescent="0.25">
      <c r="A72" t="s">
        <v>5914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8"/>
      <c r="G72" t="str">
        <f t="shared" si="9"/>
        <v>2569</v>
      </c>
    </row>
    <row r="73" spans="1:7" x14ac:dyDescent="0.25">
      <c r="A73" t="s">
        <v>5915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8"/>
      <c r="G73" t="str">
        <f t="shared" si="9"/>
        <v>2569</v>
      </c>
    </row>
    <row r="74" spans="1:7" x14ac:dyDescent="0.25">
      <c r="A74" t="s">
        <v>5916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8" t="s">
        <v>6036</v>
      </c>
      <c r="G74" t="str">
        <f t="shared" si="9"/>
        <v>2579</v>
      </c>
    </row>
    <row r="75" spans="1:7" x14ac:dyDescent="0.25">
      <c r="A75" t="s">
        <v>5917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8"/>
      <c r="G75" t="str">
        <f t="shared" si="9"/>
        <v>2579</v>
      </c>
    </row>
    <row r="76" spans="1:7" x14ac:dyDescent="0.25">
      <c r="A76" t="s">
        <v>5918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8"/>
      <c r="G76" t="str">
        <f t="shared" si="9"/>
        <v>2579</v>
      </c>
    </row>
    <row r="77" spans="1:7" x14ac:dyDescent="0.25">
      <c r="A77" t="s">
        <v>5919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8" t="s">
        <v>6037</v>
      </c>
      <c r="G77" t="str">
        <f t="shared" si="9"/>
        <v>2595</v>
      </c>
    </row>
    <row r="78" spans="1:7" x14ac:dyDescent="0.25">
      <c r="A78" t="s">
        <v>5920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8"/>
      <c r="G78" t="str">
        <f t="shared" si="9"/>
        <v>2595</v>
      </c>
    </row>
    <row r="79" spans="1:7" x14ac:dyDescent="0.25">
      <c r="A79" t="s">
        <v>5921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8"/>
      <c r="G79" t="str">
        <f t="shared" si="9"/>
        <v>2595</v>
      </c>
    </row>
    <row r="80" spans="1:7" x14ac:dyDescent="0.25">
      <c r="A80" t="s">
        <v>5922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8" t="s">
        <v>6038</v>
      </c>
      <c r="G80" t="str">
        <f t="shared" si="9"/>
        <v>2600</v>
      </c>
    </row>
    <row r="81" spans="1:7" x14ac:dyDescent="0.25">
      <c r="A81" t="s">
        <v>5923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8"/>
      <c r="G81" t="str">
        <f t="shared" si="9"/>
        <v>2600</v>
      </c>
    </row>
    <row r="82" spans="1:7" x14ac:dyDescent="0.25">
      <c r="A82" t="s">
        <v>5924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8"/>
      <c r="G82" t="str">
        <f t="shared" si="9"/>
        <v>2600</v>
      </c>
    </row>
    <row r="83" spans="1:7" x14ac:dyDescent="0.25">
      <c r="A83" t="s">
        <v>5925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8" t="s">
        <v>6039</v>
      </c>
      <c r="G83" t="str">
        <f t="shared" si="9"/>
        <v>2632</v>
      </c>
    </row>
    <row r="84" spans="1:7" x14ac:dyDescent="0.25">
      <c r="A84" t="s">
        <v>5926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8"/>
      <c r="G84" t="str">
        <f t="shared" si="9"/>
        <v>2632</v>
      </c>
    </row>
    <row r="85" spans="1:7" x14ac:dyDescent="0.25">
      <c r="A85" t="s">
        <v>5927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8"/>
      <c r="G85" t="str">
        <f t="shared" si="9"/>
        <v>2632</v>
      </c>
    </row>
    <row r="86" spans="1:7" x14ac:dyDescent="0.25">
      <c r="A86" t="s">
        <v>5928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8" t="s">
        <v>6040</v>
      </c>
      <c r="G86" t="str">
        <f t="shared" si="9"/>
        <v>2643</v>
      </c>
    </row>
    <row r="87" spans="1:7" x14ac:dyDescent="0.25">
      <c r="A87" t="s">
        <v>5929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8"/>
      <c r="G87" t="str">
        <f t="shared" si="9"/>
        <v>2643</v>
      </c>
    </row>
    <row r="88" spans="1:7" x14ac:dyDescent="0.25">
      <c r="A88" t="s">
        <v>5930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8"/>
      <c r="G88" t="str">
        <f t="shared" si="9"/>
        <v>2643</v>
      </c>
    </row>
    <row r="89" spans="1:7" x14ac:dyDescent="0.25">
      <c r="A89" t="s">
        <v>5931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8" t="s">
        <v>6041</v>
      </c>
      <c r="G89" t="str">
        <f t="shared" si="9"/>
        <v>2646</v>
      </c>
    </row>
    <row r="90" spans="1:7" x14ac:dyDescent="0.25">
      <c r="A90" t="s">
        <v>5932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8"/>
      <c r="G90" t="str">
        <f t="shared" si="9"/>
        <v>2646</v>
      </c>
    </row>
    <row r="91" spans="1:7" x14ac:dyDescent="0.25">
      <c r="A91" t="s">
        <v>5933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8"/>
      <c r="G91" t="str">
        <f t="shared" si="9"/>
        <v>2646</v>
      </c>
    </row>
    <row r="92" spans="1:7" x14ac:dyDescent="0.25">
      <c r="A92" t="s">
        <v>5934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8" t="s">
        <v>6042</v>
      </c>
      <c r="G92" t="str">
        <f t="shared" si="9"/>
        <v>2656</v>
      </c>
    </row>
    <row r="93" spans="1:7" x14ac:dyDescent="0.25">
      <c r="A93" t="s">
        <v>5935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8"/>
      <c r="G93" t="str">
        <f t="shared" si="9"/>
        <v>2656</v>
      </c>
    </row>
    <row r="94" spans="1:7" x14ac:dyDescent="0.25">
      <c r="A94" t="s">
        <v>5936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8"/>
      <c r="G94" t="str">
        <f t="shared" si="9"/>
        <v>2656</v>
      </c>
    </row>
    <row r="95" spans="1:7" x14ac:dyDescent="0.25">
      <c r="A95" t="s">
        <v>5937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8" t="s">
        <v>6043</v>
      </c>
      <c r="G95" t="str">
        <f t="shared" si="9"/>
        <v>2661</v>
      </c>
    </row>
    <row r="96" spans="1:7" x14ac:dyDescent="0.25">
      <c r="A96" t="s">
        <v>5938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8"/>
      <c r="G96" t="str">
        <f t="shared" si="9"/>
        <v>2661</v>
      </c>
    </row>
    <row r="97" spans="1:7" x14ac:dyDescent="0.25">
      <c r="A97" t="s">
        <v>5939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8"/>
      <c r="G97" t="str">
        <f t="shared" si="9"/>
        <v>2661</v>
      </c>
    </row>
    <row r="98" spans="1:7" x14ac:dyDescent="0.25">
      <c r="A98" t="s">
        <v>5940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8" t="s">
        <v>6044</v>
      </c>
      <c r="G98" t="str">
        <f t="shared" si="9"/>
        <v>2689</v>
      </c>
    </row>
    <row r="99" spans="1:7" x14ac:dyDescent="0.25">
      <c r="A99" t="s">
        <v>5941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8"/>
      <c r="G99" t="str">
        <f t="shared" si="9"/>
        <v>2689</v>
      </c>
    </row>
    <row r="100" spans="1:7" x14ac:dyDescent="0.25">
      <c r="A100" t="s">
        <v>5942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8"/>
      <c r="G100" t="str">
        <f t="shared" si="9"/>
        <v>2689</v>
      </c>
    </row>
    <row r="101" spans="1:7" x14ac:dyDescent="0.25">
      <c r="A101" t="s">
        <v>5943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8" t="s">
        <v>6045</v>
      </c>
      <c r="G101" t="str">
        <f t="shared" si="9"/>
        <v>2714</v>
      </c>
    </row>
    <row r="102" spans="1:7" x14ac:dyDescent="0.25">
      <c r="A102" t="s">
        <v>5944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8"/>
      <c r="G102" t="str">
        <f t="shared" si="9"/>
        <v>2714</v>
      </c>
    </row>
    <row r="103" spans="1:7" x14ac:dyDescent="0.25">
      <c r="A103" t="s">
        <v>5945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8"/>
      <c r="G103" t="str">
        <f t="shared" si="9"/>
        <v>2714</v>
      </c>
    </row>
    <row r="104" spans="1:7" x14ac:dyDescent="0.25">
      <c r="A104" t="s">
        <v>5946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8" t="s">
        <v>6046</v>
      </c>
      <c r="G104" t="str">
        <f t="shared" si="9"/>
        <v>3076</v>
      </c>
    </row>
    <row r="105" spans="1:7" x14ac:dyDescent="0.25">
      <c r="A105" t="s">
        <v>5947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8"/>
      <c r="G105" t="str">
        <f t="shared" si="9"/>
        <v>3076</v>
      </c>
    </row>
    <row r="106" spans="1:7" x14ac:dyDescent="0.25">
      <c r="A106" t="s">
        <v>5948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8"/>
      <c r="G106" t="str">
        <f t="shared" si="9"/>
        <v>3076</v>
      </c>
    </row>
    <row r="107" spans="1:7" x14ac:dyDescent="0.25">
      <c r="A107" t="s">
        <v>5949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8" t="s">
        <v>6047</v>
      </c>
      <c r="G107" t="str">
        <f t="shared" si="9"/>
        <v>3081</v>
      </c>
    </row>
    <row r="108" spans="1:7" x14ac:dyDescent="0.25">
      <c r="A108" t="s">
        <v>5950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8"/>
      <c r="G108" t="str">
        <f t="shared" si="9"/>
        <v>3081</v>
      </c>
    </row>
    <row r="109" spans="1:7" x14ac:dyDescent="0.25">
      <c r="A109" t="s">
        <v>5951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8"/>
      <c r="G109" t="str">
        <f t="shared" si="9"/>
        <v>3081</v>
      </c>
    </row>
    <row r="110" spans="1:7" x14ac:dyDescent="0.25">
      <c r="A110" t="s">
        <v>5952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8" t="s">
        <v>6048</v>
      </c>
      <c r="G110" t="str">
        <f t="shared" si="9"/>
        <v>3206</v>
      </c>
    </row>
    <row r="111" spans="1:7" x14ac:dyDescent="0.25">
      <c r="A111" t="s">
        <v>5953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8"/>
      <c r="G111" t="str">
        <f t="shared" si="9"/>
        <v>3206</v>
      </c>
    </row>
    <row r="112" spans="1:7" x14ac:dyDescent="0.25">
      <c r="A112" t="s">
        <v>5954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8"/>
      <c r="G112" t="str">
        <f t="shared" si="9"/>
        <v>3206</v>
      </c>
    </row>
    <row r="113" spans="1:7" x14ac:dyDescent="0.25">
      <c r="A113" t="s">
        <v>5955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8" t="s">
        <v>6049</v>
      </c>
      <c r="G113" t="str">
        <f t="shared" si="9"/>
        <v>3390</v>
      </c>
    </row>
    <row r="114" spans="1:7" x14ac:dyDescent="0.25">
      <c r="A114" t="s">
        <v>5956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8"/>
      <c r="G114" t="str">
        <f t="shared" si="9"/>
        <v>3390</v>
      </c>
    </row>
    <row r="115" spans="1:7" x14ac:dyDescent="0.25">
      <c r="A115" t="s">
        <v>5957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8"/>
      <c r="G115" t="str">
        <f t="shared" si="9"/>
        <v>3390</v>
      </c>
    </row>
    <row r="116" spans="1:7" x14ac:dyDescent="0.25">
      <c r="A116" t="s">
        <v>6603</v>
      </c>
      <c r="B116">
        <f t="shared" si="5"/>
        <v>40</v>
      </c>
      <c r="C116" t="str">
        <f t="shared" si="6"/>
        <v>5786-1.jpg</v>
      </c>
      <c r="D116" t="str">
        <f t="shared" si="7"/>
        <v>5786-1</v>
      </c>
      <c r="E116" t="str">
        <f t="shared" si="8"/>
        <v>1</v>
      </c>
      <c r="F116" s="8" t="s">
        <v>6609</v>
      </c>
      <c r="G116" t="str">
        <f t="shared" si="9"/>
        <v>5786</v>
      </c>
    </row>
    <row r="117" spans="1:7" x14ac:dyDescent="0.25">
      <c r="A117" t="s">
        <v>6604</v>
      </c>
      <c r="B117">
        <f t="shared" si="5"/>
        <v>40</v>
      </c>
      <c r="C117" t="str">
        <f t="shared" si="6"/>
        <v>5786-2.jpg</v>
      </c>
      <c r="D117" t="str">
        <f t="shared" si="7"/>
        <v>5786-2</v>
      </c>
      <c r="E117" t="str">
        <f t="shared" si="8"/>
        <v>2</v>
      </c>
      <c r="F117" s="8"/>
      <c r="G117" t="str">
        <f t="shared" si="9"/>
        <v>5786</v>
      </c>
    </row>
    <row r="118" spans="1:7" x14ac:dyDescent="0.25">
      <c r="A118" t="s">
        <v>6605</v>
      </c>
      <c r="B118">
        <f t="shared" si="5"/>
        <v>40</v>
      </c>
      <c r="C118" t="str">
        <f t="shared" si="6"/>
        <v>5786-3.jpg</v>
      </c>
      <c r="D118" t="str">
        <f t="shared" si="7"/>
        <v>5786-3</v>
      </c>
      <c r="E118" t="str">
        <f t="shared" si="8"/>
        <v>3</v>
      </c>
      <c r="F118" s="8"/>
      <c r="G118" t="str">
        <f t="shared" si="9"/>
        <v>5786</v>
      </c>
    </row>
    <row r="119" spans="1:7" x14ac:dyDescent="0.25">
      <c r="A119" t="s">
        <v>6606</v>
      </c>
      <c r="B119">
        <f t="shared" si="5"/>
        <v>40</v>
      </c>
      <c r="C119" t="str">
        <f t="shared" si="6"/>
        <v>5877-1.jpg</v>
      </c>
      <c r="D119" t="str">
        <f t="shared" si="7"/>
        <v>5877-1</v>
      </c>
      <c r="E119" t="str">
        <f t="shared" si="8"/>
        <v>1</v>
      </c>
      <c r="F119" s="8" t="s">
        <v>6610</v>
      </c>
      <c r="G119" t="str">
        <f t="shared" si="9"/>
        <v>5877</v>
      </c>
    </row>
    <row r="120" spans="1:7" x14ac:dyDescent="0.25">
      <c r="A120" t="s">
        <v>6607</v>
      </c>
      <c r="B120">
        <f t="shared" si="5"/>
        <v>40</v>
      </c>
      <c r="C120" t="str">
        <f t="shared" si="6"/>
        <v>5877-2.jpg</v>
      </c>
      <c r="D120" t="str">
        <f t="shared" si="7"/>
        <v>5877-2</v>
      </c>
      <c r="E120" t="str">
        <f t="shared" si="8"/>
        <v>2</v>
      </c>
      <c r="F120" s="8"/>
      <c r="G120" t="str">
        <f t="shared" si="9"/>
        <v>5877</v>
      </c>
    </row>
    <row r="121" spans="1:7" x14ac:dyDescent="0.25">
      <c r="A121" t="s">
        <v>6608</v>
      </c>
      <c r="B121">
        <f t="shared" si="5"/>
        <v>40</v>
      </c>
      <c r="C121" t="str">
        <f t="shared" si="6"/>
        <v>5877-3.jpg</v>
      </c>
      <c r="D121" t="str">
        <f t="shared" si="7"/>
        <v>5877-3</v>
      </c>
      <c r="E121" t="str">
        <f t="shared" si="8"/>
        <v>3</v>
      </c>
      <c r="F121" s="8"/>
      <c r="G121" t="str">
        <f t="shared" si="9"/>
        <v>5877</v>
      </c>
    </row>
    <row r="122" spans="1:7" x14ac:dyDescent="0.25">
      <c r="A122" t="s">
        <v>5958</v>
      </c>
      <c r="B122">
        <f t="shared" si="5"/>
        <v>40</v>
      </c>
      <c r="C122" t="str">
        <f t="shared" si="6"/>
        <v>5973-1.jpg</v>
      </c>
      <c r="D122" t="str">
        <f t="shared" si="7"/>
        <v>5973-1</v>
      </c>
      <c r="E122" t="str">
        <f t="shared" si="8"/>
        <v>1</v>
      </c>
      <c r="F122" s="8" t="s">
        <v>6050</v>
      </c>
      <c r="G122" t="str">
        <f t="shared" si="9"/>
        <v>5973</v>
      </c>
    </row>
    <row r="123" spans="1:7" x14ac:dyDescent="0.25">
      <c r="A123" t="s">
        <v>5959</v>
      </c>
      <c r="B123">
        <f t="shared" si="5"/>
        <v>40</v>
      </c>
      <c r="C123" t="str">
        <f t="shared" si="6"/>
        <v>5973-2.jpg</v>
      </c>
      <c r="D123" t="str">
        <f t="shared" si="7"/>
        <v>5973-2</v>
      </c>
      <c r="E123" t="str">
        <f t="shared" si="8"/>
        <v>2</v>
      </c>
      <c r="F123" s="8"/>
      <c r="G123" t="str">
        <f t="shared" si="9"/>
        <v>5973</v>
      </c>
    </row>
    <row r="124" spans="1:7" x14ac:dyDescent="0.25">
      <c r="A124" t="s">
        <v>5960</v>
      </c>
      <c r="B124">
        <f t="shared" si="5"/>
        <v>40</v>
      </c>
      <c r="C124" t="str">
        <f t="shared" si="6"/>
        <v>5973-3.jpg</v>
      </c>
      <c r="D124" t="str">
        <f t="shared" si="7"/>
        <v>5973-3</v>
      </c>
      <c r="E124" t="str">
        <f t="shared" si="8"/>
        <v>3</v>
      </c>
      <c r="F124" s="8"/>
      <c r="G124" t="str">
        <f t="shared" si="9"/>
        <v>5973</v>
      </c>
    </row>
    <row r="125" spans="1:7" x14ac:dyDescent="0.25">
      <c r="A125" t="s">
        <v>5961</v>
      </c>
      <c r="B125">
        <f t="shared" si="5"/>
        <v>40</v>
      </c>
      <c r="C125" t="str">
        <f t="shared" si="6"/>
        <v>7211-1.jpg</v>
      </c>
      <c r="D125" t="str">
        <f t="shared" si="7"/>
        <v>7211-1</v>
      </c>
      <c r="E125" t="str">
        <f t="shared" si="8"/>
        <v>1</v>
      </c>
      <c r="F125" s="8" t="s">
        <v>6051</v>
      </c>
      <c r="G125" t="str">
        <f t="shared" si="9"/>
        <v>7211</v>
      </c>
    </row>
    <row r="126" spans="1:7" x14ac:dyDescent="0.25">
      <c r="A126" t="s">
        <v>5962</v>
      </c>
      <c r="B126">
        <f t="shared" si="5"/>
        <v>40</v>
      </c>
      <c r="C126" t="str">
        <f t="shared" si="6"/>
        <v>7211-2.jpg</v>
      </c>
      <c r="D126" t="str">
        <f t="shared" si="7"/>
        <v>7211-2</v>
      </c>
      <c r="E126" t="str">
        <f t="shared" si="8"/>
        <v>2</v>
      </c>
      <c r="F126" s="8"/>
      <c r="G126" t="str">
        <f t="shared" si="9"/>
        <v>7211</v>
      </c>
    </row>
    <row r="127" spans="1:7" x14ac:dyDescent="0.25">
      <c r="A127" t="s">
        <v>5963</v>
      </c>
      <c r="B127">
        <f t="shared" si="5"/>
        <v>40</v>
      </c>
      <c r="C127" t="str">
        <f t="shared" si="6"/>
        <v>7211-3.jpg</v>
      </c>
      <c r="D127" t="str">
        <f t="shared" si="7"/>
        <v>7211-3</v>
      </c>
      <c r="E127" t="str">
        <f t="shared" si="8"/>
        <v>3</v>
      </c>
      <c r="F127" s="8"/>
      <c r="G127" t="str">
        <f t="shared" si="9"/>
        <v>7211</v>
      </c>
    </row>
    <row r="128" spans="1:7" x14ac:dyDescent="0.25">
      <c r="A128" t="s">
        <v>5964</v>
      </c>
      <c r="B128">
        <f t="shared" si="5"/>
        <v>40</v>
      </c>
      <c r="C128" t="str">
        <f t="shared" si="6"/>
        <v>7330-1.jpg</v>
      </c>
      <c r="D128" t="str">
        <f t="shared" si="7"/>
        <v>7330-1</v>
      </c>
      <c r="E128" t="str">
        <f t="shared" si="8"/>
        <v>1</v>
      </c>
      <c r="F128" s="8" t="s">
        <v>6052</v>
      </c>
      <c r="G128" t="str">
        <f t="shared" si="9"/>
        <v>7330</v>
      </c>
    </row>
    <row r="129" spans="1:7" x14ac:dyDescent="0.25">
      <c r="A129" t="s">
        <v>5965</v>
      </c>
      <c r="B129">
        <f t="shared" si="5"/>
        <v>40</v>
      </c>
      <c r="C129" t="str">
        <f t="shared" si="6"/>
        <v>7330-2.jpg</v>
      </c>
      <c r="D129" t="str">
        <f t="shared" si="7"/>
        <v>7330-2</v>
      </c>
      <c r="E129" t="str">
        <f t="shared" si="8"/>
        <v>2</v>
      </c>
      <c r="F129" s="8"/>
      <c r="G129" t="str">
        <f t="shared" si="9"/>
        <v>7330</v>
      </c>
    </row>
    <row r="130" spans="1:7" x14ac:dyDescent="0.25">
      <c r="A130" t="s">
        <v>5966</v>
      </c>
      <c r="B130">
        <f t="shared" si="5"/>
        <v>40</v>
      </c>
      <c r="C130" t="str">
        <f t="shared" si="6"/>
        <v>7330-3.jpg</v>
      </c>
      <c r="D130" t="str">
        <f t="shared" si="7"/>
        <v>7330-3</v>
      </c>
      <c r="E130" t="str">
        <f t="shared" si="8"/>
        <v>3</v>
      </c>
      <c r="F130" s="8"/>
      <c r="G130" t="str">
        <f t="shared" si="9"/>
        <v>7330</v>
      </c>
    </row>
    <row r="131" spans="1:7" x14ac:dyDescent="0.25">
      <c r="A131" t="s">
        <v>5967</v>
      </c>
      <c r="B131">
        <f t="shared" si="5"/>
        <v>40</v>
      </c>
      <c r="C131" t="str">
        <f t="shared" si="6"/>
        <v>7733-1.jpg</v>
      </c>
      <c r="D131" t="str">
        <f t="shared" si="7"/>
        <v>7733-1</v>
      </c>
      <c r="E131" t="str">
        <f t="shared" si="8"/>
        <v>1</v>
      </c>
      <c r="F131" s="8" t="s">
        <v>6053</v>
      </c>
      <c r="G131" t="str">
        <f t="shared" si="9"/>
        <v>7733</v>
      </c>
    </row>
    <row r="132" spans="1:7" x14ac:dyDescent="0.25">
      <c r="A132" t="s">
        <v>5968</v>
      </c>
      <c r="B132">
        <f t="shared" si="5"/>
        <v>40</v>
      </c>
      <c r="C132" t="str">
        <f t="shared" si="6"/>
        <v>7733-2.jpg</v>
      </c>
      <c r="D132" t="str">
        <f t="shared" si="7"/>
        <v>7733-2</v>
      </c>
      <c r="E132" t="str">
        <f t="shared" si="8"/>
        <v>2</v>
      </c>
      <c r="F132" s="8"/>
      <c r="G132" t="str">
        <f t="shared" si="9"/>
        <v>7733</v>
      </c>
    </row>
    <row r="133" spans="1:7" x14ac:dyDescent="0.25">
      <c r="A133" t="s">
        <v>5969</v>
      </c>
      <c r="B133">
        <f t="shared" si="5"/>
        <v>40</v>
      </c>
      <c r="C133" t="str">
        <f t="shared" si="6"/>
        <v>7733-3.jpg</v>
      </c>
      <c r="D133" t="str">
        <f t="shared" si="7"/>
        <v>7733-3</v>
      </c>
      <c r="E133" t="str">
        <f t="shared" si="8"/>
        <v>3</v>
      </c>
      <c r="F133" s="8"/>
      <c r="G133" t="str">
        <f t="shared" si="9"/>
        <v>7733</v>
      </c>
    </row>
    <row r="134" spans="1:7" x14ac:dyDescent="0.25">
      <c r="A134" t="s">
        <v>5970</v>
      </c>
      <c r="B134">
        <f t="shared" si="5"/>
        <v>40</v>
      </c>
      <c r="C134" t="str">
        <f t="shared" si="6"/>
        <v>7742-1.jpg</v>
      </c>
      <c r="D134" t="str">
        <f t="shared" si="7"/>
        <v>7742-1</v>
      </c>
      <c r="E134" t="str">
        <f t="shared" si="8"/>
        <v>1</v>
      </c>
      <c r="F134" s="8" t="s">
        <v>6054</v>
      </c>
      <c r="G134" t="str">
        <f t="shared" si="9"/>
        <v>7742</v>
      </c>
    </row>
    <row r="135" spans="1:7" x14ac:dyDescent="0.25">
      <c r="A135" t="s">
        <v>5971</v>
      </c>
      <c r="B135">
        <f t="shared" si="5"/>
        <v>40</v>
      </c>
      <c r="C135" t="str">
        <f t="shared" si="6"/>
        <v>7742-2.jpg</v>
      </c>
      <c r="D135" t="str">
        <f t="shared" si="7"/>
        <v>7742-2</v>
      </c>
      <c r="E135" t="str">
        <f t="shared" si="8"/>
        <v>2</v>
      </c>
      <c r="F135" s="8"/>
      <c r="G135" t="str">
        <f t="shared" si="9"/>
        <v>7742</v>
      </c>
    </row>
    <row r="136" spans="1:7" x14ac:dyDescent="0.25">
      <c r="A136" t="s">
        <v>5972</v>
      </c>
      <c r="B136">
        <f t="shared" si="5"/>
        <v>40</v>
      </c>
      <c r="C136" t="str">
        <f t="shared" si="6"/>
        <v>7742-3.jpg</v>
      </c>
      <c r="D136" t="str">
        <f t="shared" si="7"/>
        <v>7742-3</v>
      </c>
      <c r="E136" t="str">
        <f t="shared" si="8"/>
        <v>3</v>
      </c>
      <c r="F136" s="8"/>
      <c r="G136" t="str">
        <f t="shared" si="9"/>
        <v>7742</v>
      </c>
    </row>
    <row r="137" spans="1:7" x14ac:dyDescent="0.25">
      <c r="A137" t="s">
        <v>5973</v>
      </c>
      <c r="B137">
        <f t="shared" ref="B137:B175" si="10">LEN(A137)</f>
        <v>40</v>
      </c>
      <c r="C137" t="str">
        <f t="shared" ref="C137:C175" si="11">RIGHT(A137,10)</f>
        <v>7753-1.jpg</v>
      </c>
      <c r="D137" t="str">
        <f t="shared" ref="D137:D175" si="12">LEFT(C137,6)</f>
        <v>7753-1</v>
      </c>
      <c r="E137" t="str">
        <f t="shared" ref="E137:E175" si="13">RIGHT(D137,1)</f>
        <v>1</v>
      </c>
      <c r="F137" s="8" t="s">
        <v>6055</v>
      </c>
      <c r="G137" t="str">
        <f t="shared" ref="G137:G175" si="14">LEFT(D137,4)</f>
        <v>7753</v>
      </c>
    </row>
    <row r="138" spans="1:7" x14ac:dyDescent="0.25">
      <c r="A138" t="s">
        <v>5974</v>
      </c>
      <c r="B138">
        <f t="shared" si="10"/>
        <v>40</v>
      </c>
      <c r="C138" t="str">
        <f t="shared" si="11"/>
        <v>7753-2.jpg</v>
      </c>
      <c r="D138" t="str">
        <f t="shared" si="12"/>
        <v>7753-2</v>
      </c>
      <c r="E138" t="str">
        <f t="shared" si="13"/>
        <v>2</v>
      </c>
      <c r="F138" s="8"/>
      <c r="G138" t="str">
        <f t="shared" si="14"/>
        <v>7753</v>
      </c>
    </row>
    <row r="139" spans="1:7" x14ac:dyDescent="0.25">
      <c r="A139" t="s">
        <v>5975</v>
      </c>
      <c r="B139">
        <f t="shared" si="10"/>
        <v>40</v>
      </c>
      <c r="C139" t="str">
        <f t="shared" si="11"/>
        <v>7753-3.jpg</v>
      </c>
      <c r="D139" t="str">
        <f t="shared" si="12"/>
        <v>7753-3</v>
      </c>
      <c r="E139" t="str">
        <f t="shared" si="13"/>
        <v>3</v>
      </c>
      <c r="F139" s="8"/>
      <c r="G139" t="str">
        <f t="shared" si="14"/>
        <v>7753</v>
      </c>
    </row>
    <row r="140" spans="1:7" x14ac:dyDescent="0.25">
      <c r="A140" t="s">
        <v>5976</v>
      </c>
      <c r="B140">
        <f t="shared" si="10"/>
        <v>40</v>
      </c>
      <c r="C140" t="str">
        <f t="shared" si="11"/>
        <v>7759-1.jpg</v>
      </c>
      <c r="D140" t="str">
        <f t="shared" si="12"/>
        <v>7759-1</v>
      </c>
      <c r="E140" t="str">
        <f t="shared" si="13"/>
        <v>1</v>
      </c>
      <c r="F140" s="8" t="s">
        <v>6056</v>
      </c>
      <c r="G140" t="str">
        <f t="shared" si="14"/>
        <v>7759</v>
      </c>
    </row>
    <row r="141" spans="1:7" x14ac:dyDescent="0.25">
      <c r="A141" t="s">
        <v>5977</v>
      </c>
      <c r="B141">
        <f t="shared" si="10"/>
        <v>40</v>
      </c>
      <c r="C141" t="str">
        <f t="shared" si="11"/>
        <v>7759-2.jpg</v>
      </c>
      <c r="D141" t="str">
        <f t="shared" si="12"/>
        <v>7759-2</v>
      </c>
      <c r="E141" t="str">
        <f t="shared" si="13"/>
        <v>2</v>
      </c>
      <c r="F141" s="8"/>
      <c r="G141" t="str">
        <f t="shared" si="14"/>
        <v>7759</v>
      </c>
    </row>
    <row r="142" spans="1:7" x14ac:dyDescent="0.25">
      <c r="A142" t="s">
        <v>5978</v>
      </c>
      <c r="B142">
        <f t="shared" si="10"/>
        <v>40</v>
      </c>
      <c r="C142" t="str">
        <f t="shared" si="11"/>
        <v>7759-3.jpg</v>
      </c>
      <c r="D142" t="str">
        <f t="shared" si="12"/>
        <v>7759-3</v>
      </c>
      <c r="E142" t="str">
        <f t="shared" si="13"/>
        <v>3</v>
      </c>
      <c r="F142" s="8"/>
      <c r="G142" t="str">
        <f t="shared" si="14"/>
        <v>7759</v>
      </c>
    </row>
    <row r="143" spans="1:7" x14ac:dyDescent="0.25">
      <c r="A143" t="s">
        <v>5979</v>
      </c>
      <c r="B143">
        <f t="shared" si="10"/>
        <v>40</v>
      </c>
      <c r="C143" t="str">
        <f t="shared" si="11"/>
        <v>7761-1.jpg</v>
      </c>
      <c r="D143" t="str">
        <f t="shared" si="12"/>
        <v>7761-1</v>
      </c>
      <c r="E143" t="str">
        <f t="shared" si="13"/>
        <v>1</v>
      </c>
      <c r="F143" s="8" t="s">
        <v>6057</v>
      </c>
      <c r="G143" t="str">
        <f t="shared" si="14"/>
        <v>7761</v>
      </c>
    </row>
    <row r="144" spans="1:7" x14ac:dyDescent="0.25">
      <c r="A144" t="s">
        <v>5980</v>
      </c>
      <c r="B144">
        <f t="shared" si="10"/>
        <v>40</v>
      </c>
      <c r="C144" t="str">
        <f t="shared" si="11"/>
        <v>7761-2.jpg</v>
      </c>
      <c r="D144" t="str">
        <f t="shared" si="12"/>
        <v>7761-2</v>
      </c>
      <c r="E144" t="str">
        <f t="shared" si="13"/>
        <v>2</v>
      </c>
      <c r="F144" s="8"/>
      <c r="G144" t="str">
        <f t="shared" si="14"/>
        <v>7761</v>
      </c>
    </row>
    <row r="145" spans="1:7" x14ac:dyDescent="0.25">
      <c r="A145" t="s">
        <v>5981</v>
      </c>
      <c r="B145">
        <f t="shared" si="10"/>
        <v>40</v>
      </c>
      <c r="C145" t="str">
        <f t="shared" si="11"/>
        <v>7761-3.jpg</v>
      </c>
      <c r="D145" t="str">
        <f t="shared" si="12"/>
        <v>7761-3</v>
      </c>
      <c r="E145" t="str">
        <f t="shared" si="13"/>
        <v>3</v>
      </c>
      <c r="F145" s="8"/>
      <c r="G145" t="str">
        <f t="shared" si="14"/>
        <v>7761</v>
      </c>
    </row>
    <row r="146" spans="1:7" x14ac:dyDescent="0.25">
      <c r="A146" t="s">
        <v>5982</v>
      </c>
      <c r="B146">
        <f t="shared" si="10"/>
        <v>40</v>
      </c>
      <c r="C146" t="str">
        <f t="shared" si="11"/>
        <v>7765-1.jpg</v>
      </c>
      <c r="D146" t="str">
        <f t="shared" si="12"/>
        <v>7765-1</v>
      </c>
      <c r="E146" t="str">
        <f t="shared" si="13"/>
        <v>1</v>
      </c>
      <c r="F146" s="8" t="s">
        <v>6058</v>
      </c>
      <c r="G146" t="str">
        <f t="shared" si="14"/>
        <v>7765</v>
      </c>
    </row>
    <row r="147" spans="1:7" x14ac:dyDescent="0.25">
      <c r="A147" t="s">
        <v>5983</v>
      </c>
      <c r="B147">
        <f t="shared" si="10"/>
        <v>40</v>
      </c>
      <c r="C147" t="str">
        <f t="shared" si="11"/>
        <v>7765-2.jpg</v>
      </c>
      <c r="D147" t="str">
        <f t="shared" si="12"/>
        <v>7765-2</v>
      </c>
      <c r="E147" t="str">
        <f t="shared" si="13"/>
        <v>2</v>
      </c>
      <c r="F147" s="8"/>
      <c r="G147" t="str">
        <f t="shared" si="14"/>
        <v>7765</v>
      </c>
    </row>
    <row r="148" spans="1:7" x14ac:dyDescent="0.25">
      <c r="A148" t="s">
        <v>5984</v>
      </c>
      <c r="B148">
        <f t="shared" si="10"/>
        <v>40</v>
      </c>
      <c r="C148" t="str">
        <f t="shared" si="11"/>
        <v>7765-3.jpg</v>
      </c>
      <c r="D148" t="str">
        <f t="shared" si="12"/>
        <v>7765-3</v>
      </c>
      <c r="E148" t="str">
        <f t="shared" si="13"/>
        <v>3</v>
      </c>
      <c r="F148" s="8"/>
      <c r="G148" t="str">
        <f t="shared" si="14"/>
        <v>7765</v>
      </c>
    </row>
    <row r="149" spans="1:7" x14ac:dyDescent="0.25">
      <c r="A149" t="s">
        <v>5985</v>
      </c>
      <c r="B149">
        <f t="shared" si="10"/>
        <v>40</v>
      </c>
      <c r="C149" t="str">
        <f t="shared" si="11"/>
        <v>7766-1.jpg</v>
      </c>
      <c r="D149" t="str">
        <f t="shared" si="12"/>
        <v>7766-1</v>
      </c>
      <c r="E149" t="str">
        <f t="shared" si="13"/>
        <v>1</v>
      </c>
      <c r="F149" s="8" t="s">
        <v>6059</v>
      </c>
      <c r="G149" t="str">
        <f t="shared" si="14"/>
        <v>7766</v>
      </c>
    </row>
    <row r="150" spans="1:7" x14ac:dyDescent="0.25">
      <c r="A150" t="s">
        <v>5986</v>
      </c>
      <c r="B150">
        <f t="shared" si="10"/>
        <v>40</v>
      </c>
      <c r="C150" t="str">
        <f t="shared" si="11"/>
        <v>7766-2.jpg</v>
      </c>
      <c r="D150" t="str">
        <f t="shared" si="12"/>
        <v>7766-2</v>
      </c>
      <c r="E150" t="str">
        <f t="shared" si="13"/>
        <v>2</v>
      </c>
      <c r="F150" s="8"/>
      <c r="G150" t="str">
        <f t="shared" si="14"/>
        <v>7766</v>
      </c>
    </row>
    <row r="151" spans="1:7" x14ac:dyDescent="0.25">
      <c r="A151" t="s">
        <v>5987</v>
      </c>
      <c r="B151">
        <f t="shared" si="10"/>
        <v>40</v>
      </c>
      <c r="C151" t="str">
        <f t="shared" si="11"/>
        <v>7766-3.jpg</v>
      </c>
      <c r="D151" t="str">
        <f t="shared" si="12"/>
        <v>7766-3</v>
      </c>
      <c r="E151" t="str">
        <f t="shared" si="13"/>
        <v>3</v>
      </c>
      <c r="F151" s="8"/>
      <c r="G151" t="str">
        <f t="shared" si="14"/>
        <v>7766</v>
      </c>
    </row>
    <row r="152" spans="1:7" x14ac:dyDescent="0.25">
      <c r="A152" t="s">
        <v>5988</v>
      </c>
      <c r="B152">
        <f t="shared" si="10"/>
        <v>40</v>
      </c>
      <c r="C152" t="str">
        <f t="shared" si="11"/>
        <v>7767-1.jpg</v>
      </c>
      <c r="D152" t="str">
        <f t="shared" si="12"/>
        <v>7767-1</v>
      </c>
      <c r="E152" t="str">
        <f t="shared" si="13"/>
        <v>1</v>
      </c>
      <c r="F152" s="8" t="s">
        <v>6060</v>
      </c>
      <c r="G152" t="str">
        <f t="shared" si="14"/>
        <v>7767</v>
      </c>
    </row>
    <row r="153" spans="1:7" x14ac:dyDescent="0.25">
      <c r="A153" t="s">
        <v>5989</v>
      </c>
      <c r="B153">
        <f t="shared" si="10"/>
        <v>40</v>
      </c>
      <c r="C153" t="str">
        <f t="shared" si="11"/>
        <v>7767-2.jpg</v>
      </c>
      <c r="D153" t="str">
        <f t="shared" si="12"/>
        <v>7767-2</v>
      </c>
      <c r="E153" t="str">
        <f t="shared" si="13"/>
        <v>2</v>
      </c>
      <c r="F153" s="8"/>
      <c r="G153" t="str">
        <f t="shared" si="14"/>
        <v>7767</v>
      </c>
    </row>
    <row r="154" spans="1:7" x14ac:dyDescent="0.25">
      <c r="A154" t="s">
        <v>5990</v>
      </c>
      <c r="B154">
        <f t="shared" si="10"/>
        <v>40</v>
      </c>
      <c r="C154" t="str">
        <f t="shared" si="11"/>
        <v>7767-3.jpg</v>
      </c>
      <c r="D154" t="str">
        <f t="shared" si="12"/>
        <v>7767-3</v>
      </c>
      <c r="E154" t="str">
        <f t="shared" si="13"/>
        <v>3</v>
      </c>
      <c r="F154" s="8"/>
      <c r="G154" t="str">
        <f t="shared" si="14"/>
        <v>7767</v>
      </c>
    </row>
    <row r="155" spans="1:7" x14ac:dyDescent="0.25">
      <c r="A155" t="s">
        <v>5991</v>
      </c>
      <c r="B155">
        <f t="shared" si="10"/>
        <v>40</v>
      </c>
      <c r="C155" t="str">
        <f t="shared" si="11"/>
        <v>7768-1.jpg</v>
      </c>
      <c r="D155" t="str">
        <f t="shared" si="12"/>
        <v>7768-1</v>
      </c>
      <c r="E155" t="str">
        <f t="shared" si="13"/>
        <v>1</v>
      </c>
      <c r="F155" s="8" t="s">
        <v>6061</v>
      </c>
      <c r="G155" t="str">
        <f t="shared" si="14"/>
        <v>7768</v>
      </c>
    </row>
    <row r="156" spans="1:7" x14ac:dyDescent="0.25">
      <c r="A156" t="s">
        <v>5992</v>
      </c>
      <c r="B156">
        <f t="shared" si="10"/>
        <v>40</v>
      </c>
      <c r="C156" t="str">
        <f t="shared" si="11"/>
        <v>7768-2.jpg</v>
      </c>
      <c r="D156" t="str">
        <f t="shared" si="12"/>
        <v>7768-2</v>
      </c>
      <c r="E156" t="str">
        <f t="shared" si="13"/>
        <v>2</v>
      </c>
      <c r="F156" s="8"/>
      <c r="G156" t="str">
        <f t="shared" si="14"/>
        <v>7768</v>
      </c>
    </row>
    <row r="157" spans="1:7" x14ac:dyDescent="0.25">
      <c r="A157" t="s">
        <v>5993</v>
      </c>
      <c r="B157">
        <f t="shared" si="10"/>
        <v>40</v>
      </c>
      <c r="C157" t="str">
        <f t="shared" si="11"/>
        <v>7768-3.jpg</v>
      </c>
      <c r="D157" t="str">
        <f t="shared" si="12"/>
        <v>7768-3</v>
      </c>
      <c r="E157" t="str">
        <f t="shared" si="13"/>
        <v>3</v>
      </c>
      <c r="F157" s="8"/>
      <c r="G157" t="str">
        <f t="shared" si="14"/>
        <v>7768</v>
      </c>
    </row>
    <row r="158" spans="1:7" x14ac:dyDescent="0.25">
      <c r="A158" t="s">
        <v>5994</v>
      </c>
      <c r="B158">
        <f t="shared" si="10"/>
        <v>40</v>
      </c>
      <c r="C158" t="str">
        <f t="shared" si="11"/>
        <v>7786-1.jpg</v>
      </c>
      <c r="D158" t="str">
        <f t="shared" si="12"/>
        <v>7786-1</v>
      </c>
      <c r="E158" t="str">
        <f t="shared" si="13"/>
        <v>1</v>
      </c>
      <c r="F158" s="8" t="s">
        <v>6062</v>
      </c>
      <c r="G158" t="str">
        <f t="shared" si="14"/>
        <v>7786</v>
      </c>
    </row>
    <row r="159" spans="1:7" x14ac:dyDescent="0.25">
      <c r="A159" t="s">
        <v>5995</v>
      </c>
      <c r="B159">
        <f t="shared" si="10"/>
        <v>40</v>
      </c>
      <c r="C159" t="str">
        <f t="shared" si="11"/>
        <v>7786-2.jpg</v>
      </c>
      <c r="D159" t="str">
        <f t="shared" si="12"/>
        <v>7786-2</v>
      </c>
      <c r="E159" t="str">
        <f t="shared" si="13"/>
        <v>2</v>
      </c>
      <c r="F159" s="8"/>
      <c r="G159" t="str">
        <f t="shared" si="14"/>
        <v>7786</v>
      </c>
    </row>
    <row r="160" spans="1:7" x14ac:dyDescent="0.25">
      <c r="A160" t="s">
        <v>5996</v>
      </c>
      <c r="B160">
        <f t="shared" si="10"/>
        <v>40</v>
      </c>
      <c r="C160" t="str">
        <f t="shared" si="11"/>
        <v>7786-3.jpg</v>
      </c>
      <c r="D160" t="str">
        <f t="shared" si="12"/>
        <v>7786-3</v>
      </c>
      <c r="E160" t="str">
        <f t="shared" si="13"/>
        <v>3</v>
      </c>
      <c r="F160" s="8"/>
      <c r="G160" t="str">
        <f t="shared" si="14"/>
        <v>7786</v>
      </c>
    </row>
    <row r="161" spans="1:7" x14ac:dyDescent="0.25">
      <c r="A161" t="s">
        <v>5997</v>
      </c>
      <c r="B161">
        <f t="shared" si="10"/>
        <v>40</v>
      </c>
      <c r="C161" t="str">
        <f t="shared" si="11"/>
        <v>7787-1.jpg</v>
      </c>
      <c r="D161" t="str">
        <f t="shared" si="12"/>
        <v>7787-1</v>
      </c>
      <c r="E161" t="str">
        <f t="shared" si="13"/>
        <v>1</v>
      </c>
      <c r="F161" s="8" t="s">
        <v>6063</v>
      </c>
      <c r="G161" t="str">
        <f t="shared" si="14"/>
        <v>7787</v>
      </c>
    </row>
    <row r="162" spans="1:7" x14ac:dyDescent="0.25">
      <c r="A162" t="s">
        <v>5998</v>
      </c>
      <c r="B162">
        <f t="shared" si="10"/>
        <v>40</v>
      </c>
      <c r="C162" t="str">
        <f t="shared" si="11"/>
        <v>7787-2.jpg</v>
      </c>
      <c r="D162" t="str">
        <f t="shared" si="12"/>
        <v>7787-2</v>
      </c>
      <c r="E162" t="str">
        <f t="shared" si="13"/>
        <v>2</v>
      </c>
      <c r="F162" s="8"/>
      <c r="G162" t="str">
        <f t="shared" si="14"/>
        <v>7787</v>
      </c>
    </row>
    <row r="163" spans="1:7" x14ac:dyDescent="0.25">
      <c r="A163" t="s">
        <v>5999</v>
      </c>
      <c r="B163">
        <f t="shared" si="10"/>
        <v>40</v>
      </c>
      <c r="C163" t="str">
        <f t="shared" si="11"/>
        <v>7787-3.jpg</v>
      </c>
      <c r="D163" t="str">
        <f t="shared" si="12"/>
        <v>7787-3</v>
      </c>
      <c r="E163" t="str">
        <f t="shared" si="13"/>
        <v>3</v>
      </c>
      <c r="F163" s="8"/>
      <c r="G163" t="str">
        <f t="shared" si="14"/>
        <v>7787</v>
      </c>
    </row>
    <row r="164" spans="1:7" x14ac:dyDescent="0.25">
      <c r="A164" t="s">
        <v>6000</v>
      </c>
      <c r="B164">
        <f t="shared" si="10"/>
        <v>40</v>
      </c>
      <c r="C164" t="str">
        <f t="shared" si="11"/>
        <v>7800-1.jpg</v>
      </c>
      <c r="D164" t="str">
        <f t="shared" si="12"/>
        <v>7800-1</v>
      </c>
      <c r="E164" t="str">
        <f t="shared" si="13"/>
        <v>1</v>
      </c>
      <c r="F164" s="8" t="s">
        <v>6064</v>
      </c>
      <c r="G164" t="str">
        <f t="shared" si="14"/>
        <v>7800</v>
      </c>
    </row>
    <row r="165" spans="1:7" x14ac:dyDescent="0.25">
      <c r="A165" t="s">
        <v>6001</v>
      </c>
      <c r="B165">
        <f t="shared" si="10"/>
        <v>40</v>
      </c>
      <c r="C165" t="str">
        <f t="shared" si="11"/>
        <v>7800-2.jpg</v>
      </c>
      <c r="D165" t="str">
        <f t="shared" si="12"/>
        <v>7800-2</v>
      </c>
      <c r="E165" t="str">
        <f t="shared" si="13"/>
        <v>2</v>
      </c>
      <c r="F165" s="8"/>
      <c r="G165" t="str">
        <f t="shared" si="14"/>
        <v>7800</v>
      </c>
    </row>
    <row r="166" spans="1:7" x14ac:dyDescent="0.25">
      <c r="A166" t="s">
        <v>6002</v>
      </c>
      <c r="B166">
        <f t="shared" si="10"/>
        <v>40</v>
      </c>
      <c r="C166" t="str">
        <f t="shared" si="11"/>
        <v>7800-3.jpg</v>
      </c>
      <c r="D166" t="str">
        <f t="shared" si="12"/>
        <v>7800-3</v>
      </c>
      <c r="E166" t="str">
        <f t="shared" si="13"/>
        <v>3</v>
      </c>
      <c r="F166" s="8"/>
      <c r="G166" t="str">
        <f t="shared" si="14"/>
        <v>7800</v>
      </c>
    </row>
    <row r="167" spans="1:7" x14ac:dyDescent="0.25">
      <c r="A167" t="s">
        <v>6003</v>
      </c>
      <c r="B167">
        <f t="shared" si="10"/>
        <v>40</v>
      </c>
      <c r="C167" t="str">
        <f t="shared" si="11"/>
        <v>7801-1.jpg</v>
      </c>
      <c r="D167" t="str">
        <f t="shared" si="12"/>
        <v>7801-1</v>
      </c>
      <c r="E167" t="str">
        <f t="shared" si="13"/>
        <v>1</v>
      </c>
      <c r="F167" s="8" t="s">
        <v>6065</v>
      </c>
      <c r="G167" t="str">
        <f t="shared" si="14"/>
        <v>7801</v>
      </c>
    </row>
    <row r="168" spans="1:7" x14ac:dyDescent="0.25">
      <c r="A168" t="s">
        <v>6004</v>
      </c>
      <c r="B168">
        <f t="shared" si="10"/>
        <v>40</v>
      </c>
      <c r="C168" t="str">
        <f t="shared" si="11"/>
        <v>7801-2.jpg</v>
      </c>
      <c r="D168" t="str">
        <f t="shared" si="12"/>
        <v>7801-2</v>
      </c>
      <c r="E168" t="str">
        <f t="shared" si="13"/>
        <v>2</v>
      </c>
      <c r="F168" s="8"/>
      <c r="G168" t="str">
        <f t="shared" si="14"/>
        <v>7801</v>
      </c>
    </row>
    <row r="169" spans="1:7" x14ac:dyDescent="0.25">
      <c r="A169" t="s">
        <v>6005</v>
      </c>
      <c r="B169">
        <f t="shared" si="10"/>
        <v>40</v>
      </c>
      <c r="C169" t="str">
        <f t="shared" si="11"/>
        <v>7801-3.jpg</v>
      </c>
      <c r="D169" t="str">
        <f t="shared" si="12"/>
        <v>7801-3</v>
      </c>
      <c r="E169" t="str">
        <f t="shared" si="13"/>
        <v>3</v>
      </c>
      <c r="F169" s="8"/>
      <c r="G169" t="str">
        <f t="shared" si="14"/>
        <v>7801</v>
      </c>
    </row>
    <row r="170" spans="1:7" x14ac:dyDescent="0.25">
      <c r="A170" t="s">
        <v>6006</v>
      </c>
      <c r="B170">
        <f t="shared" si="10"/>
        <v>40</v>
      </c>
      <c r="C170" t="str">
        <f t="shared" si="11"/>
        <v>7819-1.jpg</v>
      </c>
      <c r="D170" t="str">
        <f t="shared" si="12"/>
        <v>7819-1</v>
      </c>
      <c r="E170" t="str">
        <f t="shared" si="13"/>
        <v>1</v>
      </c>
      <c r="F170" s="8" t="s">
        <v>6066</v>
      </c>
      <c r="G170" t="str">
        <f t="shared" si="14"/>
        <v>7819</v>
      </c>
    </row>
    <row r="171" spans="1:7" x14ac:dyDescent="0.25">
      <c r="A171" t="s">
        <v>6007</v>
      </c>
      <c r="B171">
        <f t="shared" si="10"/>
        <v>40</v>
      </c>
      <c r="C171" t="str">
        <f t="shared" si="11"/>
        <v>7819-2.jpg</v>
      </c>
      <c r="D171" t="str">
        <f t="shared" si="12"/>
        <v>7819-2</v>
      </c>
      <c r="E171" t="str">
        <f t="shared" si="13"/>
        <v>2</v>
      </c>
      <c r="F171" s="8"/>
      <c r="G171" t="str">
        <f t="shared" si="14"/>
        <v>7819</v>
      </c>
    </row>
    <row r="172" spans="1:7" x14ac:dyDescent="0.25">
      <c r="A172" t="s">
        <v>6008</v>
      </c>
      <c r="B172">
        <f t="shared" si="10"/>
        <v>40</v>
      </c>
      <c r="C172" t="str">
        <f t="shared" si="11"/>
        <v>7819-3.jpg</v>
      </c>
      <c r="D172" t="str">
        <f t="shared" si="12"/>
        <v>7819-3</v>
      </c>
      <c r="E172" t="str">
        <f t="shared" si="13"/>
        <v>3</v>
      </c>
      <c r="F172" s="8"/>
      <c r="G172" t="str">
        <f t="shared" si="14"/>
        <v>7819</v>
      </c>
    </row>
    <row r="173" spans="1:7" x14ac:dyDescent="0.25">
      <c r="A173" t="s">
        <v>6009</v>
      </c>
      <c r="B173">
        <f t="shared" si="10"/>
        <v>40</v>
      </c>
      <c r="C173" t="str">
        <f t="shared" si="11"/>
        <v>7820-1.jpg</v>
      </c>
      <c r="D173" t="str">
        <f t="shared" si="12"/>
        <v>7820-1</v>
      </c>
      <c r="E173" t="str">
        <f t="shared" si="13"/>
        <v>1</v>
      </c>
      <c r="F173" s="8" t="s">
        <v>6067</v>
      </c>
      <c r="G173" t="str">
        <f t="shared" si="14"/>
        <v>7820</v>
      </c>
    </row>
    <row r="174" spans="1:7" x14ac:dyDescent="0.25">
      <c r="A174" t="s">
        <v>6010</v>
      </c>
      <c r="B174">
        <f t="shared" si="10"/>
        <v>40</v>
      </c>
      <c r="C174" t="str">
        <f t="shared" si="11"/>
        <v>7820-2.jpg</v>
      </c>
      <c r="D174" t="str">
        <f t="shared" si="12"/>
        <v>7820-2</v>
      </c>
      <c r="E174" t="str">
        <f t="shared" si="13"/>
        <v>2</v>
      </c>
      <c r="F174" s="8"/>
      <c r="G174" t="str">
        <f t="shared" si="14"/>
        <v>7820</v>
      </c>
    </row>
    <row r="175" spans="1:7" x14ac:dyDescent="0.25">
      <c r="A175" t="s">
        <v>6011</v>
      </c>
      <c r="B175">
        <f t="shared" si="10"/>
        <v>40</v>
      </c>
      <c r="C175" t="str">
        <f t="shared" si="11"/>
        <v>7820-3.jpg</v>
      </c>
      <c r="D175" t="str">
        <f t="shared" si="12"/>
        <v>7820-3</v>
      </c>
      <c r="E175" t="str">
        <f t="shared" si="13"/>
        <v>3</v>
      </c>
      <c r="F175" s="8"/>
      <c r="G175" t="str">
        <f t="shared" si="14"/>
        <v>7820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tabSelected="1" workbookViewId="0">
      <selection activeCell="C3" sqref="C3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5839</v>
      </c>
      <c r="C1" t="s">
        <v>5843</v>
      </c>
      <c r="D1" t="s">
        <v>5840</v>
      </c>
      <c r="E1" t="s">
        <v>5841</v>
      </c>
    </row>
    <row r="2" spans="1:16" x14ac:dyDescent="0.25">
      <c r="A2" t="s">
        <v>3291</v>
      </c>
      <c r="B2" t="s">
        <v>2677</v>
      </c>
      <c r="C2" t="s">
        <v>6087</v>
      </c>
      <c r="D2" t="s">
        <v>6087</v>
      </c>
      <c r="E2" t="s">
        <v>6602</v>
      </c>
    </row>
    <row r="3" spans="1:16" x14ac:dyDescent="0.25">
      <c r="A3" t="s">
        <v>3293</v>
      </c>
      <c r="B3" t="s">
        <v>2678</v>
      </c>
      <c r="C3" t="s">
        <v>6236</v>
      </c>
      <c r="D3" t="s">
        <v>6236</v>
      </c>
      <c r="E3" t="s">
        <v>6602</v>
      </c>
    </row>
    <row r="4" spans="1:16" x14ac:dyDescent="0.25">
      <c r="A4" t="s">
        <v>3295</v>
      </c>
      <c r="B4" t="s">
        <v>2679</v>
      </c>
      <c r="C4" t="s">
        <v>6593</v>
      </c>
      <c r="D4" t="s">
        <v>6593</v>
      </c>
      <c r="E4" t="s">
        <v>6602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6596</v>
      </c>
      <c r="D5" t="s">
        <v>6596</v>
      </c>
      <c r="E5" t="s">
        <v>6602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6599</v>
      </c>
      <c r="D6" t="s">
        <v>6599</v>
      </c>
      <c r="E6" t="s">
        <v>6602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  <c r="C16" s="7"/>
    </row>
    <row r="17" spans="1:2" x14ac:dyDescent="0.25">
      <c r="A17" t="s">
        <v>3327</v>
      </c>
      <c r="B17" t="s">
        <v>5838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6012</v>
      </c>
    </row>
    <row r="332" spans="1:2" x14ac:dyDescent="0.25">
      <c r="A332" t="s">
        <v>3307</v>
      </c>
      <c r="B332" t="s">
        <v>6013</v>
      </c>
    </row>
    <row r="333" spans="1:2" x14ac:dyDescent="0.25">
      <c r="A333" t="s">
        <v>3319</v>
      </c>
      <c r="B333" t="s">
        <v>6014</v>
      </c>
    </row>
    <row r="334" spans="1:2" x14ac:dyDescent="0.25">
      <c r="A334" t="s">
        <v>3339</v>
      </c>
      <c r="B334" t="s">
        <v>6015</v>
      </c>
    </row>
    <row r="335" spans="1:2" x14ac:dyDescent="0.25">
      <c r="A335" t="s">
        <v>3365</v>
      </c>
      <c r="B335" t="s">
        <v>6016</v>
      </c>
    </row>
    <row r="336" spans="1:2" x14ac:dyDescent="0.25">
      <c r="A336" t="s">
        <v>3367</v>
      </c>
      <c r="B336" t="s">
        <v>6017</v>
      </c>
    </row>
    <row r="337" spans="1:2" x14ac:dyDescent="0.25">
      <c r="A337" t="s">
        <v>3393</v>
      </c>
      <c r="B337" t="s">
        <v>6018</v>
      </c>
    </row>
    <row r="338" spans="1:2" x14ac:dyDescent="0.25">
      <c r="A338" t="s">
        <v>3397</v>
      </c>
      <c r="B338" t="s">
        <v>6019</v>
      </c>
    </row>
    <row r="339" spans="1:2" x14ac:dyDescent="0.25">
      <c r="A339" t="s">
        <v>3409</v>
      </c>
      <c r="B339" t="s">
        <v>6020</v>
      </c>
    </row>
    <row r="340" spans="1:2" x14ac:dyDescent="0.25">
      <c r="A340" t="s">
        <v>3439</v>
      </c>
      <c r="B340" t="s">
        <v>6021</v>
      </c>
    </row>
    <row r="341" spans="1:2" x14ac:dyDescent="0.25">
      <c r="A341" t="s">
        <v>3451</v>
      </c>
      <c r="B341" t="s">
        <v>6022</v>
      </c>
    </row>
    <row r="342" spans="1:2" x14ac:dyDescent="0.25">
      <c r="A342" t="s">
        <v>3453</v>
      </c>
      <c r="B342" t="s">
        <v>6023</v>
      </c>
    </row>
    <row r="343" spans="1:2" x14ac:dyDescent="0.25">
      <c r="A343" t="s">
        <v>3463</v>
      </c>
      <c r="B343" t="s">
        <v>6024</v>
      </c>
    </row>
    <row r="344" spans="1:2" x14ac:dyDescent="0.25">
      <c r="A344" t="s">
        <v>3471</v>
      </c>
      <c r="B344" t="s">
        <v>6025</v>
      </c>
    </row>
    <row r="345" spans="1:2" x14ac:dyDescent="0.25">
      <c r="A345" t="s">
        <v>3475</v>
      </c>
      <c r="B345" t="s">
        <v>6026</v>
      </c>
    </row>
    <row r="346" spans="1:2" x14ac:dyDescent="0.25">
      <c r="A346" t="s">
        <v>3483</v>
      </c>
      <c r="B346" t="s">
        <v>6027</v>
      </c>
    </row>
    <row r="347" spans="1:2" x14ac:dyDescent="0.25">
      <c r="A347" t="s">
        <v>3489</v>
      </c>
      <c r="B347" t="s">
        <v>6028</v>
      </c>
    </row>
    <row r="348" spans="1:2" x14ac:dyDescent="0.25">
      <c r="A348" t="s">
        <v>3501</v>
      </c>
      <c r="B348" t="s">
        <v>6029</v>
      </c>
    </row>
    <row r="349" spans="1:2" x14ac:dyDescent="0.25">
      <c r="A349" t="s">
        <v>3515</v>
      </c>
      <c r="B349" t="s">
        <v>6030</v>
      </c>
    </row>
    <row r="350" spans="1:2" x14ac:dyDescent="0.25">
      <c r="A350" t="s">
        <v>3529</v>
      </c>
      <c r="B350" t="s">
        <v>6031</v>
      </c>
    </row>
    <row r="351" spans="1:2" x14ac:dyDescent="0.25">
      <c r="A351" t="s">
        <v>3557</v>
      </c>
      <c r="B351" t="s">
        <v>6032</v>
      </c>
    </row>
    <row r="352" spans="1:2" x14ac:dyDescent="0.25">
      <c r="A352" t="s">
        <v>3573</v>
      </c>
      <c r="B352" t="s">
        <v>6033</v>
      </c>
    </row>
    <row r="353" spans="1:2" x14ac:dyDescent="0.25">
      <c r="A353" t="s">
        <v>3637</v>
      </c>
      <c r="B353" t="s">
        <v>6034</v>
      </c>
    </row>
    <row r="354" spans="1:2" x14ac:dyDescent="0.25">
      <c r="A354" t="s">
        <v>3701</v>
      </c>
      <c r="B354" t="s">
        <v>6035</v>
      </c>
    </row>
    <row r="355" spans="1:2" x14ac:dyDescent="0.25">
      <c r="A355" t="s">
        <v>3715</v>
      </c>
      <c r="B355" t="s">
        <v>6036</v>
      </c>
    </row>
    <row r="356" spans="1:2" x14ac:dyDescent="0.25">
      <c r="A356" t="s">
        <v>3745</v>
      </c>
      <c r="B356" t="s">
        <v>6037</v>
      </c>
    </row>
    <row r="357" spans="1:2" x14ac:dyDescent="0.25">
      <c r="A357" t="s">
        <v>3753</v>
      </c>
      <c r="B357" t="s">
        <v>6038</v>
      </c>
    </row>
    <row r="358" spans="1:2" x14ac:dyDescent="0.25">
      <c r="A358" t="s">
        <v>3800</v>
      </c>
      <c r="B358" t="s">
        <v>6039</v>
      </c>
    </row>
    <row r="359" spans="1:2" x14ac:dyDescent="0.25">
      <c r="A359" t="s">
        <v>3810</v>
      </c>
      <c r="B359" t="s">
        <v>6040</v>
      </c>
    </row>
    <row r="360" spans="1:2" x14ac:dyDescent="0.25">
      <c r="A360" t="s">
        <v>3816</v>
      </c>
      <c r="B360" t="s">
        <v>6041</v>
      </c>
    </row>
    <row r="361" spans="1:2" x14ac:dyDescent="0.25">
      <c r="A361" t="s">
        <v>3828</v>
      </c>
      <c r="B361" t="s">
        <v>6042</v>
      </c>
    </row>
    <row r="362" spans="1:2" x14ac:dyDescent="0.25">
      <c r="A362" t="s">
        <v>3837</v>
      </c>
      <c r="B362" t="s">
        <v>6043</v>
      </c>
    </row>
    <row r="363" spans="1:2" x14ac:dyDescent="0.25">
      <c r="A363" t="s">
        <v>3879</v>
      </c>
      <c r="B363" t="s">
        <v>6044</v>
      </c>
    </row>
    <row r="364" spans="1:2" x14ac:dyDescent="0.25">
      <c r="A364" t="s">
        <v>3919</v>
      </c>
      <c r="B364" t="s">
        <v>6045</v>
      </c>
    </row>
    <row r="365" spans="1:2" x14ac:dyDescent="0.25">
      <c r="A365" t="s">
        <v>3927</v>
      </c>
      <c r="B365" t="s">
        <v>6046</v>
      </c>
    </row>
    <row r="366" spans="1:2" x14ac:dyDescent="0.25">
      <c r="A366" t="s">
        <v>3935</v>
      </c>
      <c r="B366" t="s">
        <v>6047</v>
      </c>
    </row>
    <row r="367" spans="1:2" x14ac:dyDescent="0.25">
      <c r="A367" t="s">
        <v>3945</v>
      </c>
      <c r="B367" t="s">
        <v>6048</v>
      </c>
    </row>
    <row r="368" spans="1:2" x14ac:dyDescent="0.25">
      <c r="A368" t="s">
        <v>3951</v>
      </c>
      <c r="B368" t="s">
        <v>6049</v>
      </c>
    </row>
    <row r="369" spans="1:2" x14ac:dyDescent="0.25">
      <c r="A369" t="s">
        <v>3976</v>
      </c>
      <c r="B369" t="s">
        <v>6609</v>
      </c>
    </row>
    <row r="370" spans="1:2" x14ac:dyDescent="0.25">
      <c r="A370" t="s">
        <v>3984</v>
      </c>
      <c r="B370" t="s">
        <v>6610</v>
      </c>
    </row>
    <row r="371" spans="1:2" x14ac:dyDescent="0.25">
      <c r="A371" t="s">
        <v>3988</v>
      </c>
      <c r="B371" t="s">
        <v>6050</v>
      </c>
    </row>
    <row r="372" spans="1:2" x14ac:dyDescent="0.25">
      <c r="A372" t="s">
        <v>4028</v>
      </c>
      <c r="B372" t="s">
        <v>6051</v>
      </c>
    </row>
    <row r="373" spans="1:2" x14ac:dyDescent="0.25">
      <c r="A373" t="s">
        <v>4046</v>
      </c>
      <c r="B373" t="s">
        <v>6052</v>
      </c>
    </row>
    <row r="374" spans="1:2" x14ac:dyDescent="0.25">
      <c r="A374" t="s">
        <v>4048</v>
      </c>
      <c r="B374" t="s">
        <v>6053</v>
      </c>
    </row>
    <row r="375" spans="1:2" x14ac:dyDescent="0.25">
      <c r="A375" t="s">
        <v>4050</v>
      </c>
      <c r="B375" t="s">
        <v>6054</v>
      </c>
    </row>
    <row r="376" spans="1:2" x14ac:dyDescent="0.25">
      <c r="A376" t="s">
        <v>4052</v>
      </c>
      <c r="B376" t="s">
        <v>6055</v>
      </c>
    </row>
    <row r="377" spans="1:2" x14ac:dyDescent="0.25">
      <c r="A377" t="s">
        <v>4054</v>
      </c>
      <c r="B377" t="s">
        <v>6056</v>
      </c>
    </row>
    <row r="378" spans="1:2" x14ac:dyDescent="0.25">
      <c r="A378" t="s">
        <v>4056</v>
      </c>
      <c r="B378" t="s">
        <v>6057</v>
      </c>
    </row>
    <row r="379" spans="1:2" x14ac:dyDescent="0.25">
      <c r="A379" t="s">
        <v>4058</v>
      </c>
      <c r="B379" t="s">
        <v>6058</v>
      </c>
    </row>
    <row r="380" spans="1:2" x14ac:dyDescent="0.25">
      <c r="A380" t="s">
        <v>4060</v>
      </c>
      <c r="B380" t="s">
        <v>6059</v>
      </c>
    </row>
    <row r="381" spans="1:2" x14ac:dyDescent="0.25">
      <c r="A381" t="s">
        <v>4062</v>
      </c>
      <c r="B381" t="s">
        <v>6060</v>
      </c>
    </row>
    <row r="382" spans="1:2" x14ac:dyDescent="0.25">
      <c r="A382" t="s">
        <v>4064</v>
      </c>
      <c r="B382" t="s">
        <v>6061</v>
      </c>
    </row>
    <row r="383" spans="1:2" x14ac:dyDescent="0.25">
      <c r="A383" t="s">
        <v>4066</v>
      </c>
      <c r="B383" t="s">
        <v>6062</v>
      </c>
    </row>
    <row r="384" spans="1:2" x14ac:dyDescent="0.25">
      <c r="A384" t="s">
        <v>4068</v>
      </c>
      <c r="B384" t="s">
        <v>6063</v>
      </c>
    </row>
    <row r="385" spans="1:2" x14ac:dyDescent="0.25">
      <c r="A385" t="s">
        <v>4070</v>
      </c>
      <c r="B385" t="s">
        <v>6064</v>
      </c>
    </row>
    <row r="386" spans="1:2" x14ac:dyDescent="0.25">
      <c r="A386" t="s">
        <v>4072</v>
      </c>
      <c r="B386" t="s">
        <v>6065</v>
      </c>
    </row>
    <row r="387" spans="1:2" x14ac:dyDescent="0.25">
      <c r="A387" t="s">
        <v>4074</v>
      </c>
      <c r="B387" t="s">
        <v>6066</v>
      </c>
    </row>
    <row r="388" spans="1:2" x14ac:dyDescent="0.25">
      <c r="A388" t="s">
        <v>4076</v>
      </c>
      <c r="B388" t="s">
        <v>6067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A2" sqref="A2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autoFilter ref="A1:D1" xr:uid="{DAB11D70-CA81-4656-817C-B9BD59CEDC44}">
    <sortState xmlns:xlrd2="http://schemas.microsoft.com/office/spreadsheetml/2017/richdata2" ref="A2:D471">
      <sortCondition ref="D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8" sqref="G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autoFilter ref="A1:D1" xr:uid="{FFC45EFC-48FA-4257-8F51-027CE69540A7}">
    <sortState xmlns:xlrd2="http://schemas.microsoft.com/office/spreadsheetml/2017/richdata2" ref="A2:D501">
      <sortCondition ref="D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workbookViewId="0">
      <selection activeCell="A2" sqref="A2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autoFilter ref="A1:D1" xr:uid="{EBCC7FA8-2EC3-4380-8215-7F78F2F11BFB}">
    <sortState xmlns:xlrd2="http://schemas.microsoft.com/office/spreadsheetml/2017/richdata2" ref="A2:D396">
      <sortCondition ref="D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"/>
  <sheetViews>
    <sheetView workbookViewId="0">
      <selection activeCell="B17" sqref="B17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topLeftCell="A347" workbookViewId="0">
      <selection activeCell="E346" sqref="E346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5842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3"/>
  <sheetViews>
    <sheetView topLeftCell="A482" workbookViewId="0">
      <selection activeCell="S139" sqref="S139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</row>
    <row r="2" spans="1:27" x14ac:dyDescent="0.25">
      <c r="A2" s="2" t="s">
        <v>3291</v>
      </c>
      <c r="B2" t="s">
        <v>5272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5273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</row>
    <row r="3" spans="1:27" x14ac:dyDescent="0.25">
      <c r="A3" s="2" t="s">
        <v>3293</v>
      </c>
      <c r="B3" t="s">
        <v>5274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5275</v>
      </c>
      <c r="M3" t="s">
        <v>5276</v>
      </c>
      <c r="N3" s="4">
        <v>336134.45</v>
      </c>
      <c r="O3" s="4">
        <v>277310.92</v>
      </c>
      <c r="P3">
        <v>0</v>
      </c>
      <c r="Q3">
        <v>0</v>
      </c>
      <c r="R3">
        <v>0</v>
      </c>
      <c r="S3">
        <v>0</v>
      </c>
      <c r="T3">
        <v>12</v>
      </c>
      <c r="U3" s="4">
        <v>1</v>
      </c>
      <c r="V3" s="4">
        <v>11</v>
      </c>
      <c r="W3">
        <v>0</v>
      </c>
      <c r="X3">
        <v>0</v>
      </c>
      <c r="Y3">
        <v>0</v>
      </c>
      <c r="Z3" s="4">
        <v>400000</v>
      </c>
      <c r="AA3" s="4">
        <v>330000</v>
      </c>
    </row>
    <row r="4" spans="1:27" x14ac:dyDescent="0.25">
      <c r="A4" s="2" t="s">
        <v>3295</v>
      </c>
      <c r="B4" t="s">
        <v>6068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5275</v>
      </c>
      <c r="M4" t="s">
        <v>5277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</row>
    <row r="5" spans="1:27" x14ac:dyDescent="0.25">
      <c r="A5" s="2" t="s">
        <v>6069</v>
      </c>
      <c r="B5" t="s">
        <v>6070</v>
      </c>
      <c r="D5">
        <v>1</v>
      </c>
      <c r="E5">
        <v>1</v>
      </c>
      <c r="G5">
        <v>1</v>
      </c>
      <c r="I5" s="4">
        <v>103</v>
      </c>
      <c r="J5" s="4"/>
      <c r="K5">
        <v>31</v>
      </c>
      <c r="L5" t="s">
        <v>5407</v>
      </c>
      <c r="M5" t="s">
        <v>6071</v>
      </c>
      <c r="N5" s="4">
        <v>235294.12</v>
      </c>
      <c r="O5" s="4">
        <v>216470.59</v>
      </c>
      <c r="P5">
        <v>1</v>
      </c>
      <c r="Q5">
        <v>0</v>
      </c>
      <c r="R5">
        <v>0</v>
      </c>
      <c r="S5">
        <v>0</v>
      </c>
      <c r="U5" s="4"/>
      <c r="V5" s="4">
        <v>0</v>
      </c>
      <c r="Y5">
        <v>0</v>
      </c>
      <c r="Z5" s="4">
        <v>280000</v>
      </c>
      <c r="AA5" s="4">
        <v>257600</v>
      </c>
    </row>
    <row r="6" spans="1:27" x14ac:dyDescent="0.25">
      <c r="A6" s="2" t="s">
        <v>3297</v>
      </c>
      <c r="B6" t="s">
        <v>5278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12</v>
      </c>
      <c r="L6" t="s">
        <v>5279</v>
      </c>
      <c r="M6" t="s">
        <v>5280</v>
      </c>
      <c r="N6" s="4">
        <v>655462.18000000005</v>
      </c>
      <c r="O6" s="4">
        <v>588235.29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780000</v>
      </c>
      <c r="AA6" s="4">
        <v>700000</v>
      </c>
    </row>
    <row r="7" spans="1:27" x14ac:dyDescent="0.25">
      <c r="A7" s="2" t="s">
        <v>6072</v>
      </c>
      <c r="B7" t="s">
        <v>6073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35</v>
      </c>
      <c r="L7" t="s">
        <v>5294</v>
      </c>
      <c r="M7" t="s">
        <v>6074</v>
      </c>
      <c r="N7" s="4">
        <v>423529.41</v>
      </c>
      <c r="O7" s="4">
        <v>405647.06</v>
      </c>
      <c r="P7">
        <v>1</v>
      </c>
      <c r="Q7">
        <v>0</v>
      </c>
      <c r="R7">
        <v>0</v>
      </c>
      <c r="S7">
        <v>0</v>
      </c>
      <c r="T7">
        <v>0</v>
      </c>
      <c r="U7" s="4">
        <v>0</v>
      </c>
      <c r="V7" s="4">
        <v>0</v>
      </c>
      <c r="W7">
        <v>0</v>
      </c>
      <c r="X7">
        <v>0</v>
      </c>
      <c r="Y7">
        <v>0</v>
      </c>
      <c r="Z7" s="4">
        <v>504000</v>
      </c>
      <c r="AA7" s="4">
        <v>482720</v>
      </c>
    </row>
    <row r="8" spans="1:27" x14ac:dyDescent="0.25">
      <c r="A8" s="2" t="s">
        <v>3299</v>
      </c>
      <c r="B8" t="s">
        <v>5281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18</v>
      </c>
      <c r="L8" t="s">
        <v>5282</v>
      </c>
      <c r="M8" t="s">
        <v>5283</v>
      </c>
      <c r="N8" s="4">
        <v>210084.03</v>
      </c>
      <c r="O8" s="4">
        <v>176470.59</v>
      </c>
      <c r="P8">
        <v>0</v>
      </c>
      <c r="Q8">
        <v>0</v>
      </c>
      <c r="R8">
        <v>0</v>
      </c>
      <c r="S8">
        <v>0</v>
      </c>
      <c r="T8">
        <v>2</v>
      </c>
      <c r="U8" s="4">
        <v>0</v>
      </c>
      <c r="V8" s="4">
        <v>2</v>
      </c>
      <c r="W8">
        <v>0</v>
      </c>
      <c r="X8">
        <v>0</v>
      </c>
      <c r="Y8">
        <v>0</v>
      </c>
      <c r="Z8" s="4">
        <v>250000</v>
      </c>
      <c r="AA8" s="4">
        <v>210000</v>
      </c>
    </row>
    <row r="9" spans="1:27" x14ac:dyDescent="0.25">
      <c r="A9" s="2" t="s">
        <v>3301</v>
      </c>
      <c r="B9" t="s">
        <v>5284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59</v>
      </c>
      <c r="L9" t="s">
        <v>5285</v>
      </c>
      <c r="M9" t="s">
        <v>5286</v>
      </c>
      <c r="N9" s="4">
        <v>352941.18</v>
      </c>
      <c r="O9" s="4">
        <v>319327.73</v>
      </c>
      <c r="P9">
        <v>0</v>
      </c>
      <c r="Q9">
        <v>0</v>
      </c>
      <c r="R9">
        <v>0</v>
      </c>
      <c r="S9">
        <v>0</v>
      </c>
      <c r="T9">
        <v>0</v>
      </c>
      <c r="U9" s="4">
        <v>0</v>
      </c>
      <c r="V9" s="4">
        <v>0</v>
      </c>
      <c r="W9">
        <v>0</v>
      </c>
      <c r="X9">
        <v>0</v>
      </c>
      <c r="Y9">
        <v>0</v>
      </c>
      <c r="Z9" s="4">
        <v>420000</v>
      </c>
      <c r="AA9" s="4">
        <v>380000</v>
      </c>
    </row>
    <row r="10" spans="1:27" x14ac:dyDescent="0.25">
      <c r="A10" s="2" t="s">
        <v>3303</v>
      </c>
      <c r="B10" t="s">
        <v>6075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5</v>
      </c>
      <c r="L10" t="s">
        <v>5275</v>
      </c>
      <c r="M10">
        <v>1993918</v>
      </c>
      <c r="N10" s="4">
        <v>988235.29</v>
      </c>
      <c r="O10" s="4">
        <v>922352.94</v>
      </c>
      <c r="P10">
        <v>0</v>
      </c>
      <c r="Q10">
        <v>0</v>
      </c>
      <c r="R10">
        <v>0</v>
      </c>
      <c r="S10">
        <v>0</v>
      </c>
      <c r="T10">
        <v>0</v>
      </c>
      <c r="U10" s="4">
        <v>0</v>
      </c>
      <c r="V10" s="4">
        <v>0</v>
      </c>
      <c r="W10">
        <v>0</v>
      </c>
      <c r="X10">
        <v>0</v>
      </c>
      <c r="Y10">
        <v>0</v>
      </c>
      <c r="Z10" s="4">
        <v>1176000</v>
      </c>
      <c r="AA10" s="4">
        <v>1097600</v>
      </c>
    </row>
    <row r="11" spans="1:27" x14ac:dyDescent="0.25">
      <c r="A11" s="2" t="s">
        <v>3305</v>
      </c>
      <c r="B11" t="s">
        <v>5287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37</v>
      </c>
      <c r="L11" t="s">
        <v>5288</v>
      </c>
      <c r="M11" t="s">
        <v>5289</v>
      </c>
      <c r="N11" s="4">
        <v>319327.73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1</v>
      </c>
      <c r="U11" s="4">
        <v>0</v>
      </c>
      <c r="V11" s="4">
        <v>1</v>
      </c>
      <c r="W11">
        <v>0</v>
      </c>
      <c r="X11">
        <v>0</v>
      </c>
      <c r="Y11">
        <v>0</v>
      </c>
      <c r="Z11" s="4">
        <v>380000</v>
      </c>
      <c r="AA11" s="4">
        <v>360000</v>
      </c>
    </row>
    <row r="12" spans="1:27" x14ac:dyDescent="0.25">
      <c r="A12" s="2" t="s">
        <v>3307</v>
      </c>
      <c r="B12" t="s">
        <v>5290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29</v>
      </c>
      <c r="L12" t="s">
        <v>5291</v>
      </c>
      <c r="M12" t="s">
        <v>5292</v>
      </c>
      <c r="N12" s="4">
        <v>243697.48</v>
      </c>
      <c r="O12" s="4">
        <v>218487.39</v>
      </c>
      <c r="P12">
        <v>0</v>
      </c>
      <c r="Q12">
        <v>0</v>
      </c>
      <c r="R12">
        <v>0</v>
      </c>
      <c r="S12">
        <v>0</v>
      </c>
      <c r="T12">
        <v>1</v>
      </c>
      <c r="U12" s="4">
        <v>0</v>
      </c>
      <c r="V12" s="4">
        <v>1</v>
      </c>
      <c r="W12">
        <v>0</v>
      </c>
      <c r="X12">
        <v>0</v>
      </c>
      <c r="Y12">
        <v>0</v>
      </c>
      <c r="Z12" s="4">
        <v>290000</v>
      </c>
      <c r="AA12" s="4">
        <v>260000</v>
      </c>
    </row>
    <row r="13" spans="1:27" x14ac:dyDescent="0.25">
      <c r="A13" s="2" t="s">
        <v>3309</v>
      </c>
      <c r="B13" t="s">
        <v>5293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5294</v>
      </c>
      <c r="M13" t="s">
        <v>5295</v>
      </c>
      <c r="N13" s="4">
        <v>563025.21</v>
      </c>
      <c r="O13" s="4">
        <v>504201.68</v>
      </c>
      <c r="P13">
        <v>0</v>
      </c>
      <c r="Q13">
        <v>0</v>
      </c>
      <c r="R13">
        <v>0</v>
      </c>
      <c r="S13">
        <v>0</v>
      </c>
      <c r="T13">
        <v>4</v>
      </c>
      <c r="U13" s="4">
        <v>0</v>
      </c>
      <c r="V13" s="4">
        <v>4</v>
      </c>
      <c r="W13">
        <v>0</v>
      </c>
      <c r="X13">
        <v>0</v>
      </c>
      <c r="Y13">
        <v>0</v>
      </c>
      <c r="Z13" s="4">
        <v>670000</v>
      </c>
      <c r="AA13" s="4">
        <v>600000</v>
      </c>
    </row>
    <row r="14" spans="1:27" x14ac:dyDescent="0.25">
      <c r="A14" s="2" t="s">
        <v>3311</v>
      </c>
      <c r="B14" t="s">
        <v>5296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33</v>
      </c>
      <c r="L14" t="s">
        <v>5297</v>
      </c>
      <c r="M14" t="s">
        <v>5298</v>
      </c>
      <c r="N14" s="4">
        <v>327731.09000000003</v>
      </c>
      <c r="O14" s="4">
        <v>302521.01</v>
      </c>
      <c r="P14">
        <v>0</v>
      </c>
      <c r="Q14">
        <v>0</v>
      </c>
      <c r="R14">
        <v>0</v>
      </c>
      <c r="S14">
        <v>0</v>
      </c>
      <c r="T14">
        <v>3</v>
      </c>
      <c r="U14" s="4">
        <v>0</v>
      </c>
      <c r="V14" s="4">
        <v>3</v>
      </c>
      <c r="W14">
        <v>0</v>
      </c>
      <c r="X14">
        <v>0</v>
      </c>
      <c r="Y14">
        <v>0</v>
      </c>
      <c r="Z14" s="4">
        <v>390000</v>
      </c>
      <c r="AA14" s="4">
        <v>360000</v>
      </c>
    </row>
    <row r="15" spans="1:27" x14ac:dyDescent="0.25">
      <c r="A15" s="2" t="s">
        <v>3313</v>
      </c>
      <c r="B15" t="s">
        <v>6076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18</v>
      </c>
      <c r="L15" t="s">
        <v>5282</v>
      </c>
      <c r="M15" t="s">
        <v>6077</v>
      </c>
      <c r="N15" s="4">
        <v>201680.67</v>
      </c>
      <c r="O15" s="4">
        <v>172268.91</v>
      </c>
      <c r="P15">
        <v>0</v>
      </c>
      <c r="Q15">
        <v>0</v>
      </c>
      <c r="R15">
        <v>0</v>
      </c>
      <c r="S15">
        <v>0</v>
      </c>
      <c r="T15">
        <v>0</v>
      </c>
      <c r="U15" s="4">
        <v>0</v>
      </c>
      <c r="V15" s="4">
        <v>0</v>
      </c>
      <c r="W15">
        <v>0</v>
      </c>
      <c r="X15">
        <v>0</v>
      </c>
      <c r="Y15">
        <v>0</v>
      </c>
      <c r="Z15" s="4">
        <v>240000</v>
      </c>
      <c r="AA15" s="4">
        <v>205000</v>
      </c>
    </row>
    <row r="16" spans="1:27" x14ac:dyDescent="0.25">
      <c r="A16" s="2" t="s">
        <v>3315</v>
      </c>
      <c r="B16" t="s">
        <v>5299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12</v>
      </c>
      <c r="L16" t="s">
        <v>5279</v>
      </c>
      <c r="M16" t="s">
        <v>5300</v>
      </c>
      <c r="N16" s="4">
        <v>226890.76</v>
      </c>
      <c r="O16" s="4">
        <v>205882.35</v>
      </c>
      <c r="P16">
        <v>0</v>
      </c>
      <c r="Q16">
        <v>0</v>
      </c>
      <c r="R16">
        <v>0</v>
      </c>
      <c r="S16">
        <v>0</v>
      </c>
      <c r="T16">
        <v>4</v>
      </c>
      <c r="U16" s="4">
        <v>0</v>
      </c>
      <c r="V16" s="4">
        <v>4</v>
      </c>
      <c r="W16">
        <v>0</v>
      </c>
      <c r="X16">
        <v>0</v>
      </c>
      <c r="Y16">
        <v>0</v>
      </c>
      <c r="Z16" s="4">
        <v>270000</v>
      </c>
      <c r="AA16" s="4">
        <v>245000</v>
      </c>
    </row>
    <row r="17" spans="1:27" x14ac:dyDescent="0.25">
      <c r="A17" s="2" t="s">
        <v>6078</v>
      </c>
      <c r="B17" t="s">
        <v>6079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31</v>
      </c>
      <c r="L17" t="s">
        <v>5407</v>
      </c>
      <c r="M17" t="s">
        <v>6080</v>
      </c>
      <c r="N17" s="4">
        <v>201680.67</v>
      </c>
      <c r="O17" s="4">
        <v>176470.59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240000</v>
      </c>
      <c r="AA17" s="4">
        <v>210000</v>
      </c>
    </row>
    <row r="18" spans="1:27" x14ac:dyDescent="0.25">
      <c r="A18" s="2" t="s">
        <v>6081</v>
      </c>
      <c r="B18" t="s">
        <v>6082</v>
      </c>
      <c r="D18">
        <v>1</v>
      </c>
      <c r="E18">
        <v>1</v>
      </c>
      <c r="G18">
        <v>1</v>
      </c>
      <c r="I18" s="4">
        <v>103</v>
      </c>
      <c r="J18" s="4"/>
      <c r="K18">
        <v>18</v>
      </c>
      <c r="L18" t="s">
        <v>5282</v>
      </c>
      <c r="M18" t="s">
        <v>6083</v>
      </c>
      <c r="N18" s="4">
        <v>390588.24</v>
      </c>
      <c r="O18" s="4">
        <v>357647.06</v>
      </c>
      <c r="P18">
        <v>1</v>
      </c>
      <c r="Q18">
        <v>0</v>
      </c>
      <c r="R18">
        <v>0</v>
      </c>
      <c r="S18">
        <v>0</v>
      </c>
      <c r="U18" s="4"/>
      <c r="V18" s="4">
        <v>0</v>
      </c>
      <c r="Y18">
        <v>0</v>
      </c>
      <c r="Z18" s="4">
        <v>464800</v>
      </c>
      <c r="AA18" s="4">
        <v>425600</v>
      </c>
    </row>
    <row r="19" spans="1:27" x14ac:dyDescent="0.25">
      <c r="A19" s="2" t="s">
        <v>6084</v>
      </c>
      <c r="B19" t="s">
        <v>6085</v>
      </c>
      <c r="D19">
        <v>1</v>
      </c>
      <c r="E19">
        <v>1</v>
      </c>
      <c r="G19">
        <v>1</v>
      </c>
      <c r="I19" s="4">
        <v>103</v>
      </c>
      <c r="J19" s="4"/>
      <c r="K19">
        <v>18</v>
      </c>
      <c r="L19" t="s">
        <v>5282</v>
      </c>
      <c r="M19" t="s">
        <v>6086</v>
      </c>
      <c r="N19" s="4">
        <v>390588.24</v>
      </c>
      <c r="O19" s="4">
        <v>357647.06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464800</v>
      </c>
      <c r="AA19" s="4">
        <v>425600</v>
      </c>
    </row>
    <row r="20" spans="1:27" x14ac:dyDescent="0.25">
      <c r="A20" s="2" t="s">
        <v>3317</v>
      </c>
      <c r="B20" t="s">
        <v>5301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5294</v>
      </c>
      <c r="M20" t="s">
        <v>5302</v>
      </c>
      <c r="N20" s="4">
        <v>260504.2</v>
      </c>
      <c r="O20" s="4">
        <v>243697.48</v>
      </c>
      <c r="P20">
        <v>0</v>
      </c>
      <c r="Q20">
        <v>0</v>
      </c>
      <c r="R20">
        <v>0</v>
      </c>
      <c r="S20">
        <v>0</v>
      </c>
      <c r="T20">
        <v>8</v>
      </c>
      <c r="U20" s="4">
        <v>0</v>
      </c>
      <c r="V20" s="4">
        <v>8</v>
      </c>
      <c r="W20">
        <v>0</v>
      </c>
      <c r="X20">
        <v>0</v>
      </c>
      <c r="Y20">
        <v>0</v>
      </c>
      <c r="Z20" s="4">
        <v>310000</v>
      </c>
      <c r="AA20" s="4">
        <v>290000</v>
      </c>
    </row>
    <row r="21" spans="1:27" x14ac:dyDescent="0.25">
      <c r="A21" s="2" t="s">
        <v>3319</v>
      </c>
      <c r="B21" t="s">
        <v>5303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12</v>
      </c>
      <c r="L21" t="s">
        <v>5279</v>
      </c>
      <c r="M21" t="s">
        <v>5304</v>
      </c>
      <c r="N21" s="4">
        <v>168067.23</v>
      </c>
      <c r="O21" s="4">
        <v>151260.5</v>
      </c>
      <c r="P21">
        <v>0</v>
      </c>
      <c r="Q21">
        <v>0</v>
      </c>
      <c r="R21">
        <v>0</v>
      </c>
      <c r="S21">
        <v>0</v>
      </c>
      <c r="T21">
        <v>6</v>
      </c>
      <c r="U21" s="4">
        <v>0</v>
      </c>
      <c r="V21" s="4">
        <v>6</v>
      </c>
      <c r="W21">
        <v>0</v>
      </c>
      <c r="X21">
        <v>0</v>
      </c>
      <c r="Y21">
        <v>0</v>
      </c>
      <c r="Z21" s="4">
        <v>200000</v>
      </c>
      <c r="AA21" s="4">
        <v>180000</v>
      </c>
    </row>
    <row r="22" spans="1:27" x14ac:dyDescent="0.25">
      <c r="A22" s="2" t="s">
        <v>3321</v>
      </c>
      <c r="B22" t="s">
        <v>5305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33</v>
      </c>
      <c r="L22" t="s">
        <v>5297</v>
      </c>
      <c r="M22" t="s">
        <v>5306</v>
      </c>
      <c r="N22" s="4">
        <v>252100.84</v>
      </c>
      <c r="O22" s="4">
        <v>226890.76</v>
      </c>
      <c r="P22">
        <v>0</v>
      </c>
      <c r="Q22">
        <v>0</v>
      </c>
      <c r="R22">
        <v>0</v>
      </c>
      <c r="S22">
        <v>0</v>
      </c>
      <c r="T22">
        <v>1</v>
      </c>
      <c r="U22" s="4">
        <v>0</v>
      </c>
      <c r="V22" s="4">
        <v>1</v>
      </c>
      <c r="W22">
        <v>0</v>
      </c>
      <c r="X22">
        <v>0</v>
      </c>
      <c r="Y22">
        <v>0</v>
      </c>
      <c r="Z22" s="4">
        <v>300000</v>
      </c>
      <c r="AA22" s="4">
        <v>270000</v>
      </c>
    </row>
    <row r="23" spans="1:27" x14ac:dyDescent="0.25">
      <c r="A23" s="2" t="s">
        <v>6087</v>
      </c>
      <c r="B23" t="s">
        <v>6088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5297</v>
      </c>
      <c r="M23" t="s">
        <v>6089</v>
      </c>
      <c r="N23" s="4">
        <v>563025.21</v>
      </c>
      <c r="O23" s="4">
        <v>504201.68</v>
      </c>
      <c r="P23">
        <v>0</v>
      </c>
      <c r="Q23">
        <v>0</v>
      </c>
      <c r="R23">
        <v>0</v>
      </c>
      <c r="S23">
        <v>0</v>
      </c>
      <c r="T23">
        <v>1</v>
      </c>
      <c r="U23" s="4">
        <v>0</v>
      </c>
      <c r="V23" s="4">
        <v>1</v>
      </c>
      <c r="W23">
        <v>0</v>
      </c>
      <c r="X23">
        <v>0</v>
      </c>
      <c r="Y23">
        <v>0</v>
      </c>
      <c r="Z23" s="4">
        <v>670000</v>
      </c>
      <c r="AA23" s="4">
        <v>600000</v>
      </c>
    </row>
    <row r="24" spans="1:27" x14ac:dyDescent="0.25">
      <c r="A24" s="2" t="s">
        <v>3323</v>
      </c>
      <c r="B24" t="s">
        <v>5307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35</v>
      </c>
      <c r="L24" t="s">
        <v>5294</v>
      </c>
      <c r="M24" t="s">
        <v>5308</v>
      </c>
      <c r="N24" s="4">
        <v>403361.34</v>
      </c>
      <c r="O24" s="4">
        <v>352941.18</v>
      </c>
      <c r="P24">
        <v>0</v>
      </c>
      <c r="Q24">
        <v>0</v>
      </c>
      <c r="R24">
        <v>0</v>
      </c>
      <c r="S24">
        <v>0</v>
      </c>
      <c r="T24">
        <v>12</v>
      </c>
      <c r="U24" s="4">
        <v>0</v>
      </c>
      <c r="V24" s="4">
        <v>12</v>
      </c>
      <c r="W24">
        <v>0</v>
      </c>
      <c r="X24">
        <v>0</v>
      </c>
      <c r="Y24">
        <v>0</v>
      </c>
      <c r="Z24" s="4">
        <v>480000</v>
      </c>
      <c r="AA24" s="4">
        <v>420000</v>
      </c>
    </row>
    <row r="25" spans="1:27" x14ac:dyDescent="0.25">
      <c r="A25" s="2" t="s">
        <v>3325</v>
      </c>
      <c r="B25" t="s">
        <v>6090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27</v>
      </c>
      <c r="L25" t="s">
        <v>5718</v>
      </c>
      <c r="M25" t="s">
        <v>6091</v>
      </c>
      <c r="N25" s="4">
        <v>294117.65000000002</v>
      </c>
      <c r="O25" s="4">
        <v>281512.61</v>
      </c>
      <c r="P25">
        <v>0</v>
      </c>
      <c r="Q25">
        <v>0</v>
      </c>
      <c r="R25">
        <v>0</v>
      </c>
      <c r="S25">
        <v>0</v>
      </c>
      <c r="T25">
        <v>0</v>
      </c>
      <c r="U25" s="4">
        <v>0</v>
      </c>
      <c r="V25" s="4">
        <v>0</v>
      </c>
      <c r="W25">
        <v>0</v>
      </c>
      <c r="X25">
        <v>0</v>
      </c>
      <c r="Y25">
        <v>0</v>
      </c>
      <c r="Z25" s="4">
        <v>350000</v>
      </c>
      <c r="AA25" s="4">
        <v>335000</v>
      </c>
    </row>
    <row r="26" spans="1:27" x14ac:dyDescent="0.25">
      <c r="A26" s="2" t="s">
        <v>6092</v>
      </c>
      <c r="B26" t="s">
        <v>6093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8</v>
      </c>
      <c r="L26" t="s">
        <v>5317</v>
      </c>
      <c r="M26" t="s">
        <v>6094</v>
      </c>
      <c r="N26" s="4">
        <v>564705.88</v>
      </c>
      <c r="O26" s="4">
        <v>517647.06</v>
      </c>
      <c r="P26">
        <v>1</v>
      </c>
      <c r="Q26">
        <v>0</v>
      </c>
      <c r="R26">
        <v>0</v>
      </c>
      <c r="S26">
        <v>0</v>
      </c>
      <c r="T26">
        <v>0</v>
      </c>
      <c r="U26" s="4">
        <v>0</v>
      </c>
      <c r="V26" s="4">
        <v>0</v>
      </c>
      <c r="W26">
        <v>0</v>
      </c>
      <c r="X26">
        <v>0</v>
      </c>
      <c r="Y26">
        <v>0</v>
      </c>
      <c r="Z26" s="4">
        <v>672000</v>
      </c>
      <c r="AA26" s="4">
        <v>616000</v>
      </c>
    </row>
    <row r="27" spans="1:27" x14ac:dyDescent="0.25">
      <c r="A27" s="2" t="s">
        <v>6095</v>
      </c>
      <c r="B27" t="s">
        <v>6096</v>
      </c>
      <c r="D27">
        <v>1</v>
      </c>
      <c r="E27">
        <v>1</v>
      </c>
      <c r="G27">
        <v>1</v>
      </c>
      <c r="I27" s="4">
        <v>103</v>
      </c>
      <c r="J27" s="4"/>
      <c r="K27">
        <v>33</v>
      </c>
      <c r="L27" t="s">
        <v>5297</v>
      </c>
      <c r="M27">
        <v>20997663</v>
      </c>
      <c r="N27" s="4">
        <v>1492705.88</v>
      </c>
      <c r="O27" s="4">
        <v>1492705.88</v>
      </c>
      <c r="P27">
        <v>1</v>
      </c>
      <c r="Q27">
        <v>0</v>
      </c>
      <c r="R27">
        <v>0</v>
      </c>
      <c r="S27">
        <v>0</v>
      </c>
      <c r="U27" s="4"/>
      <c r="V27" s="4">
        <v>0</v>
      </c>
      <c r="Y27">
        <v>0</v>
      </c>
      <c r="Z27" s="4">
        <v>1776320</v>
      </c>
      <c r="AA27" s="4">
        <v>1776320</v>
      </c>
    </row>
    <row r="28" spans="1:27" x14ac:dyDescent="0.25">
      <c r="A28" s="2" t="s">
        <v>3327</v>
      </c>
      <c r="B28" t="s">
        <v>6097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5</v>
      </c>
      <c r="L28" t="s">
        <v>5275</v>
      </c>
      <c r="M28" t="s">
        <v>5309</v>
      </c>
      <c r="N28" s="4">
        <v>428571.43</v>
      </c>
      <c r="O28" s="4">
        <v>394957.98</v>
      </c>
      <c r="P28">
        <v>0</v>
      </c>
      <c r="Q28">
        <v>0</v>
      </c>
      <c r="R28">
        <v>0</v>
      </c>
      <c r="S28">
        <v>0</v>
      </c>
      <c r="T28">
        <v>1</v>
      </c>
      <c r="U28" s="4">
        <v>0</v>
      </c>
      <c r="V28" s="4">
        <v>1</v>
      </c>
      <c r="W28">
        <v>0</v>
      </c>
      <c r="X28">
        <v>0</v>
      </c>
      <c r="Y28">
        <v>0</v>
      </c>
      <c r="Z28" s="4">
        <v>510000</v>
      </c>
      <c r="AA28" s="4">
        <v>470000</v>
      </c>
    </row>
    <row r="29" spans="1:27" x14ac:dyDescent="0.25">
      <c r="A29" s="2" t="s">
        <v>3329</v>
      </c>
      <c r="B29" t="s">
        <v>5310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35</v>
      </c>
      <c r="L29" t="s">
        <v>5294</v>
      </c>
      <c r="M29" t="s">
        <v>5311</v>
      </c>
      <c r="N29" s="4">
        <v>487394.96</v>
      </c>
      <c r="O29" s="4">
        <v>462184.87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1</v>
      </c>
      <c r="V29" s="4">
        <v>0</v>
      </c>
      <c r="W29">
        <v>0</v>
      </c>
      <c r="X29">
        <v>0</v>
      </c>
      <c r="Y29">
        <v>0</v>
      </c>
      <c r="Z29" s="4">
        <v>580000</v>
      </c>
      <c r="AA29" s="4">
        <v>550000</v>
      </c>
    </row>
    <row r="30" spans="1:27" x14ac:dyDescent="0.25">
      <c r="A30" s="2" t="s">
        <v>6098</v>
      </c>
      <c r="B30" t="s">
        <v>6099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8</v>
      </c>
      <c r="L30" t="s">
        <v>5317</v>
      </c>
      <c r="M30" t="s">
        <v>6100</v>
      </c>
      <c r="N30" s="4">
        <v>357647.06</v>
      </c>
      <c r="O30" s="4">
        <v>331294.12</v>
      </c>
      <c r="P30">
        <v>1</v>
      </c>
      <c r="Q30">
        <v>0</v>
      </c>
      <c r="R30">
        <v>0</v>
      </c>
      <c r="S30">
        <v>0</v>
      </c>
      <c r="T30">
        <v>0</v>
      </c>
      <c r="U30" s="4">
        <v>0</v>
      </c>
      <c r="V30" s="4">
        <v>0</v>
      </c>
      <c r="W30">
        <v>0</v>
      </c>
      <c r="X30">
        <v>0</v>
      </c>
      <c r="Y30">
        <v>0</v>
      </c>
      <c r="Z30" s="4">
        <v>425600</v>
      </c>
      <c r="AA30" s="4">
        <v>394240</v>
      </c>
    </row>
    <row r="31" spans="1:27" x14ac:dyDescent="0.25">
      <c r="A31" s="2" t="s">
        <v>3331</v>
      </c>
      <c r="B31" t="s">
        <v>5312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35</v>
      </c>
      <c r="L31" t="s">
        <v>5294</v>
      </c>
      <c r="M31" t="s">
        <v>5313</v>
      </c>
      <c r="N31" s="4">
        <v>403361.34</v>
      </c>
      <c r="O31" s="4">
        <v>378151.26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480000</v>
      </c>
      <c r="AA31" s="4">
        <v>450000</v>
      </c>
    </row>
    <row r="32" spans="1:27" x14ac:dyDescent="0.25">
      <c r="A32" s="2" t="s">
        <v>6101</v>
      </c>
      <c r="B32" t="s">
        <v>6102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5</v>
      </c>
      <c r="L32" t="s">
        <v>5275</v>
      </c>
      <c r="M32" t="s">
        <v>6103</v>
      </c>
      <c r="N32" s="4">
        <v>840336.13</v>
      </c>
      <c r="O32" s="4">
        <v>756302.52</v>
      </c>
      <c r="P32">
        <v>0</v>
      </c>
      <c r="Q32">
        <v>0</v>
      </c>
      <c r="R32">
        <v>0</v>
      </c>
      <c r="S32">
        <v>0</v>
      </c>
      <c r="T32">
        <v>0</v>
      </c>
      <c r="U32" s="4">
        <v>0</v>
      </c>
      <c r="V32" s="4">
        <v>0</v>
      </c>
      <c r="W32">
        <v>0</v>
      </c>
      <c r="X32">
        <v>0</v>
      </c>
      <c r="Y32">
        <v>0</v>
      </c>
      <c r="Z32" s="4">
        <v>1000000</v>
      </c>
      <c r="AA32" s="4">
        <v>900000</v>
      </c>
    </row>
    <row r="33" spans="1:27" x14ac:dyDescent="0.25">
      <c r="A33" s="2" t="s">
        <v>6104</v>
      </c>
      <c r="B33" t="s">
        <v>6105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5</v>
      </c>
      <c r="L33" t="s">
        <v>5275</v>
      </c>
      <c r="M33" t="s">
        <v>6106</v>
      </c>
      <c r="N33" s="4">
        <v>752941.28</v>
      </c>
      <c r="O33" s="4">
        <v>658823.19999999995</v>
      </c>
      <c r="P33">
        <v>0</v>
      </c>
      <c r="Q33">
        <v>0</v>
      </c>
      <c r="R33">
        <v>0</v>
      </c>
      <c r="S33">
        <v>0</v>
      </c>
      <c r="T33">
        <v>0</v>
      </c>
      <c r="U33" s="4">
        <v>0</v>
      </c>
      <c r="V33" s="4">
        <v>0</v>
      </c>
      <c r="W33">
        <v>0</v>
      </c>
      <c r="X33">
        <v>0</v>
      </c>
      <c r="Y33">
        <v>0</v>
      </c>
      <c r="Z33" s="4">
        <v>896000.12</v>
      </c>
      <c r="AA33" s="4">
        <v>783999.61</v>
      </c>
    </row>
    <row r="34" spans="1:27" x14ac:dyDescent="0.25">
      <c r="A34" s="2" t="s">
        <v>3333</v>
      </c>
      <c r="B34" t="s">
        <v>5314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5</v>
      </c>
      <c r="L34" t="s">
        <v>5275</v>
      </c>
      <c r="M34" t="s">
        <v>5315</v>
      </c>
      <c r="N34" s="4">
        <v>714285.71</v>
      </c>
      <c r="O34" s="4">
        <v>655462.18000000005</v>
      </c>
      <c r="P34">
        <v>0</v>
      </c>
      <c r="Q34">
        <v>0</v>
      </c>
      <c r="R34">
        <v>0</v>
      </c>
      <c r="S34">
        <v>0</v>
      </c>
      <c r="T34">
        <v>5</v>
      </c>
      <c r="U34" s="4">
        <v>0</v>
      </c>
      <c r="V34" s="4">
        <v>5</v>
      </c>
      <c r="W34">
        <v>0</v>
      </c>
      <c r="X34">
        <v>0</v>
      </c>
      <c r="Y34">
        <v>0</v>
      </c>
      <c r="Z34" s="4">
        <v>850000</v>
      </c>
      <c r="AA34" s="4">
        <v>780000</v>
      </c>
    </row>
    <row r="35" spans="1:27" x14ac:dyDescent="0.25">
      <c r="A35" s="2" t="s">
        <v>3335</v>
      </c>
      <c r="B35" t="s">
        <v>5316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5317</v>
      </c>
      <c r="M35" t="s">
        <v>5318</v>
      </c>
      <c r="N35" s="4">
        <v>504201.68</v>
      </c>
      <c r="O35" s="4">
        <v>495798.32</v>
      </c>
      <c r="P35">
        <v>0</v>
      </c>
      <c r="Q35">
        <v>0</v>
      </c>
      <c r="R35">
        <v>0</v>
      </c>
      <c r="S35">
        <v>0</v>
      </c>
      <c r="T35">
        <v>2</v>
      </c>
      <c r="U35" s="4">
        <v>0</v>
      </c>
      <c r="V35" s="4">
        <v>2</v>
      </c>
      <c r="W35">
        <v>0</v>
      </c>
      <c r="X35">
        <v>0</v>
      </c>
      <c r="Y35">
        <v>0</v>
      </c>
      <c r="Z35" s="4">
        <v>600000</v>
      </c>
      <c r="AA35" s="4">
        <v>590000</v>
      </c>
    </row>
    <row r="36" spans="1:27" x14ac:dyDescent="0.25">
      <c r="A36" s="2" t="s">
        <v>3337</v>
      </c>
      <c r="B36" t="s">
        <v>6107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5317</v>
      </c>
      <c r="M36" t="s">
        <v>6108</v>
      </c>
      <c r="N36" s="4">
        <v>302521.01</v>
      </c>
      <c r="O36" s="4">
        <v>277310.92</v>
      </c>
      <c r="P36">
        <v>0</v>
      </c>
      <c r="Q36">
        <v>0</v>
      </c>
      <c r="R36">
        <v>0</v>
      </c>
      <c r="S36">
        <v>0</v>
      </c>
      <c r="T36">
        <v>0</v>
      </c>
      <c r="U36" s="4">
        <v>0</v>
      </c>
      <c r="V36" s="4">
        <v>0</v>
      </c>
      <c r="W36">
        <v>0</v>
      </c>
      <c r="X36">
        <v>0</v>
      </c>
      <c r="Y36">
        <v>0</v>
      </c>
      <c r="Z36" s="4">
        <v>360000</v>
      </c>
      <c r="AA36" s="4">
        <v>330000</v>
      </c>
    </row>
    <row r="37" spans="1:27" x14ac:dyDescent="0.25">
      <c r="A37" s="2" t="s">
        <v>3339</v>
      </c>
      <c r="B37" t="s">
        <v>5319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5</v>
      </c>
      <c r="L37" t="s">
        <v>5275</v>
      </c>
      <c r="M37" t="s">
        <v>5320</v>
      </c>
      <c r="N37" s="4">
        <v>310924.37</v>
      </c>
      <c r="O37" s="4">
        <v>277310.92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370000</v>
      </c>
      <c r="AA37" s="4">
        <v>330000</v>
      </c>
    </row>
    <row r="38" spans="1:27" x14ac:dyDescent="0.25">
      <c r="A38" s="2" t="s">
        <v>3341</v>
      </c>
      <c r="B38" t="s">
        <v>5321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8</v>
      </c>
      <c r="L38" t="s">
        <v>5317</v>
      </c>
      <c r="M38" t="s">
        <v>5322</v>
      </c>
      <c r="N38" s="4">
        <v>428571.43</v>
      </c>
      <c r="O38" s="4">
        <v>399159.66</v>
      </c>
      <c r="P38">
        <v>0</v>
      </c>
      <c r="Q38">
        <v>0</v>
      </c>
      <c r="R38">
        <v>0</v>
      </c>
      <c r="S38">
        <v>0</v>
      </c>
      <c r="T38">
        <v>4</v>
      </c>
      <c r="U38" s="4">
        <v>0</v>
      </c>
      <c r="V38" s="4">
        <v>4</v>
      </c>
      <c r="W38">
        <v>0</v>
      </c>
      <c r="X38">
        <v>0</v>
      </c>
      <c r="Y38">
        <v>0</v>
      </c>
      <c r="Z38" s="4">
        <v>510000</v>
      </c>
      <c r="AA38" s="4">
        <v>475000</v>
      </c>
    </row>
    <row r="39" spans="1:27" x14ac:dyDescent="0.25">
      <c r="A39" s="2" t="s">
        <v>3343</v>
      </c>
      <c r="B39" t="s">
        <v>6109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31</v>
      </c>
      <c r="L39" t="s">
        <v>5407</v>
      </c>
      <c r="M39" t="s">
        <v>6110</v>
      </c>
      <c r="N39" s="4">
        <v>210084.03</v>
      </c>
      <c r="O39" s="4">
        <v>193277.31</v>
      </c>
      <c r="P39">
        <v>0</v>
      </c>
      <c r="Q39">
        <v>0</v>
      </c>
      <c r="R39">
        <v>0</v>
      </c>
      <c r="S39">
        <v>0</v>
      </c>
      <c r="T39">
        <v>0</v>
      </c>
      <c r="U39" s="4">
        <v>0</v>
      </c>
      <c r="V39" s="4">
        <v>0</v>
      </c>
      <c r="W39">
        <v>0</v>
      </c>
      <c r="X39">
        <v>0</v>
      </c>
      <c r="Y39">
        <v>0</v>
      </c>
      <c r="Z39" s="4">
        <v>250000</v>
      </c>
      <c r="AA39" s="4">
        <v>230000</v>
      </c>
    </row>
    <row r="40" spans="1:27" x14ac:dyDescent="0.25">
      <c r="A40" s="2" t="s">
        <v>3345</v>
      </c>
      <c r="B40" t="s">
        <v>6111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8</v>
      </c>
      <c r="L40" t="s">
        <v>5317</v>
      </c>
      <c r="M40" t="s">
        <v>6112</v>
      </c>
      <c r="N40" s="4">
        <v>252100.84</v>
      </c>
      <c r="O40" s="4">
        <v>218487.39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300000</v>
      </c>
      <c r="AA40" s="4">
        <v>260000</v>
      </c>
    </row>
    <row r="41" spans="1:27" x14ac:dyDescent="0.25">
      <c r="A41" s="2" t="s">
        <v>3347</v>
      </c>
      <c r="B41" t="s">
        <v>6113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5317</v>
      </c>
      <c r="M41" t="s">
        <v>6114</v>
      </c>
      <c r="N41" s="4">
        <v>201680.67</v>
      </c>
      <c r="O41" s="4">
        <v>184873.95</v>
      </c>
      <c r="P41">
        <v>0</v>
      </c>
      <c r="Q41">
        <v>0</v>
      </c>
      <c r="R41">
        <v>0</v>
      </c>
      <c r="S41">
        <v>0</v>
      </c>
      <c r="T41">
        <v>0</v>
      </c>
      <c r="U41" s="4">
        <v>0</v>
      </c>
      <c r="V41" s="4">
        <v>0</v>
      </c>
      <c r="W41">
        <v>0</v>
      </c>
      <c r="X41">
        <v>0</v>
      </c>
      <c r="Y41">
        <v>0</v>
      </c>
      <c r="Z41" s="4">
        <v>240000</v>
      </c>
      <c r="AA41" s="4">
        <v>220000</v>
      </c>
    </row>
    <row r="42" spans="1:27" x14ac:dyDescent="0.25">
      <c r="A42" s="2" t="s">
        <v>3349</v>
      </c>
      <c r="B42" t="s">
        <v>6115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3</v>
      </c>
      <c r="L42" t="s">
        <v>5384</v>
      </c>
      <c r="M42" t="s">
        <v>6116</v>
      </c>
      <c r="N42" s="4">
        <v>268907.56</v>
      </c>
      <c r="O42" s="4">
        <v>243697.48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320000</v>
      </c>
      <c r="AA42" s="4">
        <v>290000</v>
      </c>
    </row>
    <row r="43" spans="1:27" x14ac:dyDescent="0.25">
      <c r="A43" s="2" t="s">
        <v>3351</v>
      </c>
      <c r="B43" t="s">
        <v>6117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18</v>
      </c>
      <c r="L43" t="s">
        <v>5282</v>
      </c>
      <c r="M43" t="s">
        <v>5323</v>
      </c>
      <c r="N43" s="4">
        <v>226890.76</v>
      </c>
      <c r="O43" s="4">
        <v>201680.67</v>
      </c>
      <c r="P43">
        <v>0</v>
      </c>
      <c r="Q43">
        <v>0</v>
      </c>
      <c r="R43">
        <v>0</v>
      </c>
      <c r="S43">
        <v>0</v>
      </c>
      <c r="T43">
        <v>4</v>
      </c>
      <c r="U43" s="4">
        <v>0</v>
      </c>
      <c r="V43" s="4">
        <v>4</v>
      </c>
      <c r="W43">
        <v>0</v>
      </c>
      <c r="X43">
        <v>0</v>
      </c>
      <c r="Y43">
        <v>0</v>
      </c>
      <c r="Z43" s="4">
        <v>270000</v>
      </c>
      <c r="AA43" s="4">
        <v>240000</v>
      </c>
    </row>
    <row r="44" spans="1:27" x14ac:dyDescent="0.25">
      <c r="A44" s="2" t="s">
        <v>3353</v>
      </c>
      <c r="B44" t="s">
        <v>5324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8</v>
      </c>
      <c r="L44" t="s">
        <v>5317</v>
      </c>
      <c r="M44" t="s">
        <v>5325</v>
      </c>
      <c r="N44" s="4">
        <v>226890.76</v>
      </c>
      <c r="O44" s="4">
        <v>197478.99</v>
      </c>
      <c r="P44">
        <v>0</v>
      </c>
      <c r="Q44">
        <v>0</v>
      </c>
      <c r="R44">
        <v>0</v>
      </c>
      <c r="S44">
        <v>0</v>
      </c>
      <c r="T44">
        <v>4</v>
      </c>
      <c r="U44" s="4">
        <v>0</v>
      </c>
      <c r="V44" s="4">
        <v>4</v>
      </c>
      <c r="W44">
        <v>0</v>
      </c>
      <c r="X44">
        <v>0</v>
      </c>
      <c r="Y44">
        <v>0</v>
      </c>
      <c r="Z44" s="4">
        <v>270000</v>
      </c>
      <c r="AA44" s="4">
        <v>235000</v>
      </c>
    </row>
    <row r="45" spans="1:27" x14ac:dyDescent="0.25">
      <c r="A45" s="2" t="s">
        <v>3355</v>
      </c>
      <c r="B45" t="s">
        <v>5326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18</v>
      </c>
      <c r="L45" t="s">
        <v>5282</v>
      </c>
      <c r="M45" t="s">
        <v>5327</v>
      </c>
      <c r="N45" s="4">
        <v>411764.71</v>
      </c>
      <c r="O45" s="4">
        <v>378151.26</v>
      </c>
      <c r="P45">
        <v>0</v>
      </c>
      <c r="Q45">
        <v>0</v>
      </c>
      <c r="R45">
        <v>0</v>
      </c>
      <c r="S45">
        <v>0</v>
      </c>
      <c r="T45">
        <v>2</v>
      </c>
      <c r="U45" s="4">
        <v>0</v>
      </c>
      <c r="V45" s="4">
        <v>2</v>
      </c>
      <c r="W45">
        <v>0</v>
      </c>
      <c r="X45">
        <v>0</v>
      </c>
      <c r="Y45">
        <v>0</v>
      </c>
      <c r="Z45" s="4">
        <v>490000</v>
      </c>
      <c r="AA45" s="4">
        <v>450000</v>
      </c>
    </row>
    <row r="46" spans="1:27" x14ac:dyDescent="0.25">
      <c r="A46" s="2" t="s">
        <v>3357</v>
      </c>
      <c r="B46" t="s">
        <v>6118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5317</v>
      </c>
      <c r="M46" t="s">
        <v>6119</v>
      </c>
      <c r="N46" s="4">
        <v>378151.26</v>
      </c>
      <c r="O46" s="4">
        <v>336134.45</v>
      </c>
      <c r="P46">
        <v>0</v>
      </c>
      <c r="Q46">
        <v>0</v>
      </c>
      <c r="R46">
        <v>0</v>
      </c>
      <c r="S46">
        <v>0</v>
      </c>
      <c r="T46">
        <v>0</v>
      </c>
      <c r="U46" s="4">
        <v>0</v>
      </c>
      <c r="V46" s="4">
        <v>0</v>
      </c>
      <c r="W46">
        <v>0</v>
      </c>
      <c r="X46">
        <v>0</v>
      </c>
      <c r="Y46">
        <v>0</v>
      </c>
      <c r="Z46" s="4">
        <v>450000</v>
      </c>
      <c r="AA46" s="4">
        <v>400000</v>
      </c>
    </row>
    <row r="47" spans="1:27" x14ac:dyDescent="0.25">
      <c r="A47" s="2" t="s">
        <v>3359</v>
      </c>
      <c r="B47" t="s">
        <v>5328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8</v>
      </c>
      <c r="L47" t="s">
        <v>5317</v>
      </c>
      <c r="M47" t="s">
        <v>5329</v>
      </c>
      <c r="N47" s="4">
        <v>218487.39</v>
      </c>
      <c r="O47" s="4">
        <v>197478.99</v>
      </c>
      <c r="P47">
        <v>0</v>
      </c>
      <c r="Q47">
        <v>0</v>
      </c>
      <c r="R47">
        <v>0</v>
      </c>
      <c r="S47">
        <v>0</v>
      </c>
      <c r="T47">
        <v>3</v>
      </c>
      <c r="U47" s="4">
        <v>0</v>
      </c>
      <c r="V47" s="4">
        <v>3</v>
      </c>
      <c r="W47">
        <v>0</v>
      </c>
      <c r="X47">
        <v>0</v>
      </c>
      <c r="Y47">
        <v>0</v>
      </c>
      <c r="Z47" s="4">
        <v>260000</v>
      </c>
      <c r="AA47" s="4">
        <v>235000</v>
      </c>
    </row>
    <row r="48" spans="1:27" x14ac:dyDescent="0.25">
      <c r="A48" s="2" t="s">
        <v>3361</v>
      </c>
      <c r="B48" t="s">
        <v>5330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5317</v>
      </c>
      <c r="M48" t="s">
        <v>5331</v>
      </c>
      <c r="N48" s="4">
        <v>268907.56</v>
      </c>
      <c r="O48" s="4">
        <v>235294.12</v>
      </c>
      <c r="P48">
        <v>0</v>
      </c>
      <c r="Q48">
        <v>0</v>
      </c>
      <c r="R48">
        <v>0</v>
      </c>
      <c r="S48">
        <v>0</v>
      </c>
      <c r="T48">
        <v>3</v>
      </c>
      <c r="U48" s="4">
        <v>0</v>
      </c>
      <c r="V48" s="4">
        <v>3</v>
      </c>
      <c r="W48">
        <v>0</v>
      </c>
      <c r="X48">
        <v>0</v>
      </c>
      <c r="Y48">
        <v>0</v>
      </c>
      <c r="Z48" s="4">
        <v>320000</v>
      </c>
      <c r="AA48" s="4">
        <v>280000</v>
      </c>
    </row>
    <row r="49" spans="1:27" x14ac:dyDescent="0.25">
      <c r="A49" s="2" t="s">
        <v>3363</v>
      </c>
      <c r="B49" t="s">
        <v>6120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8</v>
      </c>
      <c r="L49" t="s">
        <v>5317</v>
      </c>
      <c r="M49" t="s">
        <v>5332</v>
      </c>
      <c r="N49" s="4">
        <v>462184.87</v>
      </c>
      <c r="O49" s="4">
        <v>420168.07</v>
      </c>
      <c r="P49">
        <v>0</v>
      </c>
      <c r="Q49">
        <v>0</v>
      </c>
      <c r="R49">
        <v>0</v>
      </c>
      <c r="S49">
        <v>0</v>
      </c>
      <c r="T49">
        <v>1</v>
      </c>
      <c r="U49" s="4">
        <v>0</v>
      </c>
      <c r="V49" s="4">
        <v>1</v>
      </c>
      <c r="W49">
        <v>0</v>
      </c>
      <c r="X49">
        <v>0</v>
      </c>
      <c r="Y49">
        <v>0</v>
      </c>
      <c r="Z49" s="4">
        <v>550000</v>
      </c>
      <c r="AA49" s="4">
        <v>500000</v>
      </c>
    </row>
    <row r="50" spans="1:27" x14ac:dyDescent="0.25">
      <c r="A50" s="2" t="s">
        <v>6121</v>
      </c>
      <c r="B50" t="s">
        <v>6122</v>
      </c>
      <c r="D50">
        <v>1</v>
      </c>
      <c r="E50">
        <v>1</v>
      </c>
      <c r="G50">
        <v>1</v>
      </c>
      <c r="I50" s="4">
        <v>103</v>
      </c>
      <c r="J50" s="4"/>
      <c r="K50">
        <v>18</v>
      </c>
      <c r="L50" t="s">
        <v>5282</v>
      </c>
      <c r="M50" t="s">
        <v>6123</v>
      </c>
      <c r="N50" s="4">
        <v>537788.24</v>
      </c>
      <c r="O50" s="4">
        <v>528376.47</v>
      </c>
      <c r="P50">
        <v>1</v>
      </c>
      <c r="Q50">
        <v>0</v>
      </c>
      <c r="R50">
        <v>0</v>
      </c>
      <c r="S50">
        <v>0</v>
      </c>
      <c r="U50" s="4"/>
      <c r="V50" s="4">
        <v>0</v>
      </c>
      <c r="Y50">
        <v>0</v>
      </c>
      <c r="Z50" s="4">
        <v>639968</v>
      </c>
      <c r="AA50" s="4">
        <v>628768</v>
      </c>
    </row>
    <row r="51" spans="1:27" x14ac:dyDescent="0.25">
      <c r="A51" s="2" t="s">
        <v>3365</v>
      </c>
      <c r="B51" t="s">
        <v>5333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5334</v>
      </c>
      <c r="M51" t="s">
        <v>5335</v>
      </c>
      <c r="N51" s="4">
        <v>697478.99</v>
      </c>
      <c r="O51" s="4">
        <v>630252.1</v>
      </c>
      <c r="P51">
        <v>0</v>
      </c>
      <c r="Q51">
        <v>0</v>
      </c>
      <c r="R51">
        <v>0</v>
      </c>
      <c r="S51">
        <v>0</v>
      </c>
      <c r="T51">
        <v>1</v>
      </c>
      <c r="U51" s="4">
        <v>0</v>
      </c>
      <c r="V51" s="4">
        <v>1</v>
      </c>
      <c r="W51">
        <v>0</v>
      </c>
      <c r="X51">
        <v>0</v>
      </c>
      <c r="Y51">
        <v>0</v>
      </c>
      <c r="Z51" s="4">
        <v>830000</v>
      </c>
      <c r="AA51" s="4">
        <v>750000</v>
      </c>
    </row>
    <row r="52" spans="1:27" x14ac:dyDescent="0.25">
      <c r="A52" s="2" t="s">
        <v>3367</v>
      </c>
      <c r="B52" t="s">
        <v>5336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18</v>
      </c>
      <c r="L52" t="s">
        <v>5282</v>
      </c>
      <c r="M52" t="s">
        <v>5337</v>
      </c>
      <c r="N52" s="4">
        <v>672268.91</v>
      </c>
      <c r="O52" s="4">
        <v>613445.38</v>
      </c>
      <c r="P52">
        <v>0</v>
      </c>
      <c r="Q52">
        <v>0</v>
      </c>
      <c r="R52">
        <v>0</v>
      </c>
      <c r="S52">
        <v>0</v>
      </c>
      <c r="T52">
        <v>2</v>
      </c>
      <c r="U52" s="4">
        <v>0</v>
      </c>
      <c r="V52" s="4">
        <v>2</v>
      </c>
      <c r="W52">
        <v>0</v>
      </c>
      <c r="X52">
        <v>0</v>
      </c>
      <c r="Y52">
        <v>0</v>
      </c>
      <c r="Z52" s="4">
        <v>800000</v>
      </c>
      <c r="AA52" s="4">
        <v>730000</v>
      </c>
    </row>
    <row r="53" spans="1:27" x14ac:dyDescent="0.25">
      <c r="A53" s="2" t="s">
        <v>6124</v>
      </c>
      <c r="B53" t="s">
        <v>6125</v>
      </c>
      <c r="D53">
        <v>1</v>
      </c>
      <c r="E53">
        <v>1</v>
      </c>
      <c r="G53">
        <v>1</v>
      </c>
      <c r="I53" s="4">
        <v>103</v>
      </c>
      <c r="J53" s="4"/>
      <c r="K53">
        <v>0</v>
      </c>
      <c r="L53" t="s">
        <v>5574</v>
      </c>
      <c r="M53" t="s">
        <v>6126</v>
      </c>
      <c r="N53" s="4">
        <v>376470.59</v>
      </c>
      <c r="O53" s="4">
        <v>338823.53</v>
      </c>
      <c r="P53">
        <v>1</v>
      </c>
      <c r="Q53">
        <v>0</v>
      </c>
      <c r="R53">
        <v>0</v>
      </c>
      <c r="S53">
        <v>0</v>
      </c>
      <c r="U53" s="4"/>
      <c r="V53" s="4">
        <v>0</v>
      </c>
      <c r="Y53">
        <v>0</v>
      </c>
      <c r="Z53" s="4">
        <v>448000</v>
      </c>
      <c r="AA53" s="4">
        <v>403200</v>
      </c>
    </row>
    <row r="54" spans="1:27" x14ac:dyDescent="0.25">
      <c r="A54" s="2" t="s">
        <v>3369</v>
      </c>
      <c r="B54" t="s">
        <v>5338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8</v>
      </c>
      <c r="L54" t="s">
        <v>5317</v>
      </c>
      <c r="M54" t="s">
        <v>5339</v>
      </c>
      <c r="N54" s="4">
        <v>428571.43</v>
      </c>
      <c r="O54" s="4">
        <v>394957.98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510000</v>
      </c>
      <c r="AA54" s="4">
        <v>470000</v>
      </c>
    </row>
    <row r="55" spans="1:27" x14ac:dyDescent="0.25">
      <c r="A55" s="2" t="s">
        <v>3371</v>
      </c>
      <c r="B55" t="s">
        <v>6127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8</v>
      </c>
      <c r="L55" t="s">
        <v>5317</v>
      </c>
      <c r="M55">
        <v>5268413</v>
      </c>
      <c r="N55" s="4">
        <v>504201.68</v>
      </c>
      <c r="O55" s="4">
        <v>445378.15</v>
      </c>
      <c r="P55">
        <v>0</v>
      </c>
      <c r="Q55">
        <v>0</v>
      </c>
      <c r="R55">
        <v>0</v>
      </c>
      <c r="S55">
        <v>0</v>
      </c>
      <c r="T55">
        <v>0</v>
      </c>
      <c r="U55" s="4">
        <v>0</v>
      </c>
      <c r="V55" s="4">
        <v>0</v>
      </c>
      <c r="W55">
        <v>0</v>
      </c>
      <c r="X55">
        <v>0</v>
      </c>
      <c r="Y55">
        <v>0</v>
      </c>
      <c r="Z55" s="4">
        <v>600000</v>
      </c>
      <c r="AA55" s="4">
        <v>530000</v>
      </c>
    </row>
    <row r="56" spans="1:27" x14ac:dyDescent="0.25">
      <c r="A56" s="2" t="s">
        <v>3373</v>
      </c>
      <c r="B56" t="s">
        <v>5340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5279</v>
      </c>
      <c r="M56" t="s">
        <v>5341</v>
      </c>
      <c r="N56" s="4">
        <v>201680.67</v>
      </c>
      <c r="O56" s="4">
        <v>180672.27</v>
      </c>
      <c r="P56">
        <v>0</v>
      </c>
      <c r="Q56">
        <v>0</v>
      </c>
      <c r="R56">
        <v>0</v>
      </c>
      <c r="S56">
        <v>0</v>
      </c>
      <c r="T56">
        <v>2</v>
      </c>
      <c r="U56" s="4">
        <v>0</v>
      </c>
      <c r="V56" s="4">
        <v>2</v>
      </c>
      <c r="W56">
        <v>0</v>
      </c>
      <c r="X56">
        <v>0</v>
      </c>
      <c r="Y56">
        <v>0</v>
      </c>
      <c r="Z56" s="4">
        <v>240000</v>
      </c>
      <c r="AA56" s="4">
        <v>215000</v>
      </c>
    </row>
    <row r="57" spans="1:27" x14ac:dyDescent="0.25">
      <c r="A57" s="2" t="s">
        <v>6128</v>
      </c>
      <c r="B57" t="s">
        <v>6129</v>
      </c>
      <c r="D57">
        <v>1</v>
      </c>
      <c r="E57">
        <v>1</v>
      </c>
      <c r="G57">
        <v>1</v>
      </c>
      <c r="I57" s="4">
        <v>103</v>
      </c>
      <c r="J57" s="4"/>
      <c r="K57">
        <v>22</v>
      </c>
      <c r="L57" t="s">
        <v>6130</v>
      </c>
      <c r="M57" t="s">
        <v>6131</v>
      </c>
      <c r="N57" s="4">
        <v>352941.18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420000</v>
      </c>
      <c r="AA57" s="4">
        <v>396480</v>
      </c>
    </row>
    <row r="58" spans="1:27" x14ac:dyDescent="0.25">
      <c r="A58" s="2" t="s">
        <v>6132</v>
      </c>
      <c r="B58" t="s">
        <v>6133</v>
      </c>
      <c r="D58">
        <v>1</v>
      </c>
      <c r="E58">
        <v>1</v>
      </c>
      <c r="G58">
        <v>1</v>
      </c>
      <c r="I58" s="4">
        <v>103</v>
      </c>
      <c r="J58" s="4"/>
      <c r="K58">
        <v>29</v>
      </c>
      <c r="L58" t="s">
        <v>5291</v>
      </c>
      <c r="M58" t="s">
        <v>6134</v>
      </c>
      <c r="N58" s="4">
        <v>527058.81999999995</v>
      </c>
      <c r="O58" s="4">
        <v>480000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627200</v>
      </c>
      <c r="AA58" s="4">
        <v>571200</v>
      </c>
    </row>
    <row r="59" spans="1:27" x14ac:dyDescent="0.25">
      <c r="A59" s="2" t="s">
        <v>3375</v>
      </c>
      <c r="B59" t="s">
        <v>5342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8</v>
      </c>
      <c r="L59" t="s">
        <v>5317</v>
      </c>
      <c r="M59" t="s">
        <v>5343</v>
      </c>
      <c r="N59" s="4">
        <v>231092.44</v>
      </c>
      <c r="O59" s="4">
        <v>210084.03</v>
      </c>
      <c r="P59">
        <v>0</v>
      </c>
      <c r="Q59">
        <v>0</v>
      </c>
      <c r="R59">
        <v>0</v>
      </c>
      <c r="S59">
        <v>0</v>
      </c>
      <c r="T59">
        <v>6</v>
      </c>
      <c r="U59" s="4">
        <v>0</v>
      </c>
      <c r="V59" s="4">
        <v>6</v>
      </c>
      <c r="W59">
        <v>0</v>
      </c>
      <c r="X59">
        <v>0</v>
      </c>
      <c r="Y59">
        <v>0</v>
      </c>
      <c r="Z59" s="4">
        <v>275000</v>
      </c>
      <c r="AA59" s="4">
        <v>250000</v>
      </c>
    </row>
    <row r="60" spans="1:27" x14ac:dyDescent="0.25">
      <c r="A60" s="2" t="s">
        <v>3377</v>
      </c>
      <c r="B60" t="s">
        <v>5344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8</v>
      </c>
      <c r="L60" t="s">
        <v>5317</v>
      </c>
      <c r="M60" t="s">
        <v>5345</v>
      </c>
      <c r="N60" s="4">
        <v>235294.12</v>
      </c>
      <c r="O60" s="4">
        <v>214285.71</v>
      </c>
      <c r="P60">
        <v>0</v>
      </c>
      <c r="Q60">
        <v>0</v>
      </c>
      <c r="R60">
        <v>0</v>
      </c>
      <c r="S60">
        <v>0</v>
      </c>
      <c r="T60">
        <v>4</v>
      </c>
      <c r="U60" s="4">
        <v>0</v>
      </c>
      <c r="V60" s="4">
        <v>4</v>
      </c>
      <c r="W60">
        <v>0</v>
      </c>
      <c r="X60">
        <v>0</v>
      </c>
      <c r="Y60">
        <v>0</v>
      </c>
      <c r="Z60" s="4">
        <v>280000</v>
      </c>
      <c r="AA60" s="4">
        <v>255000</v>
      </c>
    </row>
    <row r="61" spans="1:27" x14ac:dyDescent="0.25">
      <c r="A61" s="2" t="s">
        <v>3379</v>
      </c>
      <c r="B61" t="s">
        <v>5346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8</v>
      </c>
      <c r="L61" t="s">
        <v>5317</v>
      </c>
      <c r="M61" t="s">
        <v>5347</v>
      </c>
      <c r="N61" s="4">
        <v>301176.46999999997</v>
      </c>
      <c r="O61" s="4">
        <v>272941.18</v>
      </c>
      <c r="P61">
        <v>1</v>
      </c>
      <c r="Q61">
        <v>0</v>
      </c>
      <c r="R61">
        <v>0</v>
      </c>
      <c r="S61">
        <v>0</v>
      </c>
      <c r="T61">
        <v>0</v>
      </c>
      <c r="U61" s="4">
        <v>0</v>
      </c>
      <c r="V61" s="4">
        <v>0</v>
      </c>
      <c r="W61">
        <v>0</v>
      </c>
      <c r="X61">
        <v>0</v>
      </c>
      <c r="Y61">
        <v>0</v>
      </c>
      <c r="Z61" s="4">
        <v>358400</v>
      </c>
      <c r="AA61" s="4">
        <v>324800</v>
      </c>
    </row>
    <row r="62" spans="1:27" x14ac:dyDescent="0.25">
      <c r="A62" s="2" t="s">
        <v>3381</v>
      </c>
      <c r="B62" t="s">
        <v>5348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35</v>
      </c>
      <c r="L62" t="s">
        <v>5294</v>
      </c>
      <c r="M62" t="s">
        <v>5349</v>
      </c>
      <c r="N62" s="4">
        <v>277310.92</v>
      </c>
      <c r="O62" s="4">
        <v>252100.84</v>
      </c>
      <c r="P62">
        <v>0</v>
      </c>
      <c r="Q62">
        <v>0</v>
      </c>
      <c r="R62">
        <v>0</v>
      </c>
      <c r="S62">
        <v>0</v>
      </c>
      <c r="T62">
        <v>0</v>
      </c>
      <c r="U62" s="4">
        <v>0</v>
      </c>
      <c r="V62" s="4">
        <v>0</v>
      </c>
      <c r="W62">
        <v>0</v>
      </c>
      <c r="X62">
        <v>0</v>
      </c>
      <c r="Y62">
        <v>0</v>
      </c>
      <c r="Z62" s="4">
        <v>330000</v>
      </c>
      <c r="AA62" s="4">
        <v>300000</v>
      </c>
    </row>
    <row r="63" spans="1:27" x14ac:dyDescent="0.25">
      <c r="A63" s="2" t="s">
        <v>3383</v>
      </c>
      <c r="B63" t="s">
        <v>5350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12</v>
      </c>
      <c r="L63" t="s">
        <v>5279</v>
      </c>
      <c r="M63" t="s">
        <v>5351</v>
      </c>
      <c r="N63" s="4">
        <v>226890.76</v>
      </c>
      <c r="O63" s="4">
        <v>201680.67</v>
      </c>
      <c r="P63">
        <v>0</v>
      </c>
      <c r="Q63">
        <v>0</v>
      </c>
      <c r="R63">
        <v>0</v>
      </c>
      <c r="S63">
        <v>0</v>
      </c>
      <c r="T63">
        <v>5</v>
      </c>
      <c r="U63" s="4">
        <v>0</v>
      </c>
      <c r="V63" s="4">
        <v>5</v>
      </c>
      <c r="W63">
        <v>0</v>
      </c>
      <c r="X63">
        <v>0</v>
      </c>
      <c r="Y63">
        <v>0</v>
      </c>
      <c r="Z63" s="4">
        <v>270000</v>
      </c>
      <c r="AA63" s="4">
        <v>240000</v>
      </c>
    </row>
    <row r="64" spans="1:27" x14ac:dyDescent="0.25">
      <c r="A64" s="2" t="s">
        <v>3385</v>
      </c>
      <c r="B64" t="s">
        <v>6135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5317</v>
      </c>
      <c r="M64" t="s">
        <v>5352</v>
      </c>
      <c r="N64" s="4">
        <v>235294.12</v>
      </c>
      <c r="O64" s="4">
        <v>210084.03</v>
      </c>
      <c r="P64">
        <v>0</v>
      </c>
      <c r="Q64">
        <v>0</v>
      </c>
      <c r="R64">
        <v>0</v>
      </c>
      <c r="S64">
        <v>0</v>
      </c>
      <c r="T64">
        <v>3</v>
      </c>
      <c r="U64" s="4">
        <v>0</v>
      </c>
      <c r="V64" s="4">
        <v>3</v>
      </c>
      <c r="W64">
        <v>0</v>
      </c>
      <c r="X64">
        <v>0</v>
      </c>
      <c r="Y64">
        <v>0</v>
      </c>
      <c r="Z64" s="4">
        <v>280000</v>
      </c>
      <c r="AA64" s="4">
        <v>250000</v>
      </c>
    </row>
    <row r="65" spans="1:27" x14ac:dyDescent="0.25">
      <c r="A65" s="2" t="s">
        <v>3387</v>
      </c>
      <c r="B65" t="s">
        <v>5353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37</v>
      </c>
      <c r="L65" t="s">
        <v>5288</v>
      </c>
      <c r="M65" t="s">
        <v>5354</v>
      </c>
      <c r="N65" s="4">
        <v>235294.12</v>
      </c>
      <c r="O65" s="4">
        <v>214285.71</v>
      </c>
      <c r="P65">
        <v>0</v>
      </c>
      <c r="Q65">
        <v>0</v>
      </c>
      <c r="R65">
        <v>0</v>
      </c>
      <c r="S65">
        <v>0</v>
      </c>
      <c r="T65">
        <v>8</v>
      </c>
      <c r="U65" s="4">
        <v>0</v>
      </c>
      <c r="V65" s="4">
        <v>8</v>
      </c>
      <c r="W65">
        <v>0</v>
      </c>
      <c r="X65">
        <v>0</v>
      </c>
      <c r="Y65">
        <v>0</v>
      </c>
      <c r="Z65" s="4">
        <v>280000</v>
      </c>
      <c r="AA65" s="4">
        <v>255000</v>
      </c>
    </row>
    <row r="66" spans="1:27" x14ac:dyDescent="0.25">
      <c r="A66" s="2" t="s">
        <v>3389</v>
      </c>
      <c r="B66" t="s">
        <v>6136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35</v>
      </c>
      <c r="L66" t="s">
        <v>5294</v>
      </c>
      <c r="M66" t="s">
        <v>6137</v>
      </c>
      <c r="N66" s="4">
        <v>336134.45</v>
      </c>
      <c r="O66" s="4">
        <v>302521.01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400000</v>
      </c>
      <c r="AA66" s="4">
        <v>360000</v>
      </c>
    </row>
    <row r="67" spans="1:27" x14ac:dyDescent="0.25">
      <c r="A67" s="2" t="s">
        <v>3391</v>
      </c>
      <c r="B67" t="s">
        <v>5355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8</v>
      </c>
      <c r="L67" t="s">
        <v>5317</v>
      </c>
      <c r="M67" t="s">
        <v>5356</v>
      </c>
      <c r="N67" s="4">
        <v>243697.48</v>
      </c>
      <c r="O67" s="4">
        <v>218487.39</v>
      </c>
      <c r="P67">
        <v>0</v>
      </c>
      <c r="Q67">
        <v>0</v>
      </c>
      <c r="R67">
        <v>0</v>
      </c>
      <c r="S67">
        <v>0</v>
      </c>
      <c r="T67">
        <v>9</v>
      </c>
      <c r="U67" s="4">
        <v>0</v>
      </c>
      <c r="V67" s="4">
        <v>9</v>
      </c>
      <c r="W67">
        <v>0</v>
      </c>
      <c r="X67">
        <v>0</v>
      </c>
      <c r="Y67">
        <v>0</v>
      </c>
      <c r="Z67" s="4">
        <v>290000</v>
      </c>
      <c r="AA67" s="4">
        <v>260000</v>
      </c>
    </row>
    <row r="68" spans="1:27" x14ac:dyDescent="0.25">
      <c r="A68" s="2" t="s">
        <v>3393</v>
      </c>
      <c r="B68" t="s">
        <v>5357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59</v>
      </c>
      <c r="L68" t="s">
        <v>5285</v>
      </c>
      <c r="M68" t="s">
        <v>5358</v>
      </c>
      <c r="N68" s="4">
        <v>369747.9</v>
      </c>
      <c r="O68" s="4">
        <v>336134.45</v>
      </c>
      <c r="P68">
        <v>0</v>
      </c>
      <c r="Q68">
        <v>0</v>
      </c>
      <c r="R68">
        <v>0</v>
      </c>
      <c r="S68">
        <v>0</v>
      </c>
      <c r="T68">
        <v>1</v>
      </c>
      <c r="U68" s="4">
        <v>0</v>
      </c>
      <c r="V68" s="4">
        <v>1</v>
      </c>
      <c r="W68">
        <v>0</v>
      </c>
      <c r="X68">
        <v>0</v>
      </c>
      <c r="Y68">
        <v>0</v>
      </c>
      <c r="Z68" s="4">
        <v>440000</v>
      </c>
      <c r="AA68" s="4">
        <v>400000</v>
      </c>
    </row>
    <row r="69" spans="1:27" x14ac:dyDescent="0.25">
      <c r="A69" s="2" t="s">
        <v>3395</v>
      </c>
      <c r="B69" t="s">
        <v>5359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12</v>
      </c>
      <c r="L69" t="s">
        <v>5279</v>
      </c>
      <c r="M69" t="s">
        <v>5360</v>
      </c>
      <c r="N69" s="4">
        <v>216470.59</v>
      </c>
      <c r="O69" s="4">
        <v>207058.82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257600</v>
      </c>
      <c r="AA69" s="4">
        <v>246400</v>
      </c>
    </row>
    <row r="70" spans="1:27" x14ac:dyDescent="0.25">
      <c r="A70" s="2" t="s">
        <v>3397</v>
      </c>
      <c r="B70" t="s">
        <v>5361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35</v>
      </c>
      <c r="L70" t="s">
        <v>5294</v>
      </c>
      <c r="M70" t="s">
        <v>5362</v>
      </c>
      <c r="N70" s="4">
        <v>462184.87</v>
      </c>
      <c r="O70" s="4">
        <v>394957.98</v>
      </c>
      <c r="P70">
        <v>0</v>
      </c>
      <c r="Q70">
        <v>0</v>
      </c>
      <c r="R70">
        <v>0</v>
      </c>
      <c r="S70">
        <v>0</v>
      </c>
      <c r="T70">
        <v>2</v>
      </c>
      <c r="U70" s="4">
        <v>0</v>
      </c>
      <c r="V70" s="4">
        <v>2</v>
      </c>
      <c r="W70">
        <v>0</v>
      </c>
      <c r="X70">
        <v>0</v>
      </c>
      <c r="Y70">
        <v>0</v>
      </c>
      <c r="Z70" s="4">
        <v>550000</v>
      </c>
      <c r="AA70" s="4">
        <v>470000</v>
      </c>
    </row>
    <row r="71" spans="1:27" x14ac:dyDescent="0.25">
      <c r="A71" s="2" t="s">
        <v>3399</v>
      </c>
      <c r="B71" t="s">
        <v>6138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35</v>
      </c>
      <c r="L71" t="s">
        <v>5294</v>
      </c>
      <c r="M71" t="s">
        <v>6139</v>
      </c>
      <c r="N71" s="4">
        <v>470588.24</v>
      </c>
      <c r="O71" s="4">
        <v>428571.43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560000</v>
      </c>
      <c r="AA71" s="4">
        <v>510000</v>
      </c>
    </row>
    <row r="72" spans="1:27" x14ac:dyDescent="0.25">
      <c r="A72" s="2" t="s">
        <v>3401</v>
      </c>
      <c r="B72" t="s">
        <v>5363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35</v>
      </c>
      <c r="L72" t="s">
        <v>5294</v>
      </c>
      <c r="M72" t="s">
        <v>5364</v>
      </c>
      <c r="N72" s="4">
        <v>894117.65</v>
      </c>
      <c r="O72" s="4">
        <v>800000</v>
      </c>
      <c r="P72">
        <v>0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1064000</v>
      </c>
      <c r="AA72" s="4">
        <v>952000</v>
      </c>
    </row>
    <row r="73" spans="1:27" x14ac:dyDescent="0.25">
      <c r="A73" s="2" t="s">
        <v>3403</v>
      </c>
      <c r="B73" t="s">
        <v>5365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8</v>
      </c>
      <c r="L73" t="s">
        <v>5317</v>
      </c>
      <c r="M73" t="s">
        <v>5366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1</v>
      </c>
      <c r="U73" s="4">
        <v>0</v>
      </c>
      <c r="V73" s="4">
        <v>1</v>
      </c>
      <c r="W73">
        <v>0</v>
      </c>
      <c r="X73">
        <v>0</v>
      </c>
      <c r="Y73">
        <v>0</v>
      </c>
      <c r="Z73" s="4">
        <v>290000</v>
      </c>
      <c r="AA73" s="4">
        <v>260000</v>
      </c>
    </row>
    <row r="74" spans="1:27" x14ac:dyDescent="0.25">
      <c r="A74" s="2" t="s">
        <v>3405</v>
      </c>
      <c r="B74" t="s">
        <v>6140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35</v>
      </c>
      <c r="L74" t="s">
        <v>5294</v>
      </c>
      <c r="M74" t="s">
        <v>6141</v>
      </c>
      <c r="N74" s="4">
        <v>647058.81999999995</v>
      </c>
      <c r="O74" s="4">
        <v>588235.29</v>
      </c>
      <c r="P74">
        <v>0</v>
      </c>
      <c r="Q74">
        <v>0</v>
      </c>
      <c r="R74">
        <v>0</v>
      </c>
      <c r="S74">
        <v>0</v>
      </c>
      <c r="T74">
        <v>0</v>
      </c>
      <c r="U74" s="4">
        <v>0</v>
      </c>
      <c r="V74" s="4">
        <v>0</v>
      </c>
      <c r="W74">
        <v>0</v>
      </c>
      <c r="X74">
        <v>0</v>
      </c>
      <c r="Y74">
        <v>0</v>
      </c>
      <c r="Z74" s="4">
        <v>770000</v>
      </c>
      <c r="AA74" s="4">
        <v>700000</v>
      </c>
    </row>
    <row r="75" spans="1:27" x14ac:dyDescent="0.25">
      <c r="A75" s="2" t="s">
        <v>3407</v>
      </c>
      <c r="B75" t="s">
        <v>6142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35</v>
      </c>
      <c r="L75" t="s">
        <v>5294</v>
      </c>
      <c r="M75" t="s">
        <v>6143</v>
      </c>
      <c r="N75" s="4">
        <v>521008.4</v>
      </c>
      <c r="O75" s="4">
        <v>470588.24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0</v>
      </c>
      <c r="V75" s="4">
        <v>0</v>
      </c>
      <c r="W75">
        <v>0</v>
      </c>
      <c r="X75">
        <v>0</v>
      </c>
      <c r="Y75">
        <v>0</v>
      </c>
      <c r="Z75" s="4">
        <v>620000</v>
      </c>
      <c r="AA75" s="4">
        <v>560000</v>
      </c>
    </row>
    <row r="76" spans="1:27" x14ac:dyDescent="0.25">
      <c r="A76" s="2" t="s">
        <v>3409</v>
      </c>
      <c r="B76" t="s">
        <v>5367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35</v>
      </c>
      <c r="L76" t="s">
        <v>5294</v>
      </c>
      <c r="M76" t="s">
        <v>5368</v>
      </c>
      <c r="N76" s="4">
        <v>1134453.78</v>
      </c>
      <c r="O76" s="4">
        <v>1067226.8899999999</v>
      </c>
      <c r="P76">
        <v>0</v>
      </c>
      <c r="Q76">
        <v>0</v>
      </c>
      <c r="R76">
        <v>0</v>
      </c>
      <c r="S76">
        <v>0</v>
      </c>
      <c r="T76">
        <v>5</v>
      </c>
      <c r="U76" s="4">
        <v>0</v>
      </c>
      <c r="V76" s="4">
        <v>5</v>
      </c>
      <c r="W76">
        <v>0</v>
      </c>
      <c r="X76">
        <v>0</v>
      </c>
      <c r="Y76">
        <v>0</v>
      </c>
      <c r="Z76" s="4">
        <v>1350000</v>
      </c>
      <c r="AA76" s="4">
        <v>1270000</v>
      </c>
    </row>
    <row r="77" spans="1:27" x14ac:dyDescent="0.25">
      <c r="A77" s="2" t="s">
        <v>3411</v>
      </c>
      <c r="B77" t="s">
        <v>5369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35</v>
      </c>
      <c r="L77" t="s">
        <v>5294</v>
      </c>
      <c r="M77" t="s">
        <v>5370</v>
      </c>
      <c r="N77" s="4">
        <v>554621.85</v>
      </c>
      <c r="O77" s="4">
        <v>504201.68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660000</v>
      </c>
      <c r="AA77" s="4">
        <v>600000</v>
      </c>
    </row>
    <row r="78" spans="1:27" x14ac:dyDescent="0.25">
      <c r="A78" s="2" t="s">
        <v>3413</v>
      </c>
      <c r="B78" t="s">
        <v>5371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33</v>
      </c>
      <c r="L78" t="s">
        <v>5297</v>
      </c>
      <c r="M78" t="s">
        <v>5372</v>
      </c>
      <c r="N78" s="4">
        <v>924369.75</v>
      </c>
      <c r="O78" s="4">
        <v>831932.77</v>
      </c>
      <c r="P78">
        <v>0</v>
      </c>
      <c r="Q78">
        <v>0</v>
      </c>
      <c r="R78">
        <v>0</v>
      </c>
      <c r="S78">
        <v>0</v>
      </c>
      <c r="T78">
        <v>3</v>
      </c>
      <c r="U78" s="4">
        <v>0</v>
      </c>
      <c r="V78" s="4">
        <v>3</v>
      </c>
      <c r="W78">
        <v>0</v>
      </c>
      <c r="X78">
        <v>0</v>
      </c>
      <c r="Y78">
        <v>0</v>
      </c>
      <c r="Z78" s="4">
        <v>1100000</v>
      </c>
      <c r="AA78" s="4">
        <v>990000</v>
      </c>
    </row>
    <row r="79" spans="1:27" x14ac:dyDescent="0.25">
      <c r="A79" s="2" t="s">
        <v>3415</v>
      </c>
      <c r="B79" t="s">
        <v>6144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8</v>
      </c>
      <c r="L79" t="s">
        <v>5317</v>
      </c>
      <c r="M79" t="s">
        <v>6145</v>
      </c>
      <c r="N79" s="4">
        <v>1218487.3899999999</v>
      </c>
      <c r="O79" s="4">
        <v>1092436.97</v>
      </c>
      <c r="P79">
        <v>0</v>
      </c>
      <c r="Q79">
        <v>0</v>
      </c>
      <c r="R79">
        <v>0</v>
      </c>
      <c r="S79">
        <v>0</v>
      </c>
      <c r="T79">
        <v>3</v>
      </c>
      <c r="U79" s="4">
        <v>0</v>
      </c>
      <c r="V79" s="4">
        <v>3</v>
      </c>
      <c r="W79">
        <v>0</v>
      </c>
      <c r="X79">
        <v>0</v>
      </c>
      <c r="Y79">
        <v>0</v>
      </c>
      <c r="Z79" s="4">
        <v>1450000</v>
      </c>
      <c r="AA79" s="4">
        <v>1300000</v>
      </c>
    </row>
    <row r="80" spans="1:27" x14ac:dyDescent="0.25">
      <c r="A80" s="2" t="s">
        <v>3417</v>
      </c>
      <c r="B80" t="s">
        <v>5373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35</v>
      </c>
      <c r="L80" t="s">
        <v>5294</v>
      </c>
      <c r="M80" t="s">
        <v>5374</v>
      </c>
      <c r="N80" s="4">
        <v>336134.45</v>
      </c>
      <c r="O80" s="4">
        <v>303361.34000000003</v>
      </c>
      <c r="P80">
        <v>0</v>
      </c>
      <c r="Q80">
        <v>0</v>
      </c>
      <c r="R80">
        <v>0</v>
      </c>
      <c r="S80">
        <v>0</v>
      </c>
      <c r="T80">
        <v>3</v>
      </c>
      <c r="U80" s="4">
        <v>0</v>
      </c>
      <c r="V80" s="4">
        <v>3</v>
      </c>
      <c r="W80">
        <v>0</v>
      </c>
      <c r="X80">
        <v>0</v>
      </c>
      <c r="Y80">
        <v>0</v>
      </c>
      <c r="Z80" s="4">
        <v>400000</v>
      </c>
      <c r="AA80" s="4">
        <v>361000</v>
      </c>
    </row>
    <row r="81" spans="1:27" x14ac:dyDescent="0.25">
      <c r="A81" s="2" t="s">
        <v>3419</v>
      </c>
      <c r="B81" t="s">
        <v>5375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5317</v>
      </c>
      <c r="M81" t="s">
        <v>5376</v>
      </c>
      <c r="N81" s="4">
        <v>210084.03</v>
      </c>
      <c r="O81" s="4">
        <v>193277.31</v>
      </c>
      <c r="P81">
        <v>0</v>
      </c>
      <c r="Q81">
        <v>0</v>
      </c>
      <c r="R81">
        <v>0</v>
      </c>
      <c r="S81">
        <v>0</v>
      </c>
      <c r="T81">
        <v>6</v>
      </c>
      <c r="U81" s="4">
        <v>0</v>
      </c>
      <c r="V81" s="4">
        <v>6</v>
      </c>
      <c r="W81">
        <v>0</v>
      </c>
      <c r="X81">
        <v>0</v>
      </c>
      <c r="Y81">
        <v>0</v>
      </c>
      <c r="Z81" s="4">
        <v>250000</v>
      </c>
      <c r="AA81" s="4">
        <v>230000</v>
      </c>
    </row>
    <row r="82" spans="1:27" x14ac:dyDescent="0.25">
      <c r="A82" s="2" t="s">
        <v>3421</v>
      </c>
      <c r="B82" t="s">
        <v>5377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4</v>
      </c>
      <c r="L82" t="s">
        <v>5334</v>
      </c>
      <c r="M82" t="s">
        <v>5378</v>
      </c>
      <c r="N82" s="4">
        <v>546218.49</v>
      </c>
      <c r="O82" s="4">
        <v>491596.64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650000</v>
      </c>
      <c r="AA82" s="4">
        <v>585000</v>
      </c>
    </row>
    <row r="83" spans="1:27" x14ac:dyDescent="0.25">
      <c r="A83" s="2" t="s">
        <v>6146</v>
      </c>
      <c r="B83" t="s">
        <v>6147</v>
      </c>
      <c r="D83">
        <v>1</v>
      </c>
      <c r="E83">
        <v>1</v>
      </c>
      <c r="G83">
        <v>1</v>
      </c>
      <c r="I83" s="4">
        <v>103</v>
      </c>
      <c r="J83" s="4"/>
      <c r="K83">
        <v>0</v>
      </c>
      <c r="L83" t="s">
        <v>5574</v>
      </c>
      <c r="M83" t="s">
        <v>6148</v>
      </c>
      <c r="N83" s="4">
        <v>1.1200000000000001</v>
      </c>
      <c r="O83" s="4">
        <v>1.1200000000000001</v>
      </c>
      <c r="P83">
        <v>1</v>
      </c>
      <c r="Q83">
        <v>0</v>
      </c>
      <c r="R83">
        <v>0</v>
      </c>
      <c r="S83">
        <v>0</v>
      </c>
      <c r="U83" s="4"/>
      <c r="V83" s="4">
        <v>0</v>
      </c>
      <c r="Y83">
        <v>0</v>
      </c>
      <c r="Z83" s="4">
        <v>1.33</v>
      </c>
      <c r="AA83" s="4">
        <v>1.33</v>
      </c>
    </row>
    <row r="84" spans="1:27" x14ac:dyDescent="0.25">
      <c r="A84" s="2" t="s">
        <v>6149</v>
      </c>
      <c r="B84" t="s">
        <v>6150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5294</v>
      </c>
      <c r="M84" t="s">
        <v>6151</v>
      </c>
      <c r="N84" s="4">
        <v>395294.12</v>
      </c>
      <c r="O84" s="4">
        <v>357647.06</v>
      </c>
      <c r="P84">
        <v>1</v>
      </c>
      <c r="Q84">
        <v>0</v>
      </c>
      <c r="R84">
        <v>0</v>
      </c>
      <c r="S84">
        <v>0</v>
      </c>
      <c r="T84">
        <v>0</v>
      </c>
      <c r="U84" s="4">
        <v>0</v>
      </c>
      <c r="V84" s="4">
        <v>0</v>
      </c>
      <c r="W84">
        <v>0</v>
      </c>
      <c r="X84">
        <v>0</v>
      </c>
      <c r="Y84">
        <v>0</v>
      </c>
      <c r="Z84" s="4">
        <v>470400</v>
      </c>
      <c r="AA84" s="4">
        <v>425600</v>
      </c>
    </row>
    <row r="85" spans="1:27" x14ac:dyDescent="0.25">
      <c r="A85" s="2" t="s">
        <v>3423</v>
      </c>
      <c r="B85" t="s">
        <v>5379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59</v>
      </c>
      <c r="L85" t="s">
        <v>5285</v>
      </c>
      <c r="M85" t="s">
        <v>5380</v>
      </c>
      <c r="N85" s="4">
        <v>235294.12</v>
      </c>
      <c r="O85" s="4">
        <v>210084.03</v>
      </c>
      <c r="P85">
        <v>0</v>
      </c>
      <c r="Q85">
        <v>0</v>
      </c>
      <c r="R85">
        <v>0</v>
      </c>
      <c r="S85">
        <v>0</v>
      </c>
      <c r="T85">
        <v>1</v>
      </c>
      <c r="U85" s="4">
        <v>0</v>
      </c>
      <c r="V85" s="4">
        <v>1</v>
      </c>
      <c r="W85">
        <v>0</v>
      </c>
      <c r="X85">
        <v>0</v>
      </c>
      <c r="Y85">
        <v>0</v>
      </c>
      <c r="Z85" s="4">
        <v>280000</v>
      </c>
      <c r="AA85" s="4">
        <v>250000</v>
      </c>
    </row>
    <row r="86" spans="1:27" x14ac:dyDescent="0.25">
      <c r="A86" s="2" t="s">
        <v>3425</v>
      </c>
      <c r="B86" t="s">
        <v>5381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18</v>
      </c>
      <c r="L86" t="s">
        <v>5282</v>
      </c>
      <c r="M86" t="s">
        <v>5382</v>
      </c>
      <c r="N86" s="4">
        <v>243697.48</v>
      </c>
      <c r="O86" s="4">
        <v>214285.71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290000</v>
      </c>
      <c r="AA86" s="4">
        <v>255000</v>
      </c>
    </row>
    <row r="87" spans="1:27" x14ac:dyDescent="0.25">
      <c r="A87" s="2" t="s">
        <v>3427</v>
      </c>
      <c r="B87" t="s">
        <v>5290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5317</v>
      </c>
      <c r="M87" t="s">
        <v>6152</v>
      </c>
      <c r="N87" s="4">
        <v>205882.35</v>
      </c>
      <c r="O87" s="4">
        <v>184873.95</v>
      </c>
      <c r="P87">
        <v>0</v>
      </c>
      <c r="Q87">
        <v>0</v>
      </c>
      <c r="R87">
        <v>0</v>
      </c>
      <c r="S87">
        <v>0</v>
      </c>
      <c r="T87">
        <v>4</v>
      </c>
      <c r="U87" s="4">
        <v>0</v>
      </c>
      <c r="V87" s="4">
        <v>4</v>
      </c>
      <c r="W87">
        <v>0</v>
      </c>
      <c r="X87">
        <v>0</v>
      </c>
      <c r="Y87">
        <v>0</v>
      </c>
      <c r="Z87" s="4">
        <v>245000</v>
      </c>
      <c r="AA87" s="4">
        <v>220000</v>
      </c>
    </row>
    <row r="88" spans="1:27" x14ac:dyDescent="0.25">
      <c r="A88" s="2" t="s">
        <v>3429</v>
      </c>
      <c r="B88" t="s">
        <v>5383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3</v>
      </c>
      <c r="L88" t="s">
        <v>5384</v>
      </c>
      <c r="M88" t="s">
        <v>5385</v>
      </c>
      <c r="N88" s="4">
        <v>369747.9</v>
      </c>
      <c r="O88" s="4">
        <v>337815.13</v>
      </c>
      <c r="P88">
        <v>0</v>
      </c>
      <c r="Q88">
        <v>0</v>
      </c>
      <c r="R88">
        <v>0</v>
      </c>
      <c r="S88">
        <v>0</v>
      </c>
      <c r="T88">
        <v>5</v>
      </c>
      <c r="U88" s="4">
        <v>0</v>
      </c>
      <c r="V88" s="4">
        <v>5</v>
      </c>
      <c r="W88">
        <v>0</v>
      </c>
      <c r="X88">
        <v>0</v>
      </c>
      <c r="Y88">
        <v>0</v>
      </c>
      <c r="Z88" s="4">
        <v>440000</v>
      </c>
      <c r="AA88" s="4">
        <v>402000</v>
      </c>
    </row>
    <row r="89" spans="1:27" x14ac:dyDescent="0.25">
      <c r="A89" s="2" t="s">
        <v>3431</v>
      </c>
      <c r="B89" t="s">
        <v>5386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12</v>
      </c>
      <c r="L89" t="s">
        <v>5279</v>
      </c>
      <c r="M89" t="s">
        <v>5387</v>
      </c>
      <c r="N89" s="4">
        <v>436974.79</v>
      </c>
      <c r="O89" s="4">
        <v>394957.98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520000</v>
      </c>
      <c r="AA89" s="4">
        <v>470000</v>
      </c>
    </row>
    <row r="90" spans="1:27" x14ac:dyDescent="0.25">
      <c r="A90" s="2" t="s">
        <v>3433</v>
      </c>
      <c r="B90" t="s">
        <v>6153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5317</v>
      </c>
      <c r="M90" t="s">
        <v>5388</v>
      </c>
      <c r="N90" s="4">
        <v>226890.76</v>
      </c>
      <c r="O90" s="4">
        <v>201680.67</v>
      </c>
      <c r="P90">
        <v>0</v>
      </c>
      <c r="Q90">
        <v>0</v>
      </c>
      <c r="R90">
        <v>0</v>
      </c>
      <c r="S90">
        <v>0</v>
      </c>
      <c r="T90">
        <v>4</v>
      </c>
      <c r="U90" s="4">
        <v>0</v>
      </c>
      <c r="V90" s="4">
        <v>4</v>
      </c>
      <c r="W90">
        <v>0</v>
      </c>
      <c r="X90">
        <v>0</v>
      </c>
      <c r="Y90">
        <v>0</v>
      </c>
      <c r="Z90" s="4">
        <v>270000</v>
      </c>
      <c r="AA90" s="4">
        <v>240000</v>
      </c>
    </row>
    <row r="91" spans="1:27" x14ac:dyDescent="0.25">
      <c r="A91" s="2" t="s">
        <v>3435</v>
      </c>
      <c r="B91" t="s">
        <v>5389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5294</v>
      </c>
      <c r="M91" t="s">
        <v>5390</v>
      </c>
      <c r="N91" s="4">
        <v>428571.43</v>
      </c>
      <c r="O91" s="4">
        <v>399159.66</v>
      </c>
      <c r="P91">
        <v>0</v>
      </c>
      <c r="Q91">
        <v>0</v>
      </c>
      <c r="R91">
        <v>0</v>
      </c>
      <c r="S91">
        <v>0</v>
      </c>
      <c r="T91">
        <v>5</v>
      </c>
      <c r="U91" s="4">
        <v>0</v>
      </c>
      <c r="V91" s="4">
        <v>5</v>
      </c>
      <c r="W91">
        <v>0</v>
      </c>
      <c r="X91">
        <v>0</v>
      </c>
      <c r="Y91">
        <v>0</v>
      </c>
      <c r="Z91" s="4">
        <v>510000</v>
      </c>
      <c r="AA91" s="4">
        <v>475000</v>
      </c>
    </row>
    <row r="92" spans="1:27" x14ac:dyDescent="0.25">
      <c r="A92" s="2" t="s">
        <v>6154</v>
      </c>
      <c r="B92" t="s">
        <v>6155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0</v>
      </c>
      <c r="L92" t="s">
        <v>5574</v>
      </c>
      <c r="M92" t="s">
        <v>6156</v>
      </c>
      <c r="N92" s="4">
        <v>922352.94</v>
      </c>
      <c r="O92" s="4">
        <v>847058.82</v>
      </c>
      <c r="P92">
        <v>1</v>
      </c>
      <c r="Q92">
        <v>0</v>
      </c>
      <c r="R92">
        <v>0</v>
      </c>
      <c r="S92">
        <v>0</v>
      </c>
      <c r="T92">
        <v>0</v>
      </c>
      <c r="U92" s="4">
        <v>0</v>
      </c>
      <c r="V92" s="4">
        <v>0</v>
      </c>
      <c r="W92">
        <v>0</v>
      </c>
      <c r="X92">
        <v>0</v>
      </c>
      <c r="Y92">
        <v>0</v>
      </c>
      <c r="Z92" s="4">
        <v>1097600</v>
      </c>
      <c r="AA92" s="4">
        <v>1008000</v>
      </c>
    </row>
    <row r="93" spans="1:27" x14ac:dyDescent="0.25">
      <c r="A93" s="2" t="s">
        <v>3437</v>
      </c>
      <c r="B93" t="s">
        <v>5391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12</v>
      </c>
      <c r="L93" t="s">
        <v>5279</v>
      </c>
      <c r="M93" t="s">
        <v>5392</v>
      </c>
      <c r="N93" s="4">
        <v>445378.15</v>
      </c>
      <c r="O93" s="4">
        <v>410084.03</v>
      </c>
      <c r="P93">
        <v>0</v>
      </c>
      <c r="Q93">
        <v>0</v>
      </c>
      <c r="R93">
        <v>0</v>
      </c>
      <c r="S93">
        <v>0</v>
      </c>
      <c r="T93">
        <v>41</v>
      </c>
      <c r="U93" s="4">
        <v>0</v>
      </c>
      <c r="V93" s="4">
        <v>41</v>
      </c>
      <c r="W93">
        <v>0</v>
      </c>
      <c r="X93">
        <v>0</v>
      </c>
      <c r="Y93">
        <v>0</v>
      </c>
      <c r="Z93" s="4">
        <v>530000</v>
      </c>
      <c r="AA93" s="4">
        <v>488000</v>
      </c>
    </row>
    <row r="94" spans="1:27" x14ac:dyDescent="0.25">
      <c r="A94" s="2" t="s">
        <v>3439</v>
      </c>
      <c r="B94" t="s">
        <v>5393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5275</v>
      </c>
      <c r="M94" t="s">
        <v>5394</v>
      </c>
      <c r="N94" s="4">
        <v>445378.15</v>
      </c>
      <c r="O94" s="4">
        <v>410084.03</v>
      </c>
      <c r="P94">
        <v>0</v>
      </c>
      <c r="Q94">
        <v>0</v>
      </c>
      <c r="R94">
        <v>0</v>
      </c>
      <c r="S94">
        <v>0</v>
      </c>
      <c r="T94">
        <v>41</v>
      </c>
      <c r="U94" s="4">
        <v>1</v>
      </c>
      <c r="V94" s="4">
        <v>40</v>
      </c>
      <c r="W94">
        <v>0</v>
      </c>
      <c r="X94">
        <v>0</v>
      </c>
      <c r="Y94">
        <v>0</v>
      </c>
      <c r="Z94" s="4">
        <v>530000</v>
      </c>
      <c r="AA94" s="4">
        <v>488000</v>
      </c>
    </row>
    <row r="95" spans="1:27" x14ac:dyDescent="0.25">
      <c r="A95" s="2" t="s">
        <v>6157</v>
      </c>
      <c r="B95" t="s">
        <v>6158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5</v>
      </c>
      <c r="L95" t="s">
        <v>5275</v>
      </c>
      <c r="M95" t="s">
        <v>6159</v>
      </c>
      <c r="N95" s="4">
        <v>517647.06</v>
      </c>
      <c r="O95" s="4">
        <v>470588.24</v>
      </c>
      <c r="P95">
        <v>1</v>
      </c>
      <c r="Q95">
        <v>0</v>
      </c>
      <c r="R95">
        <v>0</v>
      </c>
      <c r="S95">
        <v>0</v>
      </c>
      <c r="T95">
        <v>0</v>
      </c>
      <c r="U95" s="4">
        <v>0</v>
      </c>
      <c r="V95" s="4">
        <v>0</v>
      </c>
      <c r="W95">
        <v>0</v>
      </c>
      <c r="X95">
        <v>0</v>
      </c>
      <c r="Y95">
        <v>0</v>
      </c>
      <c r="Z95" s="4">
        <v>616000</v>
      </c>
      <c r="AA95" s="4">
        <v>560000</v>
      </c>
    </row>
    <row r="96" spans="1:27" x14ac:dyDescent="0.25">
      <c r="A96" s="2" t="s">
        <v>3441</v>
      </c>
      <c r="B96" t="s">
        <v>6160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5</v>
      </c>
      <c r="L96" t="s">
        <v>5275</v>
      </c>
      <c r="M96" t="s">
        <v>6161</v>
      </c>
      <c r="N96" s="4">
        <v>1134453.78</v>
      </c>
      <c r="O96" s="4">
        <v>907563.03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1350000</v>
      </c>
      <c r="AA96" s="4">
        <v>1080000</v>
      </c>
    </row>
    <row r="97" spans="1:27" x14ac:dyDescent="0.25">
      <c r="A97" s="2" t="s">
        <v>3443</v>
      </c>
      <c r="B97" t="s">
        <v>5395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35</v>
      </c>
      <c r="L97" t="s">
        <v>5294</v>
      </c>
      <c r="M97" t="s">
        <v>5396</v>
      </c>
      <c r="N97" s="4">
        <v>420168.07</v>
      </c>
      <c r="O97" s="4">
        <v>378151.26</v>
      </c>
      <c r="P97">
        <v>0</v>
      </c>
      <c r="Q97">
        <v>0</v>
      </c>
      <c r="R97">
        <v>0</v>
      </c>
      <c r="S97">
        <v>0</v>
      </c>
      <c r="T97">
        <v>9</v>
      </c>
      <c r="U97" s="4">
        <v>0</v>
      </c>
      <c r="V97" s="4">
        <v>9</v>
      </c>
      <c r="W97">
        <v>0</v>
      </c>
      <c r="X97">
        <v>0</v>
      </c>
      <c r="Y97">
        <v>0</v>
      </c>
      <c r="Z97" s="4">
        <v>500000</v>
      </c>
      <c r="AA97" s="4">
        <v>450000</v>
      </c>
    </row>
    <row r="98" spans="1:27" x14ac:dyDescent="0.25">
      <c r="A98" s="2" t="s">
        <v>3445</v>
      </c>
      <c r="B98" t="s">
        <v>6162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5317</v>
      </c>
      <c r="M98" t="s">
        <v>5397</v>
      </c>
      <c r="N98" s="4">
        <v>420168.07</v>
      </c>
      <c r="O98" s="4">
        <v>386554.62</v>
      </c>
      <c r="P98">
        <v>0</v>
      </c>
      <c r="Q98">
        <v>0</v>
      </c>
      <c r="R98">
        <v>0</v>
      </c>
      <c r="S98">
        <v>0</v>
      </c>
      <c r="T98">
        <v>6</v>
      </c>
      <c r="U98" s="4">
        <v>0</v>
      </c>
      <c r="V98" s="4">
        <v>6</v>
      </c>
      <c r="W98">
        <v>0</v>
      </c>
      <c r="X98">
        <v>0</v>
      </c>
      <c r="Y98">
        <v>0</v>
      </c>
      <c r="Z98" s="4">
        <v>500000</v>
      </c>
      <c r="AA98" s="4">
        <v>460000</v>
      </c>
    </row>
    <row r="99" spans="1:27" x14ac:dyDescent="0.25">
      <c r="A99" s="2" t="s">
        <v>6163</v>
      </c>
      <c r="B99" t="s">
        <v>6164</v>
      </c>
      <c r="D99">
        <v>1</v>
      </c>
      <c r="E99">
        <v>1</v>
      </c>
      <c r="G99">
        <v>1</v>
      </c>
      <c r="I99" s="4">
        <v>103</v>
      </c>
      <c r="J99" s="4"/>
      <c r="K99">
        <v>0</v>
      </c>
      <c r="L99" t="s">
        <v>5574</v>
      </c>
      <c r="M99" t="s">
        <v>6165</v>
      </c>
      <c r="N99" s="4">
        <v>1.1200000000000001</v>
      </c>
      <c r="O99" s="4">
        <v>1.1200000000000001</v>
      </c>
      <c r="P99">
        <v>1</v>
      </c>
      <c r="Q99">
        <v>0</v>
      </c>
      <c r="R99">
        <v>0</v>
      </c>
      <c r="S99">
        <v>0</v>
      </c>
      <c r="U99" s="4"/>
      <c r="V99" s="4">
        <v>0</v>
      </c>
      <c r="Y99">
        <v>0</v>
      </c>
      <c r="Z99" s="4">
        <v>1.33</v>
      </c>
      <c r="AA99" s="4">
        <v>1.33</v>
      </c>
    </row>
    <row r="100" spans="1:27" x14ac:dyDescent="0.25">
      <c r="A100" s="2" t="s">
        <v>3447</v>
      </c>
      <c r="B100" t="s">
        <v>5398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35</v>
      </c>
      <c r="L100" t="s">
        <v>5294</v>
      </c>
      <c r="M100" t="s">
        <v>5399</v>
      </c>
      <c r="N100" s="4">
        <v>252100.84</v>
      </c>
      <c r="O100" s="4">
        <v>218487.39</v>
      </c>
      <c r="P100">
        <v>0</v>
      </c>
      <c r="Q100">
        <v>0</v>
      </c>
      <c r="R100">
        <v>0</v>
      </c>
      <c r="S100">
        <v>0</v>
      </c>
      <c r="T100">
        <v>2</v>
      </c>
      <c r="U100" s="4">
        <v>0</v>
      </c>
      <c r="V100" s="4">
        <v>2</v>
      </c>
      <c r="W100">
        <v>0</v>
      </c>
      <c r="X100">
        <v>0</v>
      </c>
      <c r="Y100">
        <v>0</v>
      </c>
      <c r="Z100" s="4">
        <v>300000</v>
      </c>
      <c r="AA100" s="4">
        <v>260000</v>
      </c>
    </row>
    <row r="101" spans="1:27" x14ac:dyDescent="0.25">
      <c r="A101" s="2" t="s">
        <v>3449</v>
      </c>
      <c r="B101" t="s">
        <v>5400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8</v>
      </c>
      <c r="L101" t="s">
        <v>5317</v>
      </c>
      <c r="M101" t="s">
        <v>5401</v>
      </c>
      <c r="N101" s="4">
        <v>188235.29</v>
      </c>
      <c r="O101" s="4">
        <v>168067.23</v>
      </c>
      <c r="P101">
        <v>0</v>
      </c>
      <c r="Q101">
        <v>0</v>
      </c>
      <c r="R101">
        <v>0</v>
      </c>
      <c r="S101">
        <v>0</v>
      </c>
      <c r="T101">
        <v>4</v>
      </c>
      <c r="U101" s="4">
        <v>0</v>
      </c>
      <c r="V101" s="4">
        <v>4</v>
      </c>
      <c r="W101">
        <v>0</v>
      </c>
      <c r="X101">
        <v>0</v>
      </c>
      <c r="Y101">
        <v>0</v>
      </c>
      <c r="Z101" s="4">
        <v>224000</v>
      </c>
      <c r="AA101" s="4">
        <v>200000</v>
      </c>
    </row>
    <row r="102" spans="1:27" x14ac:dyDescent="0.25">
      <c r="A102" s="2" t="s">
        <v>3451</v>
      </c>
      <c r="B102" t="s">
        <v>5402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4</v>
      </c>
      <c r="L102" t="s">
        <v>5334</v>
      </c>
      <c r="M102" t="s">
        <v>5403</v>
      </c>
      <c r="N102" s="4">
        <v>714285.71</v>
      </c>
      <c r="O102" s="4">
        <v>655462.18000000005</v>
      </c>
      <c r="P102">
        <v>0</v>
      </c>
      <c r="Q102">
        <v>0</v>
      </c>
      <c r="R102">
        <v>0</v>
      </c>
      <c r="S102">
        <v>0</v>
      </c>
      <c r="T102">
        <v>1</v>
      </c>
      <c r="U102" s="4">
        <v>0</v>
      </c>
      <c r="V102" s="4">
        <v>1</v>
      </c>
      <c r="W102">
        <v>0</v>
      </c>
      <c r="X102">
        <v>0</v>
      </c>
      <c r="Y102">
        <v>0</v>
      </c>
      <c r="Z102" s="4">
        <v>850000</v>
      </c>
      <c r="AA102" s="4">
        <v>780000</v>
      </c>
    </row>
    <row r="103" spans="1:27" x14ac:dyDescent="0.25">
      <c r="A103" s="2" t="s">
        <v>6166</v>
      </c>
      <c r="B103" t="s">
        <v>6167</v>
      </c>
      <c r="D103">
        <v>1</v>
      </c>
      <c r="E103">
        <v>1</v>
      </c>
      <c r="G103">
        <v>1</v>
      </c>
      <c r="I103" s="4">
        <v>103</v>
      </c>
      <c r="J103" s="4"/>
      <c r="K103">
        <v>0</v>
      </c>
      <c r="L103" t="s">
        <v>5574</v>
      </c>
      <c r="M103" t="s">
        <v>6168</v>
      </c>
      <c r="N103" s="4">
        <v>1.1200000000000001</v>
      </c>
      <c r="O103" s="4">
        <v>1.1200000000000001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1.33</v>
      </c>
      <c r="AA103" s="4">
        <v>1.33</v>
      </c>
    </row>
    <row r="104" spans="1:27" x14ac:dyDescent="0.25">
      <c r="A104" s="2" t="s">
        <v>6169</v>
      </c>
      <c r="B104" t="s">
        <v>6170</v>
      </c>
      <c r="D104">
        <v>1</v>
      </c>
      <c r="E104">
        <v>1</v>
      </c>
      <c r="G104">
        <v>1</v>
      </c>
      <c r="I104" s="4">
        <v>103</v>
      </c>
      <c r="J104" s="4"/>
      <c r="K104">
        <v>0</v>
      </c>
      <c r="L104" t="s">
        <v>5574</v>
      </c>
      <c r="M104" t="s">
        <v>6171</v>
      </c>
      <c r="N104" s="4">
        <v>1.1200000000000001</v>
      </c>
      <c r="O104" s="4">
        <v>1.1200000000000001</v>
      </c>
      <c r="P104">
        <v>1</v>
      </c>
      <c r="Q104">
        <v>0</v>
      </c>
      <c r="R104">
        <v>0</v>
      </c>
      <c r="S104">
        <v>0</v>
      </c>
      <c r="U104" s="4"/>
      <c r="V104" s="4">
        <v>0</v>
      </c>
      <c r="Y104">
        <v>0</v>
      </c>
      <c r="Z104" s="4">
        <v>1.33</v>
      </c>
      <c r="AA104" s="4">
        <v>1.33</v>
      </c>
    </row>
    <row r="105" spans="1:27" x14ac:dyDescent="0.25">
      <c r="A105" s="2" t="s">
        <v>6172</v>
      </c>
      <c r="B105" t="s">
        <v>6173</v>
      </c>
      <c r="D105">
        <v>1</v>
      </c>
      <c r="E105">
        <v>1</v>
      </c>
      <c r="G105">
        <v>1</v>
      </c>
      <c r="I105" s="4">
        <v>103</v>
      </c>
      <c r="J105" s="4"/>
      <c r="K105">
        <v>0</v>
      </c>
      <c r="L105" t="s">
        <v>5574</v>
      </c>
      <c r="M105" t="s">
        <v>6174</v>
      </c>
      <c r="N105" s="4">
        <v>1.1200000000000001</v>
      </c>
      <c r="O105" s="4">
        <v>1.1200000000000001</v>
      </c>
      <c r="P105">
        <v>1</v>
      </c>
      <c r="Q105">
        <v>0</v>
      </c>
      <c r="R105">
        <v>0</v>
      </c>
      <c r="S105">
        <v>0</v>
      </c>
      <c r="U105" s="4"/>
      <c r="V105" s="4">
        <v>0</v>
      </c>
      <c r="Y105">
        <v>0</v>
      </c>
      <c r="Z105" s="4">
        <v>1.33</v>
      </c>
      <c r="AA105" s="4">
        <v>1.33</v>
      </c>
    </row>
    <row r="106" spans="1:27" x14ac:dyDescent="0.25">
      <c r="A106" s="2" t="s">
        <v>3453</v>
      </c>
      <c r="B106" t="s">
        <v>5404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5275</v>
      </c>
      <c r="M106" t="s">
        <v>5405</v>
      </c>
      <c r="N106" s="4">
        <v>470588.24</v>
      </c>
      <c r="O106" s="4">
        <v>420168.07</v>
      </c>
      <c r="P106">
        <v>0</v>
      </c>
      <c r="Q106">
        <v>0</v>
      </c>
      <c r="R106">
        <v>0</v>
      </c>
      <c r="S106">
        <v>0</v>
      </c>
      <c r="T106">
        <v>2</v>
      </c>
      <c r="U106" s="4">
        <v>0</v>
      </c>
      <c r="V106" s="4">
        <v>2</v>
      </c>
      <c r="W106">
        <v>0</v>
      </c>
      <c r="X106">
        <v>0</v>
      </c>
      <c r="Y106">
        <v>0</v>
      </c>
      <c r="Z106" s="4">
        <v>560000</v>
      </c>
      <c r="AA106" s="4">
        <v>500000</v>
      </c>
    </row>
    <row r="107" spans="1:27" x14ac:dyDescent="0.25">
      <c r="A107" s="2" t="s">
        <v>6175</v>
      </c>
      <c r="B107" t="s">
        <v>6176</v>
      </c>
      <c r="D107">
        <v>1</v>
      </c>
      <c r="E107">
        <v>1</v>
      </c>
      <c r="G107">
        <v>1</v>
      </c>
      <c r="I107" s="4">
        <v>103</v>
      </c>
      <c r="J107" s="4"/>
      <c r="K107">
        <v>0</v>
      </c>
      <c r="L107" t="s">
        <v>5574</v>
      </c>
      <c r="M107" t="s">
        <v>6177</v>
      </c>
      <c r="N107" s="4">
        <v>1.1200000000000001</v>
      </c>
      <c r="O107" s="4">
        <v>1.1200000000000001</v>
      </c>
      <c r="P107">
        <v>1</v>
      </c>
      <c r="Q107">
        <v>0</v>
      </c>
      <c r="R107">
        <v>0</v>
      </c>
      <c r="S107">
        <v>0</v>
      </c>
      <c r="U107" s="4"/>
      <c r="V107" s="4">
        <v>0</v>
      </c>
      <c r="Y107">
        <v>0</v>
      </c>
      <c r="Z107" s="4">
        <v>1.33</v>
      </c>
      <c r="AA107" s="4">
        <v>1.33</v>
      </c>
    </row>
    <row r="108" spans="1:27" x14ac:dyDescent="0.25">
      <c r="A108" s="2" t="s">
        <v>6178</v>
      </c>
      <c r="B108" t="s">
        <v>6179</v>
      </c>
      <c r="D108">
        <v>1</v>
      </c>
      <c r="E108">
        <v>1</v>
      </c>
      <c r="G108">
        <v>1</v>
      </c>
      <c r="I108" s="4">
        <v>103</v>
      </c>
      <c r="J108" s="4"/>
      <c r="K108">
        <v>5</v>
      </c>
      <c r="L108" t="s">
        <v>5275</v>
      </c>
      <c r="M108" t="s">
        <v>6180</v>
      </c>
      <c r="N108" s="4">
        <v>630252.1</v>
      </c>
      <c r="O108" s="4">
        <v>571428.56999999995</v>
      </c>
      <c r="P108">
        <v>0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750000</v>
      </c>
      <c r="AA108" s="4">
        <v>680000</v>
      </c>
    </row>
    <row r="109" spans="1:27" x14ac:dyDescent="0.25">
      <c r="A109" s="2" t="s">
        <v>3455</v>
      </c>
      <c r="B109" t="s">
        <v>5406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31</v>
      </c>
      <c r="L109" t="s">
        <v>5407</v>
      </c>
      <c r="M109" t="s">
        <v>5408</v>
      </c>
      <c r="N109" s="4">
        <v>210084.03</v>
      </c>
      <c r="O109" s="4">
        <v>193277.31</v>
      </c>
      <c r="P109">
        <v>0</v>
      </c>
      <c r="Q109">
        <v>0</v>
      </c>
      <c r="R109">
        <v>0</v>
      </c>
      <c r="S109">
        <v>0</v>
      </c>
      <c r="T109">
        <v>6</v>
      </c>
      <c r="U109" s="4">
        <v>0</v>
      </c>
      <c r="V109" s="4">
        <v>6</v>
      </c>
      <c r="W109">
        <v>0</v>
      </c>
      <c r="X109">
        <v>0</v>
      </c>
      <c r="Y109">
        <v>0</v>
      </c>
      <c r="Z109" s="4">
        <v>250000</v>
      </c>
      <c r="AA109" s="4">
        <v>230000</v>
      </c>
    </row>
    <row r="110" spans="1:27" x14ac:dyDescent="0.25">
      <c r="A110" s="2" t="s">
        <v>3457</v>
      </c>
      <c r="B110" t="s">
        <v>5409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8</v>
      </c>
      <c r="L110" t="s">
        <v>5317</v>
      </c>
      <c r="M110" t="s">
        <v>5410</v>
      </c>
      <c r="N110" s="4">
        <v>252100.84</v>
      </c>
      <c r="O110" s="4">
        <v>222689.08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300000</v>
      </c>
      <c r="AA110" s="4">
        <v>265000</v>
      </c>
    </row>
    <row r="111" spans="1:27" x14ac:dyDescent="0.25">
      <c r="A111" s="2" t="s">
        <v>3459</v>
      </c>
      <c r="B111" t="s">
        <v>5411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8</v>
      </c>
      <c r="L111" t="s">
        <v>5317</v>
      </c>
      <c r="M111" t="s">
        <v>5412</v>
      </c>
      <c r="N111" s="4">
        <v>357647.06</v>
      </c>
      <c r="O111" s="4">
        <v>338823.53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425600</v>
      </c>
      <c r="AA111" s="4">
        <v>403200</v>
      </c>
    </row>
    <row r="112" spans="1:27" x14ac:dyDescent="0.25">
      <c r="A112" s="2" t="s">
        <v>3461</v>
      </c>
      <c r="B112" t="s">
        <v>6181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8</v>
      </c>
      <c r="L112" t="s">
        <v>5317</v>
      </c>
      <c r="M112" t="s">
        <v>6182</v>
      </c>
      <c r="N112" s="4">
        <v>160000</v>
      </c>
      <c r="O112" s="4">
        <v>145882.35</v>
      </c>
      <c r="P112">
        <v>1</v>
      </c>
      <c r="Q112">
        <v>0</v>
      </c>
      <c r="R112">
        <v>0</v>
      </c>
      <c r="S112">
        <v>0</v>
      </c>
      <c r="T112">
        <v>-1</v>
      </c>
      <c r="U112" s="4">
        <v>0</v>
      </c>
      <c r="V112" s="4">
        <v>-1</v>
      </c>
      <c r="W112">
        <v>0</v>
      </c>
      <c r="X112">
        <v>0</v>
      </c>
      <c r="Y112">
        <v>0</v>
      </c>
      <c r="Z112" s="4">
        <v>190400</v>
      </c>
      <c r="AA112" s="4">
        <v>173600</v>
      </c>
    </row>
    <row r="113" spans="1:27" x14ac:dyDescent="0.25">
      <c r="A113" s="2" t="s">
        <v>3463</v>
      </c>
      <c r="B113" t="s">
        <v>5413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5</v>
      </c>
      <c r="L113" t="s">
        <v>5275</v>
      </c>
      <c r="M113" t="s">
        <v>5414</v>
      </c>
      <c r="N113" s="4">
        <v>252100.84</v>
      </c>
      <c r="O113" s="4">
        <v>226890.76</v>
      </c>
      <c r="P113">
        <v>0</v>
      </c>
      <c r="Q113">
        <v>0</v>
      </c>
      <c r="R113">
        <v>0</v>
      </c>
      <c r="S113">
        <v>0</v>
      </c>
      <c r="T113">
        <v>2</v>
      </c>
      <c r="U113" s="4">
        <v>0</v>
      </c>
      <c r="V113" s="4">
        <v>2</v>
      </c>
      <c r="W113">
        <v>0</v>
      </c>
      <c r="X113">
        <v>0</v>
      </c>
      <c r="Y113">
        <v>0</v>
      </c>
      <c r="Z113" s="4">
        <v>300000</v>
      </c>
      <c r="AA113" s="4">
        <v>270000</v>
      </c>
    </row>
    <row r="114" spans="1:27" x14ac:dyDescent="0.25">
      <c r="A114" s="2" t="s">
        <v>3465</v>
      </c>
      <c r="B114" t="s">
        <v>5415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37</v>
      </c>
      <c r="L114" t="s">
        <v>5288</v>
      </c>
      <c r="M114" t="s">
        <v>5416</v>
      </c>
      <c r="N114" s="4">
        <v>168067.23</v>
      </c>
      <c r="O114" s="4">
        <v>151260.5</v>
      </c>
      <c r="P114">
        <v>0</v>
      </c>
      <c r="Q114">
        <v>0</v>
      </c>
      <c r="R114">
        <v>0</v>
      </c>
      <c r="S114">
        <v>0</v>
      </c>
      <c r="T114">
        <v>3</v>
      </c>
      <c r="U114" s="4">
        <v>0</v>
      </c>
      <c r="V114" s="4">
        <v>3</v>
      </c>
      <c r="W114">
        <v>0</v>
      </c>
      <c r="X114">
        <v>0</v>
      </c>
      <c r="Y114">
        <v>0</v>
      </c>
      <c r="Z114" s="4">
        <v>200000</v>
      </c>
      <c r="AA114" s="4">
        <v>180000</v>
      </c>
    </row>
    <row r="115" spans="1:27" x14ac:dyDescent="0.25">
      <c r="A115" s="2" t="s">
        <v>3467</v>
      </c>
      <c r="B115" t="s">
        <v>6183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32</v>
      </c>
      <c r="L115" t="s">
        <v>5484</v>
      </c>
      <c r="M115" t="s">
        <v>6184</v>
      </c>
      <c r="N115" s="4">
        <v>193277.31</v>
      </c>
      <c r="O115" s="4">
        <v>168067.23</v>
      </c>
      <c r="P115">
        <v>0</v>
      </c>
      <c r="Q115">
        <v>0</v>
      </c>
      <c r="R115">
        <v>0</v>
      </c>
      <c r="S115">
        <v>0</v>
      </c>
      <c r="T115">
        <v>0</v>
      </c>
      <c r="U115" s="4">
        <v>0</v>
      </c>
      <c r="V115" s="4">
        <v>0</v>
      </c>
      <c r="W115">
        <v>0</v>
      </c>
      <c r="X115">
        <v>0</v>
      </c>
      <c r="Y115">
        <v>0</v>
      </c>
      <c r="Z115" s="4">
        <v>230000</v>
      </c>
      <c r="AA115" s="4">
        <v>200000</v>
      </c>
    </row>
    <row r="116" spans="1:27" x14ac:dyDescent="0.25">
      <c r="A116" s="2" t="s">
        <v>3469</v>
      </c>
      <c r="B116" t="s">
        <v>5417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18</v>
      </c>
      <c r="L116" t="s">
        <v>5282</v>
      </c>
      <c r="M116" t="s">
        <v>5418</v>
      </c>
      <c r="N116" s="4">
        <v>176470.59</v>
      </c>
      <c r="O116" s="4">
        <v>163865.54999999999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210000</v>
      </c>
      <c r="AA116" s="4">
        <v>195000</v>
      </c>
    </row>
    <row r="117" spans="1:27" x14ac:dyDescent="0.25">
      <c r="A117" s="2" t="s">
        <v>3471</v>
      </c>
      <c r="B117" t="s">
        <v>5419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5282</v>
      </c>
      <c r="M117" t="s">
        <v>5420</v>
      </c>
      <c r="N117" s="4">
        <v>243697.48</v>
      </c>
      <c r="O117" s="4">
        <v>218487.39</v>
      </c>
      <c r="P117">
        <v>0</v>
      </c>
      <c r="Q117">
        <v>0</v>
      </c>
      <c r="R117">
        <v>0</v>
      </c>
      <c r="S117">
        <v>0</v>
      </c>
      <c r="T117">
        <v>3</v>
      </c>
      <c r="U117" s="4">
        <v>0</v>
      </c>
      <c r="V117" s="4">
        <v>3</v>
      </c>
      <c r="W117">
        <v>0</v>
      </c>
      <c r="X117">
        <v>0</v>
      </c>
      <c r="Y117">
        <v>0</v>
      </c>
      <c r="Z117" s="4">
        <v>290000</v>
      </c>
      <c r="AA117" s="4">
        <v>260000</v>
      </c>
    </row>
    <row r="118" spans="1:27" x14ac:dyDescent="0.25">
      <c r="A118" s="2" t="s">
        <v>3473</v>
      </c>
      <c r="B118" t="s">
        <v>6185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27</v>
      </c>
      <c r="L118" t="s">
        <v>5718</v>
      </c>
      <c r="M118" t="s">
        <v>6186</v>
      </c>
      <c r="N118" s="4">
        <v>201680.67</v>
      </c>
      <c r="O118" s="4">
        <v>180672.27</v>
      </c>
      <c r="P118">
        <v>0</v>
      </c>
      <c r="Q118">
        <v>0</v>
      </c>
      <c r="R118">
        <v>0</v>
      </c>
      <c r="S118">
        <v>0</v>
      </c>
      <c r="T118">
        <v>0</v>
      </c>
      <c r="U118" s="4">
        <v>0</v>
      </c>
      <c r="V118" s="4">
        <v>0</v>
      </c>
      <c r="W118">
        <v>0</v>
      </c>
      <c r="X118">
        <v>0</v>
      </c>
      <c r="Y118">
        <v>0</v>
      </c>
      <c r="Z118" s="4">
        <v>240000</v>
      </c>
      <c r="AA118" s="4">
        <v>215000</v>
      </c>
    </row>
    <row r="119" spans="1:27" x14ac:dyDescent="0.25">
      <c r="A119" s="2" t="s">
        <v>3475</v>
      </c>
      <c r="B119" t="s">
        <v>5421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5317</v>
      </c>
      <c r="M119" t="s">
        <v>5422</v>
      </c>
      <c r="N119" s="4">
        <v>174117.65</v>
      </c>
      <c r="O119" s="4">
        <v>164705.88</v>
      </c>
      <c r="P119">
        <v>1</v>
      </c>
      <c r="Q119">
        <v>0</v>
      </c>
      <c r="R119">
        <v>0</v>
      </c>
      <c r="S119">
        <v>0</v>
      </c>
      <c r="T119">
        <v>4</v>
      </c>
      <c r="U119" s="4">
        <v>0</v>
      </c>
      <c r="V119" s="4">
        <v>4</v>
      </c>
      <c r="W119">
        <v>0</v>
      </c>
      <c r="X119">
        <v>0</v>
      </c>
      <c r="Y119">
        <v>0</v>
      </c>
      <c r="Z119" s="4">
        <v>207200</v>
      </c>
      <c r="AA119" s="4">
        <v>196000</v>
      </c>
    </row>
    <row r="120" spans="1:27" x14ac:dyDescent="0.25">
      <c r="A120" s="2" t="s">
        <v>3477</v>
      </c>
      <c r="B120" t="s">
        <v>5423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12</v>
      </c>
      <c r="L120" t="s">
        <v>5279</v>
      </c>
      <c r="M120" t="s">
        <v>5424</v>
      </c>
      <c r="N120" s="4">
        <v>239495.8</v>
      </c>
      <c r="O120" s="4">
        <v>214285.71</v>
      </c>
      <c r="P120">
        <v>0</v>
      </c>
      <c r="Q120">
        <v>0</v>
      </c>
      <c r="R120">
        <v>0</v>
      </c>
      <c r="S120">
        <v>0</v>
      </c>
      <c r="T120">
        <v>7</v>
      </c>
      <c r="U120" s="4">
        <v>0</v>
      </c>
      <c r="V120" s="4">
        <v>7</v>
      </c>
      <c r="W120">
        <v>0</v>
      </c>
      <c r="X120">
        <v>0</v>
      </c>
      <c r="Y120">
        <v>0</v>
      </c>
      <c r="Z120" s="4">
        <v>285000</v>
      </c>
      <c r="AA120" s="4">
        <v>255000</v>
      </c>
    </row>
    <row r="121" spans="1:27" x14ac:dyDescent="0.25">
      <c r="A121" s="2" t="s">
        <v>3479</v>
      </c>
      <c r="B121" t="s">
        <v>6187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18</v>
      </c>
      <c r="L121" t="s">
        <v>5282</v>
      </c>
      <c r="M121" t="s">
        <v>6188</v>
      </c>
      <c r="N121" s="4">
        <v>201680.67</v>
      </c>
      <c r="O121" s="4">
        <v>180672.27</v>
      </c>
      <c r="P121">
        <v>0</v>
      </c>
      <c r="Q121">
        <v>0</v>
      </c>
      <c r="R121">
        <v>0</v>
      </c>
      <c r="S121">
        <v>0</v>
      </c>
      <c r="T121">
        <v>0</v>
      </c>
      <c r="U121" s="4">
        <v>0</v>
      </c>
      <c r="V121" s="4">
        <v>0</v>
      </c>
      <c r="W121">
        <v>0</v>
      </c>
      <c r="X121">
        <v>0</v>
      </c>
      <c r="Y121">
        <v>0</v>
      </c>
      <c r="Z121" s="4">
        <v>240000</v>
      </c>
      <c r="AA121" s="4">
        <v>215000</v>
      </c>
    </row>
    <row r="122" spans="1:27" x14ac:dyDescent="0.25">
      <c r="A122" s="2" t="s">
        <v>3481</v>
      </c>
      <c r="B122" t="s">
        <v>5425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4</v>
      </c>
      <c r="L122" t="s">
        <v>5334</v>
      </c>
      <c r="M122" t="s">
        <v>5426</v>
      </c>
      <c r="N122" s="4">
        <v>630252.1</v>
      </c>
      <c r="O122" s="4">
        <v>588235.29</v>
      </c>
      <c r="P122">
        <v>0</v>
      </c>
      <c r="Q122">
        <v>0</v>
      </c>
      <c r="R122">
        <v>0</v>
      </c>
      <c r="S122">
        <v>0</v>
      </c>
      <c r="T122">
        <v>1</v>
      </c>
      <c r="U122" s="4">
        <v>0</v>
      </c>
      <c r="V122" s="4">
        <v>1</v>
      </c>
      <c r="W122">
        <v>0</v>
      </c>
      <c r="X122">
        <v>0</v>
      </c>
      <c r="Y122">
        <v>0</v>
      </c>
      <c r="Z122" s="4">
        <v>750000</v>
      </c>
      <c r="AA122" s="4">
        <v>700000</v>
      </c>
    </row>
    <row r="123" spans="1:27" x14ac:dyDescent="0.25">
      <c r="A123" s="2" t="s">
        <v>3483</v>
      </c>
      <c r="B123" t="s">
        <v>5427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4</v>
      </c>
      <c r="L123" t="s">
        <v>5334</v>
      </c>
      <c r="M123" t="s">
        <v>5428</v>
      </c>
      <c r="N123" s="4">
        <v>420168.07</v>
      </c>
      <c r="O123" s="4">
        <v>352941.18</v>
      </c>
      <c r="P123">
        <v>0</v>
      </c>
      <c r="Q123">
        <v>0</v>
      </c>
      <c r="R123">
        <v>0</v>
      </c>
      <c r="S123">
        <v>0</v>
      </c>
      <c r="T123">
        <v>1</v>
      </c>
      <c r="U123" s="4">
        <v>0</v>
      </c>
      <c r="V123" s="4">
        <v>1</v>
      </c>
      <c r="W123">
        <v>0</v>
      </c>
      <c r="X123">
        <v>0</v>
      </c>
      <c r="Y123">
        <v>0</v>
      </c>
      <c r="Z123" s="4">
        <v>500000</v>
      </c>
      <c r="AA123" s="4">
        <v>420000</v>
      </c>
    </row>
    <row r="124" spans="1:27" x14ac:dyDescent="0.25">
      <c r="A124" s="2" t="s">
        <v>3485</v>
      </c>
      <c r="B124" t="s">
        <v>5429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5275</v>
      </c>
      <c r="M124">
        <v>6955353247</v>
      </c>
      <c r="N124" s="4">
        <v>210084.03</v>
      </c>
      <c r="O124" s="4">
        <v>184873.95</v>
      </c>
      <c r="P124">
        <v>0</v>
      </c>
      <c r="Q124">
        <v>0</v>
      </c>
      <c r="R124">
        <v>0</v>
      </c>
      <c r="S124">
        <v>0</v>
      </c>
      <c r="T124">
        <v>2</v>
      </c>
      <c r="U124" s="4">
        <v>0</v>
      </c>
      <c r="V124" s="4">
        <v>2</v>
      </c>
      <c r="W124">
        <v>0</v>
      </c>
      <c r="X124">
        <v>0</v>
      </c>
      <c r="Y124">
        <v>0</v>
      </c>
      <c r="Z124" s="4">
        <v>250000</v>
      </c>
      <c r="AA124" s="4">
        <v>220000</v>
      </c>
    </row>
    <row r="125" spans="1:27" x14ac:dyDescent="0.25">
      <c r="A125" s="2" t="s">
        <v>3487</v>
      </c>
      <c r="B125" t="s">
        <v>6189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38</v>
      </c>
      <c r="L125" t="s">
        <v>5723</v>
      </c>
      <c r="M125" t="s">
        <v>6190</v>
      </c>
      <c r="N125" s="4">
        <v>655462.18000000005</v>
      </c>
      <c r="O125" s="4">
        <v>588235.29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780000</v>
      </c>
      <c r="AA125" s="4">
        <v>700000</v>
      </c>
    </row>
    <row r="126" spans="1:27" x14ac:dyDescent="0.25">
      <c r="A126" s="2" t="s">
        <v>3489</v>
      </c>
      <c r="B126" t="s">
        <v>5430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5</v>
      </c>
      <c r="L126" t="s">
        <v>5275</v>
      </c>
      <c r="M126" t="s">
        <v>5431</v>
      </c>
      <c r="N126" s="4">
        <v>378151.26</v>
      </c>
      <c r="O126" s="4">
        <v>336134.45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450000</v>
      </c>
      <c r="AA126" s="4">
        <v>400000</v>
      </c>
    </row>
    <row r="127" spans="1:27" x14ac:dyDescent="0.25">
      <c r="A127" s="2" t="s">
        <v>3491</v>
      </c>
      <c r="B127" t="s">
        <v>5432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12</v>
      </c>
      <c r="L127" t="s">
        <v>5279</v>
      </c>
      <c r="M127" t="s">
        <v>5433</v>
      </c>
      <c r="N127" s="4">
        <v>243697.48</v>
      </c>
      <c r="O127" s="4">
        <v>226890.76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290000</v>
      </c>
      <c r="AA127" s="4">
        <v>270000</v>
      </c>
    </row>
    <row r="128" spans="1:27" x14ac:dyDescent="0.25">
      <c r="A128" s="2" t="s">
        <v>3493</v>
      </c>
      <c r="B128" t="s">
        <v>5434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12</v>
      </c>
      <c r="L128" t="s">
        <v>5279</v>
      </c>
      <c r="M128" t="s">
        <v>5435</v>
      </c>
      <c r="N128" s="4">
        <v>260504.2</v>
      </c>
      <c r="O128" s="4">
        <v>236974.79</v>
      </c>
      <c r="P128">
        <v>0</v>
      </c>
      <c r="Q128">
        <v>0</v>
      </c>
      <c r="R128">
        <v>0</v>
      </c>
      <c r="S128">
        <v>0</v>
      </c>
      <c r="T128">
        <v>1</v>
      </c>
      <c r="U128" s="4">
        <v>0</v>
      </c>
      <c r="V128" s="4">
        <v>1</v>
      </c>
      <c r="W128">
        <v>0</v>
      </c>
      <c r="X128">
        <v>0</v>
      </c>
      <c r="Y128">
        <v>0</v>
      </c>
      <c r="Z128" s="4">
        <v>310000</v>
      </c>
      <c r="AA128" s="4">
        <v>282000</v>
      </c>
    </row>
    <row r="129" spans="1:27" x14ac:dyDescent="0.25">
      <c r="A129" s="2" t="s">
        <v>3495</v>
      </c>
      <c r="B129" t="s">
        <v>5436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5317</v>
      </c>
      <c r="M129" t="s">
        <v>5437</v>
      </c>
      <c r="N129" s="4">
        <v>226890.76</v>
      </c>
      <c r="O129" s="4">
        <v>210084.03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270000</v>
      </c>
      <c r="AA129" s="4">
        <v>250000</v>
      </c>
    </row>
    <row r="130" spans="1:27" x14ac:dyDescent="0.25">
      <c r="A130" s="2" t="s">
        <v>3497</v>
      </c>
      <c r="B130" t="s">
        <v>5438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5317</v>
      </c>
      <c r="M130" t="s">
        <v>5439</v>
      </c>
      <c r="N130" s="4">
        <v>201680.67</v>
      </c>
      <c r="O130" s="4">
        <v>180672.27</v>
      </c>
      <c r="P130">
        <v>0</v>
      </c>
      <c r="Q130">
        <v>0</v>
      </c>
      <c r="R130">
        <v>0</v>
      </c>
      <c r="S130">
        <v>0</v>
      </c>
      <c r="T130">
        <v>7</v>
      </c>
      <c r="U130" s="4">
        <v>0</v>
      </c>
      <c r="V130" s="4">
        <v>7</v>
      </c>
      <c r="W130">
        <v>0</v>
      </c>
      <c r="X130">
        <v>0</v>
      </c>
      <c r="Y130">
        <v>0</v>
      </c>
      <c r="Z130" s="4">
        <v>240000</v>
      </c>
      <c r="AA130" s="4">
        <v>215000</v>
      </c>
    </row>
    <row r="131" spans="1:27" x14ac:dyDescent="0.25">
      <c r="A131" s="2" t="s">
        <v>3499</v>
      </c>
      <c r="B131" t="s">
        <v>6191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M131" t="s">
        <v>6192</v>
      </c>
      <c r="N131" s="4">
        <v>186352.94</v>
      </c>
      <c r="O131" s="4">
        <v>174117.65</v>
      </c>
      <c r="P131">
        <v>0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221760</v>
      </c>
      <c r="AA131" s="4">
        <v>207200</v>
      </c>
    </row>
    <row r="132" spans="1:27" x14ac:dyDescent="0.25">
      <c r="A132" s="2" t="s">
        <v>3501</v>
      </c>
      <c r="B132" t="s">
        <v>5440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5</v>
      </c>
      <c r="L132" t="s">
        <v>5275</v>
      </c>
      <c r="M132" t="s">
        <v>5441</v>
      </c>
      <c r="N132" s="4">
        <v>260504.2</v>
      </c>
      <c r="O132" s="4">
        <v>235294.12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310000</v>
      </c>
      <c r="AA132" s="4">
        <v>280000</v>
      </c>
    </row>
    <row r="133" spans="1:27" x14ac:dyDescent="0.25">
      <c r="A133" s="2" t="s">
        <v>6193</v>
      </c>
      <c r="B133" t="s">
        <v>6194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31</v>
      </c>
      <c r="L133" t="s">
        <v>5407</v>
      </c>
      <c r="M133" t="s">
        <v>6195</v>
      </c>
      <c r="N133" s="4">
        <v>186352.94</v>
      </c>
      <c r="O133" s="4">
        <v>174117.65</v>
      </c>
      <c r="P133">
        <v>1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221760</v>
      </c>
      <c r="AA133" s="4">
        <v>207200</v>
      </c>
    </row>
    <row r="134" spans="1:27" x14ac:dyDescent="0.25">
      <c r="A134" s="2" t="s">
        <v>3503</v>
      </c>
      <c r="B134" t="s">
        <v>5442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5</v>
      </c>
      <c r="L134" t="s">
        <v>5275</v>
      </c>
      <c r="M134" t="s">
        <v>5443</v>
      </c>
      <c r="N134" s="4">
        <v>197647.06</v>
      </c>
      <c r="O134" s="4">
        <v>178823.53</v>
      </c>
      <c r="P134">
        <v>1</v>
      </c>
      <c r="Q134">
        <v>0</v>
      </c>
      <c r="R134">
        <v>0</v>
      </c>
      <c r="S134">
        <v>0</v>
      </c>
      <c r="T134">
        <v>4</v>
      </c>
      <c r="U134" s="4">
        <v>0</v>
      </c>
      <c r="V134" s="4">
        <v>4</v>
      </c>
      <c r="W134">
        <v>0</v>
      </c>
      <c r="X134">
        <v>0</v>
      </c>
      <c r="Y134">
        <v>0</v>
      </c>
      <c r="Z134" s="4">
        <v>235200</v>
      </c>
      <c r="AA134" s="4">
        <v>212800</v>
      </c>
    </row>
    <row r="135" spans="1:27" x14ac:dyDescent="0.25">
      <c r="A135" s="2" t="s">
        <v>3505</v>
      </c>
      <c r="B135" t="s">
        <v>5444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5279</v>
      </c>
      <c r="M135" t="s">
        <v>5445</v>
      </c>
      <c r="N135" s="4">
        <v>252100.84</v>
      </c>
      <c r="O135" s="4">
        <v>231092.44</v>
      </c>
      <c r="P135">
        <v>0</v>
      </c>
      <c r="Q135">
        <v>0</v>
      </c>
      <c r="R135">
        <v>0</v>
      </c>
      <c r="S135">
        <v>0</v>
      </c>
      <c r="T135">
        <v>15</v>
      </c>
      <c r="U135" s="4">
        <v>0</v>
      </c>
      <c r="V135" s="4">
        <v>15</v>
      </c>
      <c r="W135">
        <v>0</v>
      </c>
      <c r="X135">
        <v>0</v>
      </c>
      <c r="Y135">
        <v>0</v>
      </c>
      <c r="Z135" s="4">
        <v>300000</v>
      </c>
      <c r="AA135" s="4">
        <v>275000</v>
      </c>
    </row>
    <row r="136" spans="1:27" x14ac:dyDescent="0.25">
      <c r="A136" s="2" t="s">
        <v>6196</v>
      </c>
      <c r="B136" t="s">
        <v>6197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18</v>
      </c>
      <c r="L136" t="s">
        <v>5282</v>
      </c>
      <c r="M136" t="s">
        <v>6198</v>
      </c>
      <c r="N136" s="4">
        <v>336134.45</v>
      </c>
      <c r="O136" s="4">
        <v>310924.37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400000</v>
      </c>
      <c r="AA136" s="4">
        <v>370000</v>
      </c>
    </row>
    <row r="137" spans="1:27" x14ac:dyDescent="0.25">
      <c r="A137" s="2" t="s">
        <v>3507</v>
      </c>
      <c r="B137" t="s">
        <v>5446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8</v>
      </c>
      <c r="L137" t="s">
        <v>5317</v>
      </c>
      <c r="M137" t="s">
        <v>5447</v>
      </c>
      <c r="N137" s="4">
        <v>411764.71</v>
      </c>
      <c r="O137" s="4">
        <v>386554.62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490000</v>
      </c>
      <c r="AA137" s="4">
        <v>460000</v>
      </c>
    </row>
    <row r="138" spans="1:27" x14ac:dyDescent="0.25">
      <c r="A138" s="2" t="s">
        <v>3509</v>
      </c>
      <c r="B138" t="s">
        <v>5448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5</v>
      </c>
      <c r="L138" t="s">
        <v>5275</v>
      </c>
      <c r="M138" t="s">
        <v>5449</v>
      </c>
      <c r="N138" s="4">
        <v>504201.68</v>
      </c>
      <c r="O138" s="4">
        <v>462184.87</v>
      </c>
      <c r="P138">
        <v>0</v>
      </c>
      <c r="Q138">
        <v>0</v>
      </c>
      <c r="R138">
        <v>0</v>
      </c>
      <c r="S138">
        <v>0</v>
      </c>
      <c r="T138">
        <v>3</v>
      </c>
      <c r="U138" s="4">
        <v>0</v>
      </c>
      <c r="V138" s="4">
        <v>3</v>
      </c>
      <c r="W138">
        <v>0</v>
      </c>
      <c r="X138">
        <v>0</v>
      </c>
      <c r="Y138">
        <v>0</v>
      </c>
      <c r="Z138" s="4">
        <v>600000</v>
      </c>
      <c r="AA138" s="4">
        <v>550000</v>
      </c>
    </row>
    <row r="139" spans="1:27" x14ac:dyDescent="0.25">
      <c r="A139" s="2" t="s">
        <v>3511</v>
      </c>
      <c r="B139" t="s">
        <v>5450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5317</v>
      </c>
      <c r="M139" t="s">
        <v>5451</v>
      </c>
      <c r="N139" s="4">
        <v>512605.04</v>
      </c>
      <c r="O139" s="4">
        <v>462184.87</v>
      </c>
      <c r="P139">
        <v>0</v>
      </c>
      <c r="Q139">
        <v>0</v>
      </c>
      <c r="R139">
        <v>0</v>
      </c>
      <c r="S139">
        <v>0</v>
      </c>
      <c r="T139">
        <v>5</v>
      </c>
      <c r="U139" s="4">
        <v>0</v>
      </c>
      <c r="V139" s="4">
        <v>5</v>
      </c>
      <c r="W139">
        <v>0</v>
      </c>
      <c r="X139">
        <v>0</v>
      </c>
      <c r="Y139">
        <v>0</v>
      </c>
      <c r="Z139" s="4">
        <v>610000</v>
      </c>
      <c r="AA139" s="4">
        <v>550000</v>
      </c>
    </row>
    <row r="140" spans="1:27" x14ac:dyDescent="0.25">
      <c r="A140" s="2" t="s">
        <v>3513</v>
      </c>
      <c r="B140" t="s">
        <v>6199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31</v>
      </c>
      <c r="L140" t="s">
        <v>5407</v>
      </c>
      <c r="M140" t="s">
        <v>6200</v>
      </c>
      <c r="N140" s="4">
        <v>183529.41</v>
      </c>
      <c r="O140" s="4">
        <v>164705.88</v>
      </c>
      <c r="P140">
        <v>1</v>
      </c>
      <c r="Q140">
        <v>0</v>
      </c>
      <c r="R140">
        <v>0</v>
      </c>
      <c r="S140">
        <v>0</v>
      </c>
      <c r="T140">
        <v>0</v>
      </c>
      <c r="U140" s="4">
        <v>0</v>
      </c>
      <c r="V140" s="4">
        <v>0</v>
      </c>
      <c r="W140">
        <v>0</v>
      </c>
      <c r="X140">
        <v>0</v>
      </c>
      <c r="Y140">
        <v>0</v>
      </c>
      <c r="Z140" s="4">
        <v>218400</v>
      </c>
      <c r="AA140" s="4">
        <v>196000</v>
      </c>
    </row>
    <row r="141" spans="1:27" x14ac:dyDescent="0.25">
      <c r="A141" s="2" t="s">
        <v>3515</v>
      </c>
      <c r="B141" t="s">
        <v>5452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8</v>
      </c>
      <c r="L141" t="s">
        <v>5317</v>
      </c>
      <c r="M141" t="s">
        <v>5453</v>
      </c>
      <c r="N141" s="4">
        <v>193277.31</v>
      </c>
      <c r="O141" s="4">
        <v>172268.91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230000</v>
      </c>
      <c r="AA141" s="4">
        <v>205000</v>
      </c>
    </row>
    <row r="142" spans="1:27" x14ac:dyDescent="0.25">
      <c r="A142" s="2" t="s">
        <v>3517</v>
      </c>
      <c r="B142" t="s">
        <v>6201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31</v>
      </c>
      <c r="L142" t="s">
        <v>5407</v>
      </c>
      <c r="M142" t="s">
        <v>6202</v>
      </c>
      <c r="N142" s="4">
        <v>188235.29</v>
      </c>
      <c r="O142" s="4">
        <v>169411.76</v>
      </c>
      <c r="P142">
        <v>1</v>
      </c>
      <c r="Q142">
        <v>0</v>
      </c>
      <c r="R142">
        <v>0</v>
      </c>
      <c r="S142">
        <v>0</v>
      </c>
      <c r="T142">
        <v>0</v>
      </c>
      <c r="U142" s="4">
        <v>0</v>
      </c>
      <c r="V142" s="4">
        <v>0</v>
      </c>
      <c r="W142">
        <v>0</v>
      </c>
      <c r="X142">
        <v>0</v>
      </c>
      <c r="Y142">
        <v>0</v>
      </c>
      <c r="Z142" s="4">
        <v>224000</v>
      </c>
      <c r="AA142" s="4">
        <v>201600</v>
      </c>
    </row>
    <row r="143" spans="1:27" x14ac:dyDescent="0.25">
      <c r="A143" s="2" t="s">
        <v>3519</v>
      </c>
      <c r="B143" t="s">
        <v>5454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35</v>
      </c>
      <c r="L143" t="s">
        <v>5294</v>
      </c>
      <c r="M143" t="s">
        <v>5455</v>
      </c>
      <c r="N143" s="4">
        <v>1932773.11</v>
      </c>
      <c r="O143" s="4">
        <v>1596638.66</v>
      </c>
      <c r="P143">
        <v>0</v>
      </c>
      <c r="Q143">
        <v>0</v>
      </c>
      <c r="R143">
        <v>0</v>
      </c>
      <c r="S143">
        <v>0</v>
      </c>
      <c r="T143">
        <v>1</v>
      </c>
      <c r="U143" s="4">
        <v>0</v>
      </c>
      <c r="V143" s="4">
        <v>1</v>
      </c>
      <c r="W143">
        <v>0</v>
      </c>
      <c r="X143">
        <v>0</v>
      </c>
      <c r="Y143">
        <v>0</v>
      </c>
      <c r="Z143" s="4">
        <v>2300000</v>
      </c>
      <c r="AA143" s="4">
        <v>1900000</v>
      </c>
    </row>
    <row r="144" spans="1:27" x14ac:dyDescent="0.25">
      <c r="A144" s="2" t="s">
        <v>3521</v>
      </c>
      <c r="B144" t="s">
        <v>5456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35</v>
      </c>
      <c r="L144" t="s">
        <v>5294</v>
      </c>
      <c r="M144" t="s">
        <v>5457</v>
      </c>
      <c r="N144" s="4">
        <v>1176470.5900000001</v>
      </c>
      <c r="O144" s="4">
        <v>1092436.97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1400000</v>
      </c>
      <c r="AA144" s="4">
        <v>1300000</v>
      </c>
    </row>
    <row r="145" spans="1:27" x14ac:dyDescent="0.25">
      <c r="A145" s="2" t="s">
        <v>3523</v>
      </c>
      <c r="B145" t="s">
        <v>6203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35</v>
      </c>
      <c r="L145" t="s">
        <v>5294</v>
      </c>
      <c r="M145" t="s">
        <v>6204</v>
      </c>
      <c r="N145" s="4">
        <v>1218487.3899999999</v>
      </c>
      <c r="O145" s="4">
        <v>1092436.97</v>
      </c>
      <c r="P145">
        <v>0</v>
      </c>
      <c r="Q145">
        <v>0</v>
      </c>
      <c r="R145">
        <v>0</v>
      </c>
      <c r="S145">
        <v>0</v>
      </c>
      <c r="T145">
        <v>0</v>
      </c>
      <c r="U145" s="4">
        <v>0</v>
      </c>
      <c r="V145" s="4">
        <v>0</v>
      </c>
      <c r="W145">
        <v>0</v>
      </c>
      <c r="X145">
        <v>0</v>
      </c>
      <c r="Y145">
        <v>0</v>
      </c>
      <c r="Z145" s="4">
        <v>1450000</v>
      </c>
      <c r="AA145" s="4">
        <v>1300000</v>
      </c>
    </row>
    <row r="146" spans="1:27" x14ac:dyDescent="0.25">
      <c r="A146" s="2" t="s">
        <v>3525</v>
      </c>
      <c r="B146" t="s">
        <v>5458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59</v>
      </c>
      <c r="L146" t="s">
        <v>5285</v>
      </c>
      <c r="M146" t="s">
        <v>5459</v>
      </c>
      <c r="N146" s="4">
        <v>1176470.5900000001</v>
      </c>
      <c r="O146" s="4">
        <v>1092436.97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1400000</v>
      </c>
      <c r="AA146" s="4">
        <v>1300000</v>
      </c>
    </row>
    <row r="147" spans="1:27" x14ac:dyDescent="0.25">
      <c r="A147" s="2" t="s">
        <v>6205</v>
      </c>
      <c r="B147" t="s">
        <v>6206</v>
      </c>
      <c r="D147">
        <v>1</v>
      </c>
      <c r="E147">
        <v>1</v>
      </c>
      <c r="G147">
        <v>1</v>
      </c>
      <c r="I147" s="4">
        <v>103</v>
      </c>
      <c r="J147" s="4"/>
      <c r="K147">
        <v>0</v>
      </c>
      <c r="L147" t="s">
        <v>5574</v>
      </c>
      <c r="M147" t="s">
        <v>6207</v>
      </c>
      <c r="N147" s="4">
        <v>1.1200000000000001</v>
      </c>
      <c r="O147" s="4">
        <v>1.1200000000000001</v>
      </c>
      <c r="P147">
        <v>1</v>
      </c>
      <c r="Q147">
        <v>0</v>
      </c>
      <c r="R147">
        <v>0</v>
      </c>
      <c r="S147">
        <v>0</v>
      </c>
      <c r="U147" s="4"/>
      <c r="V147" s="4">
        <v>0</v>
      </c>
      <c r="Y147">
        <v>0</v>
      </c>
      <c r="Z147" s="4">
        <v>1.33</v>
      </c>
      <c r="AA147" s="4">
        <v>1.33</v>
      </c>
    </row>
    <row r="148" spans="1:27" x14ac:dyDescent="0.25">
      <c r="A148" s="2" t="s">
        <v>6208</v>
      </c>
      <c r="B148" t="s">
        <v>6209</v>
      </c>
      <c r="D148">
        <v>1</v>
      </c>
      <c r="E148">
        <v>1</v>
      </c>
      <c r="G148">
        <v>1</v>
      </c>
      <c r="I148" s="4">
        <v>103</v>
      </c>
      <c r="J148" s="4"/>
      <c r="K148">
        <v>18</v>
      </c>
      <c r="L148" t="s">
        <v>5282</v>
      </c>
      <c r="M148" t="s">
        <v>6210</v>
      </c>
      <c r="N148" s="4">
        <v>428705.88</v>
      </c>
      <c r="O148" s="4">
        <v>404705.88</v>
      </c>
      <c r="P148">
        <v>1</v>
      </c>
      <c r="Q148">
        <v>0</v>
      </c>
      <c r="R148">
        <v>0</v>
      </c>
      <c r="S148">
        <v>0</v>
      </c>
      <c r="U148" s="4"/>
      <c r="V148" s="4">
        <v>0</v>
      </c>
      <c r="Y148">
        <v>0</v>
      </c>
      <c r="Z148" s="4">
        <v>510160</v>
      </c>
      <c r="AA148" s="4">
        <v>481600</v>
      </c>
    </row>
    <row r="149" spans="1:27" x14ac:dyDescent="0.25">
      <c r="A149" s="2" t="s">
        <v>3527</v>
      </c>
      <c r="B149" t="s">
        <v>6211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59</v>
      </c>
      <c r="L149" t="s">
        <v>5285</v>
      </c>
      <c r="M149" t="s">
        <v>6212</v>
      </c>
      <c r="N149" s="4">
        <v>310924.37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9">
        <v>0</v>
      </c>
      <c r="V149" s="4">
        <v>0</v>
      </c>
      <c r="W149">
        <v>0</v>
      </c>
      <c r="X149">
        <v>0</v>
      </c>
      <c r="Y149">
        <v>0</v>
      </c>
      <c r="Z149" s="4">
        <v>370000</v>
      </c>
      <c r="AA149" s="4">
        <v>340000</v>
      </c>
    </row>
    <row r="150" spans="1:27" x14ac:dyDescent="0.25">
      <c r="A150" s="2" t="s">
        <v>3529</v>
      </c>
      <c r="B150" t="s">
        <v>5460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5</v>
      </c>
      <c r="L150" t="s">
        <v>5275</v>
      </c>
      <c r="M150" t="s">
        <v>5461</v>
      </c>
      <c r="N150" s="4">
        <v>260504.2</v>
      </c>
      <c r="O150" s="4">
        <v>226890.76</v>
      </c>
      <c r="P150">
        <v>0</v>
      </c>
      <c r="Q150">
        <v>0</v>
      </c>
      <c r="R150">
        <v>0</v>
      </c>
      <c r="S150">
        <v>0</v>
      </c>
      <c r="T150">
        <v>23</v>
      </c>
      <c r="U150" s="4">
        <v>0</v>
      </c>
      <c r="V150" s="4">
        <v>23</v>
      </c>
      <c r="W150">
        <v>0</v>
      </c>
      <c r="X150">
        <v>0</v>
      </c>
      <c r="Y150">
        <v>0</v>
      </c>
      <c r="Z150" s="4">
        <v>310000</v>
      </c>
      <c r="AA150" s="4">
        <v>270000</v>
      </c>
    </row>
    <row r="151" spans="1:27" x14ac:dyDescent="0.25">
      <c r="A151" s="2" t="s">
        <v>3531</v>
      </c>
      <c r="B151" t="s">
        <v>5462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8</v>
      </c>
      <c r="L151" t="s">
        <v>5317</v>
      </c>
      <c r="M151">
        <v>8000048</v>
      </c>
      <c r="N151" s="4">
        <v>254117.65</v>
      </c>
      <c r="O151" s="4">
        <v>216470.59</v>
      </c>
      <c r="P151">
        <v>1</v>
      </c>
      <c r="Q151">
        <v>0</v>
      </c>
      <c r="R151">
        <v>0</v>
      </c>
      <c r="S151">
        <v>0</v>
      </c>
      <c r="T151">
        <v>2</v>
      </c>
      <c r="U151" s="4">
        <v>0</v>
      </c>
      <c r="V151" s="9">
        <v>2</v>
      </c>
      <c r="W151">
        <v>0</v>
      </c>
      <c r="X151">
        <v>0</v>
      </c>
      <c r="Y151">
        <v>0</v>
      </c>
      <c r="Z151" s="4">
        <v>302400</v>
      </c>
      <c r="AA151" s="4">
        <v>257600</v>
      </c>
    </row>
    <row r="152" spans="1:27" x14ac:dyDescent="0.25">
      <c r="A152" s="2" t="s">
        <v>3533</v>
      </c>
      <c r="B152" t="s">
        <v>5463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5334</v>
      </c>
      <c r="M152" t="s">
        <v>5464</v>
      </c>
      <c r="N152" s="4">
        <v>462184.87</v>
      </c>
      <c r="O152" s="4">
        <v>420168.07</v>
      </c>
      <c r="P152">
        <v>0</v>
      </c>
      <c r="Q152">
        <v>0</v>
      </c>
      <c r="R152">
        <v>0</v>
      </c>
      <c r="S152">
        <v>0</v>
      </c>
      <c r="T152">
        <v>2</v>
      </c>
      <c r="U152" s="4">
        <v>0</v>
      </c>
      <c r="V152" s="4">
        <v>2</v>
      </c>
      <c r="W152">
        <v>0</v>
      </c>
      <c r="X152">
        <v>0</v>
      </c>
      <c r="Y152">
        <v>0</v>
      </c>
      <c r="Z152" s="4">
        <v>550000</v>
      </c>
      <c r="AA152" s="4">
        <v>500000</v>
      </c>
    </row>
    <row r="153" spans="1:27" x14ac:dyDescent="0.25">
      <c r="A153" s="2" t="s">
        <v>3535</v>
      </c>
      <c r="B153" t="s">
        <v>5465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3</v>
      </c>
      <c r="L153" t="s">
        <v>5384</v>
      </c>
      <c r="M153" t="s">
        <v>5466</v>
      </c>
      <c r="N153" s="4">
        <v>252100.84</v>
      </c>
      <c r="O153" s="4">
        <v>226890.76</v>
      </c>
      <c r="P153">
        <v>0</v>
      </c>
      <c r="Q153">
        <v>0</v>
      </c>
      <c r="R153">
        <v>0</v>
      </c>
      <c r="S153">
        <v>0</v>
      </c>
      <c r="T153">
        <v>1</v>
      </c>
      <c r="U153" s="4">
        <v>0</v>
      </c>
      <c r="V153" s="4">
        <v>1</v>
      </c>
      <c r="W153">
        <v>0</v>
      </c>
      <c r="X153">
        <v>0</v>
      </c>
      <c r="Y153">
        <v>0</v>
      </c>
      <c r="Z153" s="4">
        <v>300000</v>
      </c>
      <c r="AA153" s="4">
        <v>270000</v>
      </c>
    </row>
    <row r="154" spans="1:27" x14ac:dyDescent="0.25">
      <c r="A154" s="2" t="s">
        <v>3537</v>
      </c>
      <c r="B154" t="s">
        <v>5467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10</v>
      </c>
      <c r="L154" t="s">
        <v>5468</v>
      </c>
      <c r="M154">
        <v>8000619</v>
      </c>
      <c r="N154" s="4">
        <v>301176.46999999997</v>
      </c>
      <c r="O154" s="4">
        <v>282352.94</v>
      </c>
      <c r="P154">
        <v>1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358400</v>
      </c>
      <c r="AA154" s="4">
        <v>336000</v>
      </c>
    </row>
    <row r="155" spans="1:27" x14ac:dyDescent="0.25">
      <c r="A155" s="2" t="s">
        <v>6213</v>
      </c>
      <c r="B155" t="s">
        <v>6214</v>
      </c>
      <c r="D155">
        <v>1</v>
      </c>
      <c r="E155">
        <v>1</v>
      </c>
      <c r="G155">
        <v>1</v>
      </c>
      <c r="I155" s="4">
        <v>103</v>
      </c>
      <c r="J155" s="4"/>
      <c r="K155">
        <v>0</v>
      </c>
      <c r="L155" t="s">
        <v>5574</v>
      </c>
      <c r="M155">
        <v>8000660</v>
      </c>
      <c r="N155" s="4">
        <v>1.1200000000000001</v>
      </c>
      <c r="O155" s="4">
        <v>1.1200000000000001</v>
      </c>
      <c r="P155">
        <v>1</v>
      </c>
      <c r="Q155">
        <v>0</v>
      </c>
      <c r="R155">
        <v>0</v>
      </c>
      <c r="S155">
        <v>0</v>
      </c>
      <c r="U155" s="4"/>
      <c r="V155" s="4">
        <v>0</v>
      </c>
      <c r="Y155">
        <v>0</v>
      </c>
      <c r="Z155" s="4">
        <v>1.33</v>
      </c>
      <c r="AA155" s="4">
        <v>1.33</v>
      </c>
    </row>
    <row r="156" spans="1:27" x14ac:dyDescent="0.25">
      <c r="A156" s="2" t="s">
        <v>6215</v>
      </c>
      <c r="B156" t="s">
        <v>6216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10</v>
      </c>
      <c r="L156" t="s">
        <v>5468</v>
      </c>
      <c r="M156" t="s">
        <v>6217</v>
      </c>
      <c r="N156" s="4">
        <v>941176.47</v>
      </c>
      <c r="O156" s="4">
        <v>847058.82</v>
      </c>
      <c r="P156">
        <v>0</v>
      </c>
      <c r="Q156">
        <v>0</v>
      </c>
      <c r="R156">
        <v>0</v>
      </c>
      <c r="S156">
        <v>0</v>
      </c>
      <c r="T156">
        <v>0</v>
      </c>
      <c r="U156" s="4">
        <v>0</v>
      </c>
      <c r="V156" s="4">
        <v>0</v>
      </c>
      <c r="W156">
        <v>0</v>
      </c>
      <c r="X156">
        <v>0</v>
      </c>
      <c r="Y156">
        <v>0</v>
      </c>
      <c r="Z156" s="4">
        <v>1120000</v>
      </c>
      <c r="AA156" s="4">
        <v>1008000</v>
      </c>
    </row>
    <row r="157" spans="1:27" x14ac:dyDescent="0.25">
      <c r="A157" s="2" t="s">
        <v>6218</v>
      </c>
      <c r="B157" t="s">
        <v>6219</v>
      </c>
      <c r="D157">
        <v>1</v>
      </c>
      <c r="E157">
        <v>1</v>
      </c>
      <c r="G157">
        <v>1</v>
      </c>
      <c r="I157" s="4">
        <v>103</v>
      </c>
      <c r="J157" s="4"/>
      <c r="K157">
        <v>0</v>
      </c>
      <c r="L157" t="s">
        <v>5574</v>
      </c>
      <c r="M157">
        <v>8200005</v>
      </c>
      <c r="N157" s="4">
        <v>1.1200000000000001</v>
      </c>
      <c r="O157" s="4">
        <v>1.1200000000000001</v>
      </c>
      <c r="P157">
        <v>1</v>
      </c>
      <c r="Q157">
        <v>0</v>
      </c>
      <c r="R157">
        <v>0</v>
      </c>
      <c r="S157">
        <v>0</v>
      </c>
      <c r="U157" s="4"/>
      <c r="V157" s="4">
        <v>0</v>
      </c>
      <c r="Y157">
        <v>0</v>
      </c>
      <c r="Z157" s="4">
        <v>1.33</v>
      </c>
      <c r="AA157" s="4">
        <v>1.33</v>
      </c>
    </row>
    <row r="158" spans="1:27" x14ac:dyDescent="0.25">
      <c r="A158" s="2" t="s">
        <v>6220</v>
      </c>
      <c r="B158" t="s">
        <v>6221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5574</v>
      </c>
      <c r="M158">
        <v>8200072</v>
      </c>
      <c r="N158" s="4">
        <v>1.1200000000000001</v>
      </c>
      <c r="O158" s="4">
        <v>1.1200000000000001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1.33</v>
      </c>
      <c r="AA158" s="4">
        <v>1.33</v>
      </c>
    </row>
    <row r="159" spans="1:27" x14ac:dyDescent="0.25">
      <c r="A159" s="2" t="s">
        <v>3539</v>
      </c>
      <c r="B159" t="s">
        <v>6222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4</v>
      </c>
      <c r="L159" t="s">
        <v>5334</v>
      </c>
      <c r="M159" t="s">
        <v>6223</v>
      </c>
      <c r="N159" s="4">
        <v>705882.35</v>
      </c>
      <c r="O159" s="4">
        <v>638655.46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840000</v>
      </c>
      <c r="AA159" s="4">
        <v>760000</v>
      </c>
    </row>
    <row r="160" spans="1:27" x14ac:dyDescent="0.25">
      <c r="A160" s="2" t="s">
        <v>3541</v>
      </c>
      <c r="B160" t="s">
        <v>5469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10</v>
      </c>
      <c r="L160" t="s">
        <v>5468</v>
      </c>
      <c r="M160">
        <v>8200297</v>
      </c>
      <c r="N160" s="4">
        <v>1475630.25</v>
      </c>
      <c r="O160" s="4">
        <v>1475630.25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1756000</v>
      </c>
      <c r="AA160" s="4">
        <v>1756000</v>
      </c>
    </row>
    <row r="161" spans="1:27" x14ac:dyDescent="0.25">
      <c r="A161" s="2" t="s">
        <v>6224</v>
      </c>
      <c r="B161" t="s">
        <v>6225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10</v>
      </c>
      <c r="L161" t="s">
        <v>5468</v>
      </c>
      <c r="M161">
        <v>8200326</v>
      </c>
      <c r="N161" s="4">
        <v>1411764.71</v>
      </c>
      <c r="O161" s="4">
        <v>1327058.82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1680000</v>
      </c>
      <c r="AA161" s="4">
        <v>1579200</v>
      </c>
    </row>
    <row r="162" spans="1:27" x14ac:dyDescent="0.25">
      <c r="A162" s="2" t="s">
        <v>3543</v>
      </c>
      <c r="B162" t="s">
        <v>5470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10</v>
      </c>
      <c r="L162" t="s">
        <v>5468</v>
      </c>
      <c r="M162">
        <v>8200519</v>
      </c>
      <c r="N162" s="4">
        <v>1966386.55</v>
      </c>
      <c r="O162" s="4">
        <v>1966386.55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2340000</v>
      </c>
      <c r="AA162" s="4">
        <v>2340000</v>
      </c>
    </row>
    <row r="163" spans="1:27" x14ac:dyDescent="0.25">
      <c r="A163" s="2" t="s">
        <v>3545</v>
      </c>
      <c r="B163" t="s">
        <v>5471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5</v>
      </c>
      <c r="L163" t="s">
        <v>5275</v>
      </c>
      <c r="M163">
        <v>8200634602</v>
      </c>
      <c r="N163" s="4">
        <v>320000</v>
      </c>
      <c r="O163" s="4">
        <v>301176.46999999997</v>
      </c>
      <c r="P163">
        <v>1</v>
      </c>
      <c r="Q163">
        <v>0</v>
      </c>
      <c r="R163">
        <v>0</v>
      </c>
      <c r="S163">
        <v>0</v>
      </c>
      <c r="T163">
        <v>1</v>
      </c>
      <c r="U163" s="4">
        <v>0</v>
      </c>
      <c r="V163" s="4">
        <v>1</v>
      </c>
      <c r="W163">
        <v>0</v>
      </c>
      <c r="X163">
        <v>0</v>
      </c>
      <c r="Y163">
        <v>0</v>
      </c>
      <c r="Z163" s="4">
        <v>380800</v>
      </c>
      <c r="AA163" s="4">
        <v>358400</v>
      </c>
    </row>
    <row r="164" spans="1:27" x14ac:dyDescent="0.25">
      <c r="A164" s="2" t="s">
        <v>3547</v>
      </c>
      <c r="B164" t="s">
        <v>5472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8</v>
      </c>
      <c r="L164" t="s">
        <v>5317</v>
      </c>
      <c r="M164">
        <v>9000794</v>
      </c>
      <c r="N164" s="4">
        <v>210084.03</v>
      </c>
      <c r="O164" s="4">
        <v>189075.63</v>
      </c>
      <c r="P164">
        <v>0</v>
      </c>
      <c r="Q164">
        <v>0</v>
      </c>
      <c r="R164">
        <v>0</v>
      </c>
      <c r="S164">
        <v>0</v>
      </c>
      <c r="T164">
        <v>2</v>
      </c>
      <c r="U164" s="4">
        <v>0</v>
      </c>
      <c r="V164" s="4">
        <v>2</v>
      </c>
      <c r="W164">
        <v>0</v>
      </c>
      <c r="X164">
        <v>0</v>
      </c>
      <c r="Y164">
        <v>0</v>
      </c>
      <c r="Z164" s="4">
        <v>250000</v>
      </c>
      <c r="AA164" s="4">
        <v>225000</v>
      </c>
    </row>
    <row r="165" spans="1:27" x14ac:dyDescent="0.25">
      <c r="A165" s="2" t="s">
        <v>3549</v>
      </c>
      <c r="B165" t="s">
        <v>5473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5317</v>
      </c>
      <c r="M165">
        <v>90341777</v>
      </c>
      <c r="N165" s="4">
        <v>207058.82</v>
      </c>
      <c r="O165" s="4">
        <v>178823.53</v>
      </c>
      <c r="P165">
        <v>1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246400</v>
      </c>
      <c r="AA165" s="4">
        <v>212800</v>
      </c>
    </row>
    <row r="166" spans="1:27" x14ac:dyDescent="0.25">
      <c r="A166" s="2" t="s">
        <v>3551</v>
      </c>
      <c r="B166" t="s">
        <v>6226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</v>
      </c>
      <c r="L166" t="s">
        <v>5384</v>
      </c>
      <c r="M166" t="s">
        <v>6227</v>
      </c>
      <c r="N166" s="4">
        <v>378151.26</v>
      </c>
      <c r="O166" s="4">
        <v>336134.45</v>
      </c>
      <c r="P166">
        <v>0</v>
      </c>
      <c r="Q166">
        <v>0</v>
      </c>
      <c r="R166">
        <v>0</v>
      </c>
      <c r="S166">
        <v>0</v>
      </c>
      <c r="T166">
        <v>0</v>
      </c>
      <c r="U166" s="4">
        <v>0</v>
      </c>
      <c r="V166" s="4">
        <v>0</v>
      </c>
      <c r="W166">
        <v>0</v>
      </c>
      <c r="X166">
        <v>0</v>
      </c>
      <c r="Y166">
        <v>0</v>
      </c>
      <c r="Z166" s="4">
        <v>450000</v>
      </c>
      <c r="AA166" s="4">
        <v>400000</v>
      </c>
    </row>
    <row r="167" spans="1:27" x14ac:dyDescent="0.25">
      <c r="A167" s="2" t="s">
        <v>6228</v>
      </c>
      <c r="B167" t="s">
        <v>6229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5297</v>
      </c>
      <c r="M167" t="s">
        <v>6230</v>
      </c>
      <c r="N167" s="4">
        <v>301176.46999999997</v>
      </c>
      <c r="O167" s="4">
        <v>291764.71000000002</v>
      </c>
      <c r="P167">
        <v>1</v>
      </c>
      <c r="Q167">
        <v>0</v>
      </c>
      <c r="R167">
        <v>0</v>
      </c>
      <c r="S167">
        <v>0</v>
      </c>
      <c r="U167" s="4"/>
      <c r="V167" s="4">
        <v>0</v>
      </c>
      <c r="Y167">
        <v>0</v>
      </c>
      <c r="Z167" s="4">
        <v>358400</v>
      </c>
      <c r="AA167" s="4">
        <v>347200</v>
      </c>
    </row>
    <row r="168" spans="1:27" x14ac:dyDescent="0.25">
      <c r="A168" s="2" t="s">
        <v>6231</v>
      </c>
      <c r="B168" t="s">
        <v>6232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8</v>
      </c>
      <c r="L168" t="s">
        <v>5317</v>
      </c>
      <c r="M168">
        <v>96235</v>
      </c>
      <c r="N168" s="4">
        <v>263529.40999999997</v>
      </c>
      <c r="O168" s="4">
        <v>249411.76</v>
      </c>
      <c r="P168">
        <v>1</v>
      </c>
      <c r="Q168">
        <v>0</v>
      </c>
      <c r="R168">
        <v>0</v>
      </c>
      <c r="S168">
        <v>0</v>
      </c>
      <c r="T168">
        <v>0</v>
      </c>
      <c r="U168" s="4">
        <v>0</v>
      </c>
      <c r="V168" s="4">
        <v>0</v>
      </c>
      <c r="W168">
        <v>0</v>
      </c>
      <c r="X168">
        <v>0</v>
      </c>
      <c r="Y168">
        <v>0</v>
      </c>
      <c r="Z168" s="4">
        <v>313600</v>
      </c>
      <c r="AA168" s="4">
        <v>296800</v>
      </c>
    </row>
    <row r="169" spans="1:27" x14ac:dyDescent="0.25">
      <c r="A169" s="2" t="s">
        <v>3553</v>
      </c>
      <c r="B169" t="s">
        <v>6233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31</v>
      </c>
      <c r="L169" t="s">
        <v>5407</v>
      </c>
      <c r="M169" t="s">
        <v>5474</v>
      </c>
      <c r="N169" s="4">
        <v>205882.35</v>
      </c>
      <c r="O169" s="4">
        <v>184873.95</v>
      </c>
      <c r="P169">
        <v>0</v>
      </c>
      <c r="Q169">
        <v>0</v>
      </c>
      <c r="R169">
        <v>0</v>
      </c>
      <c r="S169">
        <v>0</v>
      </c>
      <c r="T169">
        <v>0</v>
      </c>
      <c r="U169" s="4">
        <v>0</v>
      </c>
      <c r="V169" s="4">
        <v>0</v>
      </c>
      <c r="W169">
        <v>0</v>
      </c>
      <c r="X169">
        <v>0</v>
      </c>
      <c r="Y169">
        <v>0</v>
      </c>
      <c r="Z169" s="4">
        <v>245000</v>
      </c>
      <c r="AA169" s="4">
        <v>220000</v>
      </c>
    </row>
    <row r="170" spans="1:27" x14ac:dyDescent="0.25">
      <c r="A170" s="2" t="s">
        <v>3555</v>
      </c>
      <c r="B170" t="s">
        <v>6234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35</v>
      </c>
      <c r="L170" t="s">
        <v>5294</v>
      </c>
      <c r="M170" t="s">
        <v>6235</v>
      </c>
      <c r="N170" s="4">
        <v>210084.03</v>
      </c>
      <c r="O170" s="4">
        <v>184873.95</v>
      </c>
      <c r="P170">
        <v>0</v>
      </c>
      <c r="Q170">
        <v>0</v>
      </c>
      <c r="R170">
        <v>0</v>
      </c>
      <c r="S170">
        <v>0</v>
      </c>
      <c r="T170">
        <v>0</v>
      </c>
      <c r="U170" s="4">
        <v>0</v>
      </c>
      <c r="V170" s="4">
        <v>0</v>
      </c>
      <c r="W170">
        <v>0</v>
      </c>
      <c r="X170">
        <v>0</v>
      </c>
      <c r="Y170">
        <v>0</v>
      </c>
      <c r="Z170" s="4">
        <v>250000</v>
      </c>
      <c r="AA170" s="4">
        <v>220000</v>
      </c>
    </row>
    <row r="171" spans="1:27" x14ac:dyDescent="0.25">
      <c r="A171" s="2" t="s">
        <v>3557</v>
      </c>
      <c r="B171" t="s">
        <v>5475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37</v>
      </c>
      <c r="L171" t="s">
        <v>5288</v>
      </c>
      <c r="M171" t="s">
        <v>5476</v>
      </c>
      <c r="N171" s="4">
        <v>184873.95</v>
      </c>
      <c r="O171" s="4">
        <v>163865.54999999999</v>
      </c>
      <c r="P171">
        <v>0</v>
      </c>
      <c r="Q171">
        <v>0</v>
      </c>
      <c r="R171">
        <v>0</v>
      </c>
      <c r="S171">
        <v>0</v>
      </c>
      <c r="T171">
        <v>6</v>
      </c>
      <c r="U171" s="4">
        <v>0</v>
      </c>
      <c r="V171" s="4">
        <v>6</v>
      </c>
      <c r="W171">
        <v>0</v>
      </c>
      <c r="X171">
        <v>0</v>
      </c>
      <c r="Y171">
        <v>0</v>
      </c>
      <c r="Z171" s="4">
        <v>220000</v>
      </c>
      <c r="AA171" s="4">
        <v>195000</v>
      </c>
    </row>
    <row r="172" spans="1:27" x14ac:dyDescent="0.25">
      <c r="A172" s="2" t="s">
        <v>6236</v>
      </c>
      <c r="B172" t="s">
        <v>6237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8</v>
      </c>
      <c r="L172" t="s">
        <v>5317</v>
      </c>
      <c r="M172">
        <v>96550792</v>
      </c>
      <c r="N172" s="4">
        <v>218487.39</v>
      </c>
      <c r="O172" s="4">
        <v>193277.31</v>
      </c>
      <c r="P172">
        <v>0</v>
      </c>
      <c r="Q172">
        <v>0</v>
      </c>
      <c r="R172">
        <v>0</v>
      </c>
      <c r="S172">
        <v>0</v>
      </c>
      <c r="T172">
        <v>4</v>
      </c>
      <c r="U172" s="4">
        <v>0</v>
      </c>
      <c r="V172" s="4">
        <v>4</v>
      </c>
      <c r="W172">
        <v>0</v>
      </c>
      <c r="X172">
        <v>0</v>
      </c>
      <c r="Y172">
        <v>0</v>
      </c>
      <c r="Z172" s="4">
        <v>260000</v>
      </c>
      <c r="AA172" s="4">
        <v>230000</v>
      </c>
    </row>
    <row r="173" spans="1:27" x14ac:dyDescent="0.25">
      <c r="A173" s="2" t="s">
        <v>6238</v>
      </c>
      <c r="B173" t="s">
        <v>6239</v>
      </c>
      <c r="D173">
        <v>1</v>
      </c>
      <c r="E173">
        <v>1</v>
      </c>
      <c r="G173">
        <v>1</v>
      </c>
      <c r="I173" s="4">
        <v>103</v>
      </c>
      <c r="J173" s="4"/>
      <c r="K173">
        <v>0</v>
      </c>
      <c r="L173" t="s">
        <v>5574</v>
      </c>
      <c r="M173">
        <v>96843582</v>
      </c>
      <c r="N173" s="4">
        <v>1.1200000000000001</v>
      </c>
      <c r="O173" s="4">
        <v>1.1200000000000001</v>
      </c>
      <c r="P173">
        <v>1</v>
      </c>
      <c r="Q173">
        <v>0</v>
      </c>
      <c r="R173">
        <v>0</v>
      </c>
      <c r="S173">
        <v>0</v>
      </c>
      <c r="U173" s="4"/>
      <c r="V173" s="4">
        <v>0</v>
      </c>
      <c r="Y173">
        <v>0</v>
      </c>
      <c r="Z173" s="4">
        <v>1.33</v>
      </c>
      <c r="AA173" s="4">
        <v>1.33</v>
      </c>
    </row>
    <row r="174" spans="1:27" x14ac:dyDescent="0.25">
      <c r="A174" s="2" t="s">
        <v>3559</v>
      </c>
      <c r="B174" t="s">
        <v>5477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5</v>
      </c>
      <c r="L174" t="s">
        <v>5275</v>
      </c>
      <c r="M174" t="s">
        <v>5478</v>
      </c>
      <c r="N174" s="4">
        <v>478991.6</v>
      </c>
      <c r="O174" s="4">
        <v>403361.34</v>
      </c>
      <c r="P174">
        <v>0</v>
      </c>
      <c r="Q174">
        <v>0</v>
      </c>
      <c r="R174">
        <v>0</v>
      </c>
      <c r="S174">
        <v>0</v>
      </c>
      <c r="T174">
        <v>6</v>
      </c>
      <c r="U174" s="4">
        <v>0</v>
      </c>
      <c r="V174" s="4">
        <v>6</v>
      </c>
      <c r="W174">
        <v>0</v>
      </c>
      <c r="X174">
        <v>0</v>
      </c>
      <c r="Y174">
        <v>0</v>
      </c>
      <c r="Z174" s="4">
        <v>570000</v>
      </c>
      <c r="AA174" s="4">
        <v>480000</v>
      </c>
    </row>
    <row r="175" spans="1:27" x14ac:dyDescent="0.25">
      <c r="A175" s="2" t="s">
        <v>6240</v>
      </c>
      <c r="B175" t="s">
        <v>6241</v>
      </c>
      <c r="D175">
        <v>1</v>
      </c>
      <c r="E175">
        <v>1</v>
      </c>
      <c r="G175">
        <v>1</v>
      </c>
      <c r="I175" s="4">
        <v>103</v>
      </c>
      <c r="J175" s="4"/>
      <c r="K175">
        <v>0</v>
      </c>
      <c r="L175" t="s">
        <v>5574</v>
      </c>
      <c r="M175" t="s">
        <v>6242</v>
      </c>
      <c r="N175" s="4">
        <v>1.1200000000000001</v>
      </c>
      <c r="O175" s="4">
        <v>1.1200000000000001</v>
      </c>
      <c r="P175">
        <v>1</v>
      </c>
      <c r="Q175">
        <v>0</v>
      </c>
      <c r="R175">
        <v>0</v>
      </c>
      <c r="S175">
        <v>0</v>
      </c>
      <c r="U175" s="4"/>
      <c r="V175" s="4">
        <v>0</v>
      </c>
      <c r="Y175">
        <v>0</v>
      </c>
      <c r="Z175" s="4">
        <v>1.33</v>
      </c>
      <c r="AA175" s="4">
        <v>1.33</v>
      </c>
    </row>
    <row r="176" spans="1:27" x14ac:dyDescent="0.25">
      <c r="A176" s="2" t="s">
        <v>3561</v>
      </c>
      <c r="B176" t="s">
        <v>5479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29</v>
      </c>
      <c r="L176" t="s">
        <v>5291</v>
      </c>
      <c r="M176" t="s">
        <v>5480</v>
      </c>
      <c r="N176" s="4">
        <v>218487.39</v>
      </c>
      <c r="O176" s="4">
        <v>194117.65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260000</v>
      </c>
      <c r="AA176" s="4">
        <v>231000</v>
      </c>
    </row>
    <row r="177" spans="1:27" x14ac:dyDescent="0.25">
      <c r="A177" s="2" t="s">
        <v>3563</v>
      </c>
      <c r="B177" t="s">
        <v>5481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18</v>
      </c>
      <c r="L177" t="s">
        <v>5282</v>
      </c>
      <c r="M177" t="s">
        <v>5482</v>
      </c>
      <c r="N177" s="4">
        <v>218487.39</v>
      </c>
      <c r="O177" s="4">
        <v>189075.63</v>
      </c>
      <c r="P177">
        <v>0</v>
      </c>
      <c r="Q177">
        <v>0</v>
      </c>
      <c r="R177">
        <v>0</v>
      </c>
      <c r="S177">
        <v>0</v>
      </c>
      <c r="T177">
        <v>9</v>
      </c>
      <c r="U177" s="4">
        <v>0</v>
      </c>
      <c r="V177" s="4">
        <v>9</v>
      </c>
      <c r="W177">
        <v>0</v>
      </c>
      <c r="X177">
        <v>0</v>
      </c>
      <c r="Y177">
        <v>0</v>
      </c>
      <c r="Z177" s="4">
        <v>260000</v>
      </c>
      <c r="AA177" s="4">
        <v>225000</v>
      </c>
    </row>
    <row r="178" spans="1:27" x14ac:dyDescent="0.25">
      <c r="A178" s="2" t="s">
        <v>6243</v>
      </c>
      <c r="B178" t="s">
        <v>5796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8</v>
      </c>
      <c r="L178" t="s">
        <v>5317</v>
      </c>
      <c r="M178" t="s">
        <v>6244</v>
      </c>
      <c r="N178" s="4">
        <v>188235.29</v>
      </c>
      <c r="O178" s="4">
        <v>169411.76</v>
      </c>
      <c r="P178">
        <v>1</v>
      </c>
      <c r="Q178">
        <v>0</v>
      </c>
      <c r="R178">
        <v>0</v>
      </c>
      <c r="S178">
        <v>0</v>
      </c>
      <c r="T178">
        <v>0</v>
      </c>
      <c r="U178" s="4">
        <v>0</v>
      </c>
      <c r="V178" s="4">
        <v>0</v>
      </c>
      <c r="W178">
        <v>0</v>
      </c>
      <c r="X178">
        <v>0</v>
      </c>
      <c r="Y178">
        <v>0</v>
      </c>
      <c r="Z178" s="4">
        <v>224000</v>
      </c>
      <c r="AA178" s="4">
        <v>201600</v>
      </c>
    </row>
    <row r="179" spans="1:27" x14ac:dyDescent="0.25">
      <c r="A179" s="2" t="s">
        <v>3565</v>
      </c>
      <c r="B179" t="s">
        <v>6245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18</v>
      </c>
      <c r="L179" t="s">
        <v>5282</v>
      </c>
      <c r="M179" t="s">
        <v>6246</v>
      </c>
      <c r="N179" s="4">
        <v>235294.12</v>
      </c>
      <c r="O179" s="4">
        <v>210084.03</v>
      </c>
      <c r="P179">
        <v>0</v>
      </c>
      <c r="Q179">
        <v>0</v>
      </c>
      <c r="R179">
        <v>0</v>
      </c>
      <c r="S179">
        <v>0</v>
      </c>
      <c r="T179">
        <v>6</v>
      </c>
      <c r="U179" s="4">
        <v>0</v>
      </c>
      <c r="V179" s="4">
        <v>6</v>
      </c>
      <c r="W179">
        <v>0</v>
      </c>
      <c r="X179">
        <v>0</v>
      </c>
      <c r="Y179">
        <v>0</v>
      </c>
      <c r="Z179" s="4">
        <v>280000</v>
      </c>
      <c r="AA179" s="4">
        <v>250000</v>
      </c>
    </row>
    <row r="180" spans="1:27" x14ac:dyDescent="0.25">
      <c r="A180" s="2" t="s">
        <v>3567</v>
      </c>
      <c r="B180" t="s">
        <v>6247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18</v>
      </c>
      <c r="L180" t="s">
        <v>5282</v>
      </c>
      <c r="M180" t="s">
        <v>6248</v>
      </c>
      <c r="N180" s="4">
        <v>197647.06</v>
      </c>
      <c r="O180" s="4">
        <v>174117.65</v>
      </c>
      <c r="P180">
        <v>1</v>
      </c>
      <c r="Q180">
        <v>0</v>
      </c>
      <c r="R180">
        <v>0</v>
      </c>
      <c r="S180">
        <v>0</v>
      </c>
      <c r="T180">
        <v>0</v>
      </c>
      <c r="U180" s="4">
        <v>0</v>
      </c>
      <c r="V180" s="4">
        <v>0</v>
      </c>
      <c r="W180">
        <v>0</v>
      </c>
      <c r="X180">
        <v>0</v>
      </c>
      <c r="Y180">
        <v>0</v>
      </c>
      <c r="Z180" s="4">
        <v>235200</v>
      </c>
      <c r="AA180" s="4">
        <v>207200</v>
      </c>
    </row>
    <row r="181" spans="1:27" x14ac:dyDescent="0.25">
      <c r="A181" s="2" t="s">
        <v>3569</v>
      </c>
      <c r="B181" t="s">
        <v>6249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8</v>
      </c>
      <c r="L181" t="s">
        <v>5317</v>
      </c>
      <c r="M181" t="s">
        <v>6250</v>
      </c>
      <c r="N181" s="4">
        <v>260504.2</v>
      </c>
      <c r="O181" s="4">
        <v>222689.08</v>
      </c>
      <c r="P181">
        <v>0</v>
      </c>
      <c r="Q181">
        <v>0</v>
      </c>
      <c r="R181">
        <v>0</v>
      </c>
      <c r="S181">
        <v>0</v>
      </c>
      <c r="T181">
        <v>0</v>
      </c>
      <c r="U181" s="4">
        <v>0</v>
      </c>
      <c r="V181" s="4">
        <v>0</v>
      </c>
      <c r="W181">
        <v>0</v>
      </c>
      <c r="X181">
        <v>0</v>
      </c>
      <c r="Y181">
        <v>0</v>
      </c>
      <c r="Z181" s="4">
        <v>310000</v>
      </c>
      <c r="AA181" s="4">
        <v>265000</v>
      </c>
    </row>
    <row r="182" spans="1:27" x14ac:dyDescent="0.25">
      <c r="A182" s="2" t="s">
        <v>3571</v>
      </c>
      <c r="B182" t="s">
        <v>5483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32</v>
      </c>
      <c r="L182" t="s">
        <v>5484</v>
      </c>
      <c r="M182" t="s">
        <v>5485</v>
      </c>
      <c r="N182" s="4">
        <v>235294.12</v>
      </c>
      <c r="O182" s="4">
        <v>214285.71</v>
      </c>
      <c r="P182">
        <v>0</v>
      </c>
      <c r="Q182">
        <v>0</v>
      </c>
      <c r="R182">
        <v>0</v>
      </c>
      <c r="S182">
        <v>0</v>
      </c>
      <c r="T182">
        <v>4</v>
      </c>
      <c r="U182" s="4">
        <v>0</v>
      </c>
      <c r="V182" s="4">
        <v>4</v>
      </c>
      <c r="W182">
        <v>0</v>
      </c>
      <c r="X182">
        <v>0</v>
      </c>
      <c r="Y182">
        <v>0</v>
      </c>
      <c r="Z182" s="4">
        <v>280000</v>
      </c>
      <c r="AA182" s="4">
        <v>255000</v>
      </c>
    </row>
    <row r="183" spans="1:27" x14ac:dyDescent="0.25">
      <c r="A183" s="2" t="s">
        <v>3573</v>
      </c>
      <c r="B183" t="s">
        <v>5486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33</v>
      </c>
      <c r="L183" t="s">
        <v>5297</v>
      </c>
      <c r="M183" t="s">
        <v>5487</v>
      </c>
      <c r="N183" s="4">
        <v>756302.52</v>
      </c>
      <c r="O183" s="4">
        <v>680672.27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900000</v>
      </c>
      <c r="AA183" s="4">
        <v>810000</v>
      </c>
    </row>
    <row r="184" spans="1:27" x14ac:dyDescent="0.25">
      <c r="A184" s="2" t="s">
        <v>6251</v>
      </c>
      <c r="B184" t="s">
        <v>6252</v>
      </c>
      <c r="D184">
        <v>1</v>
      </c>
      <c r="E184">
        <v>1</v>
      </c>
      <c r="G184">
        <v>1</v>
      </c>
      <c r="I184" s="4">
        <v>103</v>
      </c>
      <c r="J184" s="4"/>
      <c r="K184">
        <v>33</v>
      </c>
      <c r="L184" t="s">
        <v>5297</v>
      </c>
      <c r="M184" t="s">
        <v>6253</v>
      </c>
      <c r="N184" s="4">
        <v>451764.71</v>
      </c>
      <c r="O184" s="4">
        <v>395294.12</v>
      </c>
      <c r="P184">
        <v>1</v>
      </c>
      <c r="Q184">
        <v>0</v>
      </c>
      <c r="R184">
        <v>0</v>
      </c>
      <c r="S184">
        <v>0</v>
      </c>
      <c r="U184" s="4"/>
      <c r="V184" s="4">
        <v>0</v>
      </c>
      <c r="Y184">
        <v>0</v>
      </c>
      <c r="Z184" s="4">
        <v>537600</v>
      </c>
      <c r="AA184" s="4">
        <v>470400</v>
      </c>
    </row>
    <row r="185" spans="1:27" x14ac:dyDescent="0.25">
      <c r="A185" s="2" t="s">
        <v>3575</v>
      </c>
      <c r="B185" t="s">
        <v>6254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35</v>
      </c>
      <c r="L185" t="s">
        <v>5294</v>
      </c>
      <c r="M185" t="s">
        <v>5488</v>
      </c>
      <c r="N185" s="4">
        <v>285714.28999999998</v>
      </c>
      <c r="O185" s="4">
        <v>252100.84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340000</v>
      </c>
      <c r="AA185" s="4">
        <v>300000</v>
      </c>
    </row>
    <row r="186" spans="1:27" x14ac:dyDescent="0.25">
      <c r="A186" s="2" t="s">
        <v>3577</v>
      </c>
      <c r="B186" t="s">
        <v>5489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12</v>
      </c>
      <c r="L186" t="s">
        <v>5279</v>
      </c>
      <c r="M186" t="s">
        <v>5490</v>
      </c>
      <c r="N186" s="4">
        <v>235294.12</v>
      </c>
      <c r="O186" s="4">
        <v>210084.03</v>
      </c>
      <c r="P186">
        <v>0</v>
      </c>
      <c r="Q186">
        <v>0</v>
      </c>
      <c r="R186">
        <v>0</v>
      </c>
      <c r="S186">
        <v>0</v>
      </c>
      <c r="T186">
        <v>3</v>
      </c>
      <c r="U186" s="4">
        <v>1</v>
      </c>
      <c r="V186" s="4">
        <v>2</v>
      </c>
      <c r="W186">
        <v>0</v>
      </c>
      <c r="X186">
        <v>0</v>
      </c>
      <c r="Y186">
        <v>0</v>
      </c>
      <c r="Z186" s="4">
        <v>280000</v>
      </c>
      <c r="AA186" s="4">
        <v>250000</v>
      </c>
    </row>
    <row r="187" spans="1:27" x14ac:dyDescent="0.25">
      <c r="A187" s="2" t="s">
        <v>3579</v>
      </c>
      <c r="B187" t="s">
        <v>5491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5484</v>
      </c>
      <c r="M187" t="s">
        <v>5492</v>
      </c>
      <c r="N187" s="4">
        <v>394957.98</v>
      </c>
      <c r="O187" s="4">
        <v>365546.22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470000</v>
      </c>
      <c r="AA187" s="4">
        <v>435000</v>
      </c>
    </row>
    <row r="188" spans="1:27" x14ac:dyDescent="0.25">
      <c r="A188" s="2" t="s">
        <v>3581</v>
      </c>
      <c r="B188" t="s">
        <v>6255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33</v>
      </c>
      <c r="L188" t="s">
        <v>5297</v>
      </c>
      <c r="M188" t="s">
        <v>6256</v>
      </c>
      <c r="N188" s="4">
        <v>583529.41</v>
      </c>
      <c r="O188" s="4">
        <v>527058.81999999995</v>
      </c>
      <c r="P188">
        <v>1</v>
      </c>
      <c r="Q188">
        <v>0</v>
      </c>
      <c r="R188">
        <v>0</v>
      </c>
      <c r="S188">
        <v>0</v>
      </c>
      <c r="T188">
        <v>0</v>
      </c>
      <c r="U188" s="4">
        <v>0</v>
      </c>
      <c r="V188" s="4">
        <v>0</v>
      </c>
      <c r="W188">
        <v>0</v>
      </c>
      <c r="X188">
        <v>0</v>
      </c>
      <c r="Y188">
        <v>0</v>
      </c>
      <c r="Z188" s="4">
        <v>694400</v>
      </c>
      <c r="AA188" s="4">
        <v>627200</v>
      </c>
    </row>
    <row r="189" spans="1:27" x14ac:dyDescent="0.25">
      <c r="A189" s="2" t="s">
        <v>3583</v>
      </c>
      <c r="B189" t="s">
        <v>5493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59</v>
      </c>
      <c r="L189" t="s">
        <v>5285</v>
      </c>
      <c r="M189" t="s">
        <v>5494</v>
      </c>
      <c r="N189" s="4">
        <v>260504.2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10</v>
      </c>
      <c r="U189" s="4">
        <v>0</v>
      </c>
      <c r="V189" s="4">
        <v>10</v>
      </c>
      <c r="W189">
        <v>0</v>
      </c>
      <c r="X189">
        <v>0</v>
      </c>
      <c r="Y189">
        <v>0</v>
      </c>
      <c r="Z189" s="4">
        <v>310000</v>
      </c>
      <c r="AA189" s="4">
        <v>290000</v>
      </c>
    </row>
    <row r="190" spans="1:27" x14ac:dyDescent="0.25">
      <c r="A190" s="2" t="s">
        <v>3585</v>
      </c>
      <c r="B190" t="s">
        <v>5495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5317</v>
      </c>
      <c r="M190" t="s">
        <v>5496</v>
      </c>
      <c r="N190" s="4">
        <v>268907.56</v>
      </c>
      <c r="O190" s="4">
        <v>239495.8</v>
      </c>
      <c r="P190">
        <v>0</v>
      </c>
      <c r="Q190">
        <v>0</v>
      </c>
      <c r="R190">
        <v>0</v>
      </c>
      <c r="S190">
        <v>0</v>
      </c>
      <c r="T190">
        <v>3</v>
      </c>
      <c r="U190" s="4">
        <v>0</v>
      </c>
      <c r="V190" s="4">
        <v>3</v>
      </c>
      <c r="W190">
        <v>0</v>
      </c>
      <c r="X190">
        <v>0</v>
      </c>
      <c r="Y190">
        <v>0</v>
      </c>
      <c r="Z190" s="4">
        <v>320000</v>
      </c>
      <c r="AA190" s="4">
        <v>285000</v>
      </c>
    </row>
    <row r="191" spans="1:27" x14ac:dyDescent="0.25">
      <c r="A191" s="2" t="s">
        <v>3587</v>
      </c>
      <c r="B191" t="s">
        <v>6257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5317</v>
      </c>
      <c r="M191" t="s">
        <v>5497</v>
      </c>
      <c r="N191" s="4">
        <v>193277.31</v>
      </c>
      <c r="O191" s="4">
        <v>172268.91</v>
      </c>
      <c r="P191">
        <v>0</v>
      </c>
      <c r="Q191">
        <v>0</v>
      </c>
      <c r="R191">
        <v>0</v>
      </c>
      <c r="S191">
        <v>0</v>
      </c>
      <c r="T191">
        <v>1</v>
      </c>
      <c r="U191" s="4">
        <v>0</v>
      </c>
      <c r="V191" s="4">
        <v>1</v>
      </c>
      <c r="W191">
        <v>0</v>
      </c>
      <c r="X191">
        <v>0</v>
      </c>
      <c r="Y191">
        <v>0</v>
      </c>
      <c r="Z191" s="4">
        <v>230000</v>
      </c>
      <c r="AA191" s="4">
        <v>205000</v>
      </c>
    </row>
    <row r="192" spans="1:27" x14ac:dyDescent="0.25">
      <c r="A192" s="2" t="s">
        <v>6258</v>
      </c>
      <c r="B192" t="s">
        <v>6259</v>
      </c>
      <c r="D192">
        <v>1</v>
      </c>
      <c r="E192">
        <v>1</v>
      </c>
      <c r="G192">
        <v>1</v>
      </c>
      <c r="I192" s="4">
        <v>103</v>
      </c>
      <c r="J192" s="4"/>
      <c r="K192">
        <v>0</v>
      </c>
      <c r="L192" t="s">
        <v>5574</v>
      </c>
      <c r="M192" t="s">
        <v>6260</v>
      </c>
      <c r="N192" s="4">
        <v>1.1200000000000001</v>
      </c>
      <c r="O192" s="4">
        <v>1.1200000000000001</v>
      </c>
      <c r="P192">
        <v>1</v>
      </c>
      <c r="Q192">
        <v>0</v>
      </c>
      <c r="R192">
        <v>0</v>
      </c>
      <c r="S192">
        <v>0</v>
      </c>
      <c r="U192" s="4"/>
      <c r="V192" s="4">
        <v>0</v>
      </c>
      <c r="Y192">
        <v>0</v>
      </c>
      <c r="Z192" s="4">
        <v>1.33</v>
      </c>
      <c r="AA192" s="4">
        <v>1.33</v>
      </c>
    </row>
    <row r="193" spans="1:27" x14ac:dyDescent="0.25">
      <c r="A193" s="2" t="s">
        <v>3589</v>
      </c>
      <c r="B193" t="s">
        <v>6261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18</v>
      </c>
      <c r="L193" t="s">
        <v>5282</v>
      </c>
      <c r="M193" t="s">
        <v>6262</v>
      </c>
      <c r="N193" s="4">
        <v>254117.65</v>
      </c>
      <c r="O193" s="4">
        <v>225882.35</v>
      </c>
      <c r="P193">
        <v>1</v>
      </c>
      <c r="Q193">
        <v>0</v>
      </c>
      <c r="R193">
        <v>0</v>
      </c>
      <c r="S193">
        <v>0</v>
      </c>
      <c r="T193">
        <v>0</v>
      </c>
      <c r="U193" s="4">
        <v>0</v>
      </c>
      <c r="V193" s="4">
        <v>0</v>
      </c>
      <c r="W193">
        <v>0</v>
      </c>
      <c r="X193">
        <v>0</v>
      </c>
      <c r="Y193">
        <v>0</v>
      </c>
      <c r="Z193" s="4">
        <v>302400</v>
      </c>
      <c r="AA193" s="4">
        <v>268800</v>
      </c>
    </row>
    <row r="194" spans="1:27" x14ac:dyDescent="0.25">
      <c r="A194" s="2" t="s">
        <v>3591</v>
      </c>
      <c r="B194" t="s">
        <v>5498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4</v>
      </c>
      <c r="L194" t="s">
        <v>5334</v>
      </c>
      <c r="M194" t="s">
        <v>5499</v>
      </c>
      <c r="N194" s="4">
        <v>235294.12</v>
      </c>
      <c r="O194" s="4">
        <v>210084.03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280000</v>
      </c>
      <c r="AA194" s="4">
        <v>250000</v>
      </c>
    </row>
    <row r="195" spans="1:27" x14ac:dyDescent="0.25">
      <c r="A195" s="2" t="s">
        <v>3593</v>
      </c>
      <c r="B195" t="s">
        <v>6263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8</v>
      </c>
      <c r="L195" t="s">
        <v>5317</v>
      </c>
      <c r="M195" t="s">
        <v>6264</v>
      </c>
      <c r="N195" s="4">
        <v>184873.95</v>
      </c>
      <c r="O195" s="4">
        <v>168067.23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220000</v>
      </c>
      <c r="AA195" s="4">
        <v>200000</v>
      </c>
    </row>
    <row r="196" spans="1:27" x14ac:dyDescent="0.25">
      <c r="A196" s="2" t="s">
        <v>3595</v>
      </c>
      <c r="B196" t="s">
        <v>6265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37</v>
      </c>
      <c r="L196" t="s">
        <v>5288</v>
      </c>
      <c r="M196" t="s">
        <v>6266</v>
      </c>
      <c r="N196" s="4">
        <v>193277.31</v>
      </c>
      <c r="O196" s="4">
        <v>168067.23</v>
      </c>
      <c r="P196">
        <v>0</v>
      </c>
      <c r="Q196">
        <v>0</v>
      </c>
      <c r="R196">
        <v>0</v>
      </c>
      <c r="S196">
        <v>0</v>
      </c>
      <c r="T196">
        <v>0</v>
      </c>
      <c r="U196" s="4">
        <v>0</v>
      </c>
      <c r="V196" s="4">
        <v>0</v>
      </c>
      <c r="W196">
        <v>0</v>
      </c>
      <c r="X196">
        <v>0</v>
      </c>
      <c r="Y196">
        <v>0</v>
      </c>
      <c r="Z196" s="4">
        <v>230000</v>
      </c>
      <c r="AA196" s="4">
        <v>200000</v>
      </c>
    </row>
    <row r="197" spans="1:27" x14ac:dyDescent="0.25">
      <c r="A197" s="2" t="s">
        <v>3597</v>
      </c>
      <c r="B197" t="s">
        <v>5500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3</v>
      </c>
      <c r="L197" t="s">
        <v>5384</v>
      </c>
      <c r="M197" t="s">
        <v>5501</v>
      </c>
      <c r="N197" s="4">
        <v>352941.18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420000</v>
      </c>
      <c r="AA197" s="4">
        <v>380000</v>
      </c>
    </row>
    <row r="198" spans="1:27" x14ac:dyDescent="0.25">
      <c r="A198" s="2" t="s">
        <v>6267</v>
      </c>
      <c r="B198" t="s">
        <v>5500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5279</v>
      </c>
      <c r="M198" t="s">
        <v>6268</v>
      </c>
      <c r="N198" s="4">
        <v>293647.06</v>
      </c>
      <c r="O198" s="4">
        <v>254117.65</v>
      </c>
      <c r="P198">
        <v>1</v>
      </c>
      <c r="Q198">
        <v>0</v>
      </c>
      <c r="R198">
        <v>0</v>
      </c>
      <c r="S198">
        <v>0</v>
      </c>
      <c r="T198">
        <v>0</v>
      </c>
      <c r="U198" s="4">
        <v>0</v>
      </c>
      <c r="V198" s="4">
        <v>0</v>
      </c>
      <c r="W198">
        <v>0</v>
      </c>
      <c r="X198">
        <v>0</v>
      </c>
      <c r="Y198">
        <v>0</v>
      </c>
      <c r="Z198" s="4">
        <v>349440</v>
      </c>
      <c r="AA198" s="4">
        <v>302400</v>
      </c>
    </row>
    <row r="199" spans="1:27" x14ac:dyDescent="0.25">
      <c r="A199" s="2" t="s">
        <v>6269</v>
      </c>
      <c r="B199" t="s">
        <v>6270</v>
      </c>
      <c r="D199">
        <v>1</v>
      </c>
      <c r="E199">
        <v>1</v>
      </c>
      <c r="G199">
        <v>1</v>
      </c>
      <c r="I199" s="4">
        <v>103</v>
      </c>
      <c r="J199" s="4"/>
      <c r="K199">
        <v>0</v>
      </c>
      <c r="L199" t="s">
        <v>5574</v>
      </c>
      <c r="M199" t="s">
        <v>6271</v>
      </c>
      <c r="N199" s="4">
        <v>1.1200000000000001</v>
      </c>
      <c r="O199" s="4">
        <v>1.1200000000000001</v>
      </c>
      <c r="P199">
        <v>1</v>
      </c>
      <c r="Q199">
        <v>0</v>
      </c>
      <c r="R199">
        <v>0</v>
      </c>
      <c r="S199">
        <v>0</v>
      </c>
      <c r="U199" s="4"/>
      <c r="V199" s="4">
        <v>0</v>
      </c>
      <c r="Y199">
        <v>0</v>
      </c>
      <c r="Z199" s="4">
        <v>1.33</v>
      </c>
      <c r="AA199" s="4">
        <v>1.33</v>
      </c>
    </row>
    <row r="200" spans="1:27" x14ac:dyDescent="0.25">
      <c r="A200" s="2" t="s">
        <v>3599</v>
      </c>
      <c r="B200" t="s">
        <v>6272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33</v>
      </c>
      <c r="L200" t="s">
        <v>5297</v>
      </c>
      <c r="M200" t="s">
        <v>6273</v>
      </c>
      <c r="N200" s="4">
        <v>563025.21</v>
      </c>
      <c r="O200" s="4">
        <v>512605.04</v>
      </c>
      <c r="P200">
        <v>0</v>
      </c>
      <c r="Q200">
        <v>0</v>
      </c>
      <c r="R200">
        <v>0</v>
      </c>
      <c r="S200">
        <v>0</v>
      </c>
      <c r="T200">
        <v>0</v>
      </c>
      <c r="U200" s="4">
        <v>0</v>
      </c>
      <c r="V200" s="4">
        <v>0</v>
      </c>
      <c r="W200">
        <v>0</v>
      </c>
      <c r="X200">
        <v>0</v>
      </c>
      <c r="Y200">
        <v>0</v>
      </c>
      <c r="Z200" s="4">
        <v>670000</v>
      </c>
      <c r="AA200" s="4">
        <v>610000</v>
      </c>
    </row>
    <row r="201" spans="1:27" x14ac:dyDescent="0.25">
      <c r="A201" s="2" t="s">
        <v>3601</v>
      </c>
      <c r="B201" t="s">
        <v>5502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5</v>
      </c>
      <c r="L201" t="s">
        <v>5275</v>
      </c>
      <c r="M201" t="s">
        <v>5503</v>
      </c>
      <c r="N201" s="4">
        <v>588235.29</v>
      </c>
      <c r="O201" s="4">
        <v>521008.4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700000</v>
      </c>
      <c r="AA201" s="4">
        <v>620000</v>
      </c>
    </row>
    <row r="202" spans="1:27" x14ac:dyDescent="0.25">
      <c r="A202" s="2" t="s">
        <v>6274</v>
      </c>
      <c r="B202" t="s">
        <v>6275</v>
      </c>
      <c r="D202">
        <v>1</v>
      </c>
      <c r="E202">
        <v>1</v>
      </c>
      <c r="G202">
        <v>1</v>
      </c>
      <c r="I202" s="4">
        <v>103</v>
      </c>
      <c r="J202" s="4"/>
      <c r="K202">
        <v>0</v>
      </c>
      <c r="L202" t="s">
        <v>5574</v>
      </c>
      <c r="M202" t="s">
        <v>6276</v>
      </c>
      <c r="N202" s="4">
        <v>1.1200000000000001</v>
      </c>
      <c r="O202" s="4">
        <v>1.1200000000000001</v>
      </c>
      <c r="P202">
        <v>1</v>
      </c>
      <c r="Q202">
        <v>0</v>
      </c>
      <c r="R202">
        <v>0</v>
      </c>
      <c r="S202">
        <v>0</v>
      </c>
      <c r="U202" s="4"/>
      <c r="V202" s="4">
        <v>0</v>
      </c>
      <c r="Y202">
        <v>0</v>
      </c>
      <c r="Z202" s="4">
        <v>1.33</v>
      </c>
      <c r="AA202" s="4">
        <v>1.33</v>
      </c>
    </row>
    <row r="203" spans="1:27" x14ac:dyDescent="0.25">
      <c r="A203" s="2" t="s">
        <v>3603</v>
      </c>
      <c r="B203" t="s">
        <v>6277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5297</v>
      </c>
      <c r="M203" t="s">
        <v>6278</v>
      </c>
      <c r="N203" s="4">
        <v>235294.12</v>
      </c>
      <c r="O203" s="4">
        <v>210084.03</v>
      </c>
      <c r="P203">
        <v>0</v>
      </c>
      <c r="Q203">
        <v>0</v>
      </c>
      <c r="R203">
        <v>0</v>
      </c>
      <c r="S203">
        <v>0</v>
      </c>
      <c r="T203">
        <v>0</v>
      </c>
      <c r="U203" s="4">
        <v>0</v>
      </c>
      <c r="V203" s="4">
        <v>0</v>
      </c>
      <c r="W203">
        <v>0</v>
      </c>
      <c r="X203">
        <v>0</v>
      </c>
      <c r="Y203">
        <v>0</v>
      </c>
      <c r="Z203" s="4">
        <v>280000</v>
      </c>
      <c r="AA203" s="4">
        <v>250000</v>
      </c>
    </row>
    <row r="204" spans="1:27" x14ac:dyDescent="0.25">
      <c r="A204" s="2" t="s">
        <v>3605</v>
      </c>
      <c r="B204" t="s">
        <v>5504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5317</v>
      </c>
      <c r="M204" t="s">
        <v>5505</v>
      </c>
      <c r="N204" s="4">
        <v>480000</v>
      </c>
      <c r="O204" s="4">
        <v>423529.41</v>
      </c>
      <c r="P204">
        <v>1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571200</v>
      </c>
      <c r="AA204" s="4">
        <v>504000</v>
      </c>
    </row>
    <row r="205" spans="1:27" x14ac:dyDescent="0.25">
      <c r="A205" s="2" t="s">
        <v>6279</v>
      </c>
      <c r="B205" t="s">
        <v>6280</v>
      </c>
      <c r="D205">
        <v>1</v>
      </c>
      <c r="E205">
        <v>1</v>
      </c>
      <c r="G205">
        <v>1</v>
      </c>
      <c r="I205" s="4">
        <v>103</v>
      </c>
      <c r="J205" s="4"/>
      <c r="K205">
        <v>0</v>
      </c>
      <c r="L205" t="s">
        <v>5574</v>
      </c>
      <c r="M205" t="s">
        <v>6281</v>
      </c>
      <c r="N205" s="4">
        <v>1.1200000000000001</v>
      </c>
      <c r="O205" s="4">
        <v>1.1200000000000001</v>
      </c>
      <c r="P205">
        <v>1</v>
      </c>
      <c r="Q205">
        <v>0</v>
      </c>
      <c r="R205">
        <v>0</v>
      </c>
      <c r="S205">
        <v>0</v>
      </c>
      <c r="U205" s="4"/>
      <c r="V205" s="4">
        <v>0</v>
      </c>
      <c r="Y205">
        <v>0</v>
      </c>
      <c r="Z205" s="4">
        <v>1.33</v>
      </c>
      <c r="AA205" s="4">
        <v>1.33</v>
      </c>
    </row>
    <row r="206" spans="1:27" x14ac:dyDescent="0.25">
      <c r="A206" s="2" t="s">
        <v>3607</v>
      </c>
      <c r="B206" t="s">
        <v>5506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35</v>
      </c>
      <c r="L206" t="s">
        <v>5294</v>
      </c>
      <c r="M206" t="s">
        <v>5507</v>
      </c>
      <c r="N206" s="4">
        <v>277310.92</v>
      </c>
      <c r="O206" s="4">
        <v>247899.16</v>
      </c>
      <c r="P206">
        <v>0</v>
      </c>
      <c r="Q206">
        <v>0</v>
      </c>
      <c r="R206">
        <v>0</v>
      </c>
      <c r="S206">
        <v>0</v>
      </c>
      <c r="T206">
        <v>4</v>
      </c>
      <c r="U206" s="4">
        <v>0</v>
      </c>
      <c r="V206" s="4">
        <v>4</v>
      </c>
      <c r="W206">
        <v>0</v>
      </c>
      <c r="X206">
        <v>0</v>
      </c>
      <c r="Y206">
        <v>0</v>
      </c>
      <c r="Z206" s="4">
        <v>330000</v>
      </c>
      <c r="AA206" s="4">
        <v>295000</v>
      </c>
    </row>
    <row r="207" spans="1:27" x14ac:dyDescent="0.25">
      <c r="A207" s="2" t="s">
        <v>3609</v>
      </c>
      <c r="B207" t="s">
        <v>5508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32</v>
      </c>
      <c r="L207" t="s">
        <v>5484</v>
      </c>
      <c r="M207" t="s">
        <v>5509</v>
      </c>
      <c r="N207" s="4">
        <v>252100.84</v>
      </c>
      <c r="O207" s="4">
        <v>226890.76</v>
      </c>
      <c r="P207">
        <v>0</v>
      </c>
      <c r="Q207">
        <v>0</v>
      </c>
      <c r="R207">
        <v>0</v>
      </c>
      <c r="S207">
        <v>0</v>
      </c>
      <c r="T207">
        <v>11</v>
      </c>
      <c r="U207" s="4">
        <v>0</v>
      </c>
      <c r="V207" s="4">
        <v>11</v>
      </c>
      <c r="W207">
        <v>0</v>
      </c>
      <c r="X207">
        <v>0</v>
      </c>
      <c r="Y207">
        <v>0</v>
      </c>
      <c r="Z207" s="4">
        <v>300000</v>
      </c>
      <c r="AA207" s="4">
        <v>270000</v>
      </c>
    </row>
    <row r="208" spans="1:27" x14ac:dyDescent="0.25">
      <c r="A208" s="2" t="s">
        <v>3611</v>
      </c>
      <c r="B208" t="s">
        <v>6282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33</v>
      </c>
      <c r="L208" t="s">
        <v>5297</v>
      </c>
      <c r="M208" t="s">
        <v>5510</v>
      </c>
      <c r="N208" s="4">
        <v>294117.65000000002</v>
      </c>
      <c r="O208" s="4">
        <v>264705.88</v>
      </c>
      <c r="P208">
        <v>0</v>
      </c>
      <c r="Q208">
        <v>0</v>
      </c>
      <c r="R208">
        <v>0</v>
      </c>
      <c r="S208">
        <v>0</v>
      </c>
      <c r="T208">
        <v>2</v>
      </c>
      <c r="U208" s="4">
        <v>0</v>
      </c>
      <c r="V208" s="4">
        <v>2</v>
      </c>
      <c r="W208">
        <v>0</v>
      </c>
      <c r="X208">
        <v>0</v>
      </c>
      <c r="Y208">
        <v>0</v>
      </c>
      <c r="Z208" s="4">
        <v>350000</v>
      </c>
      <c r="AA208" s="4">
        <v>315000</v>
      </c>
    </row>
    <row r="209" spans="1:27" x14ac:dyDescent="0.25">
      <c r="A209" s="2" t="s">
        <v>3613</v>
      </c>
      <c r="B209" t="s">
        <v>6283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35</v>
      </c>
      <c r="L209" t="s">
        <v>5294</v>
      </c>
      <c r="M209" t="s">
        <v>6284</v>
      </c>
      <c r="N209" s="4">
        <v>394957.98</v>
      </c>
      <c r="O209" s="4">
        <v>344537.82</v>
      </c>
      <c r="P209">
        <v>0</v>
      </c>
      <c r="Q209">
        <v>0</v>
      </c>
      <c r="R209">
        <v>0</v>
      </c>
      <c r="S209">
        <v>0</v>
      </c>
      <c r="T209">
        <v>0</v>
      </c>
      <c r="U209" s="4">
        <v>0</v>
      </c>
      <c r="V209" s="4">
        <v>0</v>
      </c>
      <c r="W209">
        <v>0</v>
      </c>
      <c r="X209">
        <v>0</v>
      </c>
      <c r="Y209">
        <v>0</v>
      </c>
      <c r="Z209" s="4">
        <v>470000</v>
      </c>
      <c r="AA209" s="4">
        <v>410000</v>
      </c>
    </row>
    <row r="210" spans="1:27" x14ac:dyDescent="0.25">
      <c r="A210" s="2" t="s">
        <v>3615</v>
      </c>
      <c r="B210" t="s">
        <v>5511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32</v>
      </c>
      <c r="L210" t="s">
        <v>5484</v>
      </c>
      <c r="M210" t="s">
        <v>5512</v>
      </c>
      <c r="N210" s="4">
        <v>367058.82</v>
      </c>
      <c r="O210" s="4">
        <v>320000</v>
      </c>
      <c r="P210">
        <v>1</v>
      </c>
      <c r="Q210">
        <v>0</v>
      </c>
      <c r="R210">
        <v>0</v>
      </c>
      <c r="S210">
        <v>0</v>
      </c>
      <c r="T210">
        <v>1</v>
      </c>
      <c r="U210" s="4">
        <v>0</v>
      </c>
      <c r="V210" s="4">
        <v>1</v>
      </c>
      <c r="W210">
        <v>0</v>
      </c>
      <c r="X210">
        <v>0</v>
      </c>
      <c r="Y210">
        <v>0</v>
      </c>
      <c r="Z210" s="4">
        <v>436800</v>
      </c>
      <c r="AA210" s="4">
        <v>380800</v>
      </c>
    </row>
    <row r="211" spans="1:27" x14ac:dyDescent="0.25">
      <c r="A211" s="2" t="s">
        <v>6285</v>
      </c>
      <c r="B211" t="s">
        <v>6286</v>
      </c>
      <c r="D211">
        <v>1</v>
      </c>
      <c r="E211">
        <v>1</v>
      </c>
      <c r="G211">
        <v>1</v>
      </c>
      <c r="I211" s="4">
        <v>103</v>
      </c>
      <c r="J211" s="4"/>
      <c r="K211">
        <v>32</v>
      </c>
      <c r="L211" t="s">
        <v>5484</v>
      </c>
      <c r="M211" t="s">
        <v>6287</v>
      </c>
      <c r="N211" s="4">
        <v>357647.06</v>
      </c>
      <c r="O211" s="4">
        <v>349176.47</v>
      </c>
      <c r="P211">
        <v>1</v>
      </c>
      <c r="Q211">
        <v>0</v>
      </c>
      <c r="R211">
        <v>0</v>
      </c>
      <c r="S211">
        <v>0</v>
      </c>
      <c r="U211" s="4"/>
      <c r="V211" s="4">
        <v>0</v>
      </c>
      <c r="Y211">
        <v>0</v>
      </c>
      <c r="Z211" s="4">
        <v>425600</v>
      </c>
      <c r="AA211" s="4">
        <v>415520</v>
      </c>
    </row>
    <row r="212" spans="1:27" x14ac:dyDescent="0.25">
      <c r="A212" s="2" t="s">
        <v>6288</v>
      </c>
      <c r="B212" t="s">
        <v>6289</v>
      </c>
      <c r="D212">
        <v>1</v>
      </c>
      <c r="E212">
        <v>1</v>
      </c>
      <c r="G212">
        <v>1</v>
      </c>
      <c r="I212" s="4">
        <v>103</v>
      </c>
      <c r="J212" s="4"/>
      <c r="K212">
        <v>0</v>
      </c>
      <c r="L212" t="s">
        <v>5574</v>
      </c>
      <c r="M212" t="s">
        <v>6290</v>
      </c>
      <c r="N212" s="4">
        <v>1.1200000000000001</v>
      </c>
      <c r="O212" s="4">
        <v>1.1200000000000001</v>
      </c>
      <c r="P212">
        <v>1</v>
      </c>
      <c r="Q212">
        <v>0</v>
      </c>
      <c r="R212">
        <v>0</v>
      </c>
      <c r="S212">
        <v>0</v>
      </c>
      <c r="U212" s="4"/>
      <c r="V212" s="4">
        <v>0</v>
      </c>
      <c r="Y212">
        <v>0</v>
      </c>
      <c r="Z212" s="4">
        <v>1.33</v>
      </c>
      <c r="AA212" s="4">
        <v>1.33</v>
      </c>
    </row>
    <row r="213" spans="1:27" x14ac:dyDescent="0.25">
      <c r="A213" s="2" t="s">
        <v>3617</v>
      </c>
      <c r="B213" t="s">
        <v>6291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33</v>
      </c>
      <c r="L213" t="s">
        <v>5297</v>
      </c>
      <c r="M213" t="s">
        <v>5513</v>
      </c>
      <c r="N213" s="4">
        <v>714285.71</v>
      </c>
      <c r="O213" s="4">
        <v>630252.1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850000</v>
      </c>
      <c r="AA213" s="4">
        <v>750000</v>
      </c>
    </row>
    <row r="214" spans="1:27" x14ac:dyDescent="0.25">
      <c r="A214" s="2" t="s">
        <v>3619</v>
      </c>
      <c r="B214" t="s">
        <v>5514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</v>
      </c>
      <c r="L214" t="s">
        <v>5384</v>
      </c>
      <c r="M214" t="s">
        <v>5515</v>
      </c>
      <c r="N214" s="4">
        <v>294117.65000000002</v>
      </c>
      <c r="O214" s="4">
        <v>268907.56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350000</v>
      </c>
      <c r="AA214" s="4">
        <v>320000</v>
      </c>
    </row>
    <row r="215" spans="1:27" x14ac:dyDescent="0.25">
      <c r="A215" s="2" t="s">
        <v>3621</v>
      </c>
      <c r="B215" t="s">
        <v>5516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35</v>
      </c>
      <c r="L215" t="s">
        <v>5294</v>
      </c>
      <c r="M215" t="s">
        <v>5517</v>
      </c>
      <c r="N215" s="4">
        <v>504201.68</v>
      </c>
      <c r="O215" s="4">
        <v>462184.87</v>
      </c>
      <c r="P215">
        <v>0</v>
      </c>
      <c r="Q215">
        <v>0</v>
      </c>
      <c r="R215">
        <v>0</v>
      </c>
      <c r="S215">
        <v>0</v>
      </c>
      <c r="T215">
        <v>3</v>
      </c>
      <c r="U215" s="4">
        <v>0</v>
      </c>
      <c r="V215" s="4">
        <v>3</v>
      </c>
      <c r="W215">
        <v>0</v>
      </c>
      <c r="X215">
        <v>0</v>
      </c>
      <c r="Y215">
        <v>0</v>
      </c>
      <c r="Z215" s="4">
        <v>600000</v>
      </c>
      <c r="AA215" s="4">
        <v>550000</v>
      </c>
    </row>
    <row r="216" spans="1:27" x14ac:dyDescent="0.25">
      <c r="A216" s="2" t="s">
        <v>3623</v>
      </c>
      <c r="B216" t="s">
        <v>5518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18</v>
      </c>
      <c r="L216" t="s">
        <v>5282</v>
      </c>
      <c r="M216" t="s">
        <v>5519</v>
      </c>
      <c r="N216" s="4">
        <v>239495.8</v>
      </c>
      <c r="O216" s="4">
        <v>214285.71</v>
      </c>
      <c r="P216">
        <v>0</v>
      </c>
      <c r="Q216">
        <v>0</v>
      </c>
      <c r="R216">
        <v>0</v>
      </c>
      <c r="S216">
        <v>0</v>
      </c>
      <c r="T216">
        <v>5</v>
      </c>
      <c r="U216" s="4">
        <v>0</v>
      </c>
      <c r="V216" s="4">
        <v>5</v>
      </c>
      <c r="W216">
        <v>0</v>
      </c>
      <c r="X216">
        <v>0</v>
      </c>
      <c r="Y216">
        <v>0</v>
      </c>
      <c r="Z216" s="4">
        <v>285000</v>
      </c>
      <c r="AA216" s="4">
        <v>255000</v>
      </c>
    </row>
    <row r="217" spans="1:27" x14ac:dyDescent="0.25">
      <c r="A217" s="2" t="s">
        <v>3625</v>
      </c>
      <c r="B217" t="s">
        <v>6292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22</v>
      </c>
      <c r="L217" t="s">
        <v>6130</v>
      </c>
      <c r="M217" t="s">
        <v>6293</v>
      </c>
      <c r="N217" s="4">
        <v>277310.92</v>
      </c>
      <c r="O217" s="4">
        <v>252100.84</v>
      </c>
      <c r="P217">
        <v>0</v>
      </c>
      <c r="Q217">
        <v>0</v>
      </c>
      <c r="R217">
        <v>0</v>
      </c>
      <c r="S217">
        <v>0</v>
      </c>
      <c r="T217">
        <v>0</v>
      </c>
      <c r="U217" s="4">
        <v>0</v>
      </c>
      <c r="V217" s="4">
        <v>0</v>
      </c>
      <c r="W217">
        <v>0</v>
      </c>
      <c r="X217">
        <v>0</v>
      </c>
      <c r="Y217">
        <v>0</v>
      </c>
      <c r="Z217" s="4">
        <v>330000</v>
      </c>
      <c r="AA217" s="4">
        <v>300000</v>
      </c>
    </row>
    <row r="218" spans="1:27" x14ac:dyDescent="0.25">
      <c r="A218" s="2" t="s">
        <v>3627</v>
      </c>
      <c r="B218" t="s">
        <v>5520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18</v>
      </c>
      <c r="L218" t="s">
        <v>5282</v>
      </c>
      <c r="M218" t="s">
        <v>5521</v>
      </c>
      <c r="N218" s="4">
        <v>188235.29</v>
      </c>
      <c r="O218" s="4">
        <v>160000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224000</v>
      </c>
      <c r="AA218" s="4">
        <v>190400</v>
      </c>
    </row>
    <row r="219" spans="1:27" x14ac:dyDescent="0.25">
      <c r="A219" s="2" t="s">
        <v>3629</v>
      </c>
      <c r="B219" t="s">
        <v>5522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8</v>
      </c>
      <c r="L219" t="s">
        <v>5317</v>
      </c>
      <c r="M219" t="s">
        <v>5523</v>
      </c>
      <c r="N219" s="4">
        <v>216470.59</v>
      </c>
      <c r="O219" s="4">
        <v>188235.29</v>
      </c>
      <c r="P219">
        <v>1</v>
      </c>
      <c r="Q219">
        <v>0</v>
      </c>
      <c r="R219">
        <v>0</v>
      </c>
      <c r="S219">
        <v>0</v>
      </c>
      <c r="T219">
        <v>2</v>
      </c>
      <c r="U219" s="4">
        <v>0</v>
      </c>
      <c r="V219" s="4">
        <v>2</v>
      </c>
      <c r="W219">
        <v>0</v>
      </c>
      <c r="X219">
        <v>0</v>
      </c>
      <c r="Y219">
        <v>0</v>
      </c>
      <c r="Z219" s="4">
        <v>257600</v>
      </c>
      <c r="AA219" s="4">
        <v>224000</v>
      </c>
    </row>
    <row r="220" spans="1:27" x14ac:dyDescent="0.25">
      <c r="A220" s="2" t="s">
        <v>6294</v>
      </c>
      <c r="B220" t="s">
        <v>6295</v>
      </c>
      <c r="D220">
        <v>1</v>
      </c>
      <c r="E220">
        <v>1</v>
      </c>
      <c r="G220">
        <v>1</v>
      </c>
      <c r="I220" s="4">
        <v>103</v>
      </c>
      <c r="J220" s="4"/>
      <c r="K220">
        <v>0</v>
      </c>
      <c r="L220" t="s">
        <v>5574</v>
      </c>
      <c r="M220" s="5" t="s">
        <v>6296</v>
      </c>
      <c r="N220" s="4">
        <v>1.1200000000000001</v>
      </c>
      <c r="O220" s="4">
        <v>1.1200000000000001</v>
      </c>
      <c r="P220">
        <v>1</v>
      </c>
      <c r="Q220">
        <v>0</v>
      </c>
      <c r="R220">
        <v>0</v>
      </c>
      <c r="S220">
        <v>0</v>
      </c>
      <c r="U220" s="4"/>
      <c r="V220" s="4">
        <v>0</v>
      </c>
      <c r="Y220">
        <v>0</v>
      </c>
      <c r="Z220" s="4">
        <v>1.33</v>
      </c>
      <c r="AA220" s="4">
        <v>1.33</v>
      </c>
    </row>
    <row r="221" spans="1:27" x14ac:dyDescent="0.25">
      <c r="A221" s="2" t="s">
        <v>6297</v>
      </c>
      <c r="B221" t="s">
        <v>6298</v>
      </c>
      <c r="D221">
        <v>1</v>
      </c>
      <c r="E221">
        <v>1</v>
      </c>
      <c r="G221">
        <v>1</v>
      </c>
      <c r="I221" s="4">
        <v>103</v>
      </c>
      <c r="J221" s="4"/>
      <c r="K221">
        <v>0</v>
      </c>
      <c r="L221" t="s">
        <v>5574</v>
      </c>
      <c r="M221" t="s">
        <v>6299</v>
      </c>
      <c r="N221" s="4">
        <v>1.1200000000000001</v>
      </c>
      <c r="O221" s="4">
        <v>1.1200000000000001</v>
      </c>
      <c r="P221">
        <v>1</v>
      </c>
      <c r="Q221">
        <v>0</v>
      </c>
      <c r="R221">
        <v>0</v>
      </c>
      <c r="S221">
        <v>0</v>
      </c>
      <c r="U221" s="4"/>
      <c r="V221" s="4">
        <v>0</v>
      </c>
      <c r="Y221">
        <v>0</v>
      </c>
      <c r="Z221" s="4">
        <v>1.33</v>
      </c>
      <c r="AA221" s="4">
        <v>1.33</v>
      </c>
    </row>
    <row r="222" spans="1:27" x14ac:dyDescent="0.25">
      <c r="A222" s="2" t="s">
        <v>6300</v>
      </c>
      <c r="B222" t="s">
        <v>6301</v>
      </c>
      <c r="D222">
        <v>1</v>
      </c>
      <c r="E222">
        <v>1</v>
      </c>
      <c r="G222">
        <v>1</v>
      </c>
      <c r="I222" s="4">
        <v>103</v>
      </c>
      <c r="J222" s="4"/>
      <c r="K222">
        <v>0</v>
      </c>
      <c r="L222" t="s">
        <v>5574</v>
      </c>
      <c r="M222" t="s">
        <v>6302</v>
      </c>
      <c r="N222" s="4">
        <v>1.1200000000000001</v>
      </c>
      <c r="O222" s="4">
        <v>1.1200000000000001</v>
      </c>
      <c r="P222">
        <v>1</v>
      </c>
      <c r="Q222">
        <v>0</v>
      </c>
      <c r="R222">
        <v>0</v>
      </c>
      <c r="S222">
        <v>0</v>
      </c>
      <c r="U222" s="4"/>
      <c r="V222" s="4">
        <v>0</v>
      </c>
      <c r="Y222">
        <v>0</v>
      </c>
      <c r="Z222" s="4">
        <v>1.33</v>
      </c>
      <c r="AA222" s="4">
        <v>1.33</v>
      </c>
    </row>
    <row r="223" spans="1:27" x14ac:dyDescent="0.25">
      <c r="A223" s="2" t="s">
        <v>3631</v>
      </c>
      <c r="B223" t="s">
        <v>5524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12</v>
      </c>
      <c r="L223" t="s">
        <v>5279</v>
      </c>
      <c r="M223" t="s">
        <v>5525</v>
      </c>
      <c r="N223" s="4">
        <v>282352.94</v>
      </c>
      <c r="O223" s="4">
        <v>244705.88</v>
      </c>
      <c r="P223">
        <v>0</v>
      </c>
      <c r="Q223">
        <v>0</v>
      </c>
      <c r="R223">
        <v>0</v>
      </c>
      <c r="S223">
        <v>0</v>
      </c>
      <c r="T223">
        <v>1</v>
      </c>
      <c r="U223" s="4">
        <v>0</v>
      </c>
      <c r="V223" s="4">
        <v>1</v>
      </c>
      <c r="W223">
        <v>0</v>
      </c>
      <c r="X223">
        <v>0</v>
      </c>
      <c r="Y223">
        <v>0</v>
      </c>
      <c r="Z223" s="4">
        <v>336000</v>
      </c>
      <c r="AA223" s="4">
        <v>291200</v>
      </c>
    </row>
    <row r="224" spans="1:27" x14ac:dyDescent="0.25">
      <c r="A224" s="2" t="s">
        <v>3633</v>
      </c>
      <c r="B224" t="s">
        <v>6303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35</v>
      </c>
      <c r="L224" t="s">
        <v>5294</v>
      </c>
      <c r="M224" t="s">
        <v>6304</v>
      </c>
      <c r="N224" s="4">
        <v>545882.35</v>
      </c>
      <c r="O224" s="4">
        <v>517647.06</v>
      </c>
      <c r="P224">
        <v>1</v>
      </c>
      <c r="Q224">
        <v>0</v>
      </c>
      <c r="R224">
        <v>0</v>
      </c>
      <c r="S224">
        <v>0</v>
      </c>
      <c r="T224">
        <v>-1</v>
      </c>
      <c r="U224" s="4">
        <v>0</v>
      </c>
      <c r="V224" s="4">
        <v>-1</v>
      </c>
      <c r="W224">
        <v>0</v>
      </c>
      <c r="X224">
        <v>0</v>
      </c>
      <c r="Y224">
        <v>0</v>
      </c>
      <c r="Z224" s="4">
        <v>649600</v>
      </c>
      <c r="AA224" s="4">
        <v>616000</v>
      </c>
    </row>
    <row r="225" spans="1:27" x14ac:dyDescent="0.25">
      <c r="A225" s="2" t="s">
        <v>3635</v>
      </c>
      <c r="B225" t="s">
        <v>5526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29</v>
      </c>
      <c r="L225" t="s">
        <v>5291</v>
      </c>
      <c r="M225" t="s">
        <v>6305</v>
      </c>
      <c r="N225" s="4">
        <v>282352.94</v>
      </c>
      <c r="O225" s="4">
        <v>254117.65</v>
      </c>
      <c r="P225">
        <v>1</v>
      </c>
      <c r="Q225">
        <v>0</v>
      </c>
      <c r="R225">
        <v>0</v>
      </c>
      <c r="S225">
        <v>0</v>
      </c>
      <c r="T225">
        <v>0</v>
      </c>
      <c r="U225" s="4">
        <v>0</v>
      </c>
      <c r="V225" s="4">
        <v>0</v>
      </c>
      <c r="W225">
        <v>0</v>
      </c>
      <c r="X225">
        <v>0</v>
      </c>
      <c r="Y225">
        <v>0</v>
      </c>
      <c r="Z225" s="4">
        <v>336000</v>
      </c>
      <c r="AA225" s="4">
        <v>302400</v>
      </c>
    </row>
    <row r="226" spans="1:27" x14ac:dyDescent="0.25">
      <c r="A226" s="2" t="s">
        <v>3637</v>
      </c>
      <c r="B226" t="s">
        <v>5526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18</v>
      </c>
      <c r="L226" t="s">
        <v>5282</v>
      </c>
      <c r="M226" t="s">
        <v>5527</v>
      </c>
      <c r="N226" s="4">
        <v>252100.84</v>
      </c>
      <c r="O226" s="4">
        <v>226890.76</v>
      </c>
      <c r="P226">
        <v>0</v>
      </c>
      <c r="Q226">
        <v>0</v>
      </c>
      <c r="R226">
        <v>0</v>
      </c>
      <c r="S226">
        <v>0</v>
      </c>
      <c r="T226">
        <v>5</v>
      </c>
      <c r="U226" s="4">
        <v>0</v>
      </c>
      <c r="V226" s="4">
        <v>5</v>
      </c>
      <c r="W226">
        <v>0</v>
      </c>
      <c r="X226">
        <v>0</v>
      </c>
      <c r="Y226">
        <v>0</v>
      </c>
      <c r="Z226" s="4">
        <v>300000</v>
      </c>
      <c r="AA226" s="4">
        <v>270000</v>
      </c>
    </row>
    <row r="227" spans="1:27" x14ac:dyDescent="0.25">
      <c r="A227" s="2" t="s">
        <v>3639</v>
      </c>
      <c r="B227" t="s">
        <v>5528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33</v>
      </c>
      <c r="L227" t="s">
        <v>5297</v>
      </c>
      <c r="M227" t="s">
        <v>5529</v>
      </c>
      <c r="N227" s="4">
        <v>205882.35</v>
      </c>
      <c r="O227" s="4">
        <v>184873.95</v>
      </c>
      <c r="P227">
        <v>0</v>
      </c>
      <c r="Q227">
        <v>0</v>
      </c>
      <c r="R227">
        <v>0</v>
      </c>
      <c r="S227">
        <v>0</v>
      </c>
      <c r="T227">
        <v>3</v>
      </c>
      <c r="U227" s="4">
        <v>0</v>
      </c>
      <c r="V227" s="4">
        <v>3</v>
      </c>
      <c r="W227">
        <v>0</v>
      </c>
      <c r="X227">
        <v>0</v>
      </c>
      <c r="Y227">
        <v>0</v>
      </c>
      <c r="Z227" s="4">
        <v>245000</v>
      </c>
      <c r="AA227" s="4">
        <v>220000</v>
      </c>
    </row>
    <row r="228" spans="1:27" x14ac:dyDescent="0.25">
      <c r="A228" s="2" t="s">
        <v>3641</v>
      </c>
      <c r="B228" t="s">
        <v>5530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12</v>
      </c>
      <c r="L228" t="s">
        <v>5279</v>
      </c>
      <c r="M228" t="s">
        <v>5531</v>
      </c>
      <c r="N228" s="4">
        <v>301176.46999999997</v>
      </c>
      <c r="O228" s="4">
        <v>263529.40999999997</v>
      </c>
      <c r="P228">
        <v>1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358400</v>
      </c>
      <c r="AA228" s="4">
        <v>313600</v>
      </c>
    </row>
    <row r="229" spans="1:27" x14ac:dyDescent="0.25">
      <c r="A229" s="2" t="s">
        <v>3643</v>
      </c>
      <c r="B229" t="s">
        <v>5532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12</v>
      </c>
      <c r="L229" t="s">
        <v>5279</v>
      </c>
      <c r="M229" t="s">
        <v>5533</v>
      </c>
      <c r="N229" s="4">
        <v>252100.84</v>
      </c>
      <c r="O229" s="4">
        <v>226890.76</v>
      </c>
      <c r="P229">
        <v>0</v>
      </c>
      <c r="Q229">
        <v>0</v>
      </c>
      <c r="R229">
        <v>0</v>
      </c>
      <c r="S229">
        <v>0</v>
      </c>
      <c r="T229">
        <v>2</v>
      </c>
      <c r="U229" s="4">
        <v>0</v>
      </c>
      <c r="V229" s="4">
        <v>2</v>
      </c>
      <c r="W229">
        <v>0</v>
      </c>
      <c r="X229">
        <v>0</v>
      </c>
      <c r="Y229">
        <v>0</v>
      </c>
      <c r="Z229" s="4">
        <v>300000</v>
      </c>
      <c r="AA229" s="4">
        <v>270000</v>
      </c>
    </row>
    <row r="230" spans="1:27" x14ac:dyDescent="0.25">
      <c r="A230" s="2" t="s">
        <v>3645</v>
      </c>
      <c r="B230" t="s">
        <v>5534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8</v>
      </c>
      <c r="L230" t="s">
        <v>5317</v>
      </c>
      <c r="M230" t="s">
        <v>5535</v>
      </c>
      <c r="N230" s="4">
        <v>260504.2</v>
      </c>
      <c r="O230" s="4">
        <v>235294.12</v>
      </c>
      <c r="P230">
        <v>0</v>
      </c>
      <c r="Q230">
        <v>0</v>
      </c>
      <c r="R230">
        <v>0</v>
      </c>
      <c r="S230">
        <v>0</v>
      </c>
      <c r="T230">
        <v>0</v>
      </c>
      <c r="U230" s="4">
        <v>0</v>
      </c>
      <c r="V230" s="4">
        <v>0</v>
      </c>
      <c r="W230">
        <v>0</v>
      </c>
      <c r="X230">
        <v>0</v>
      </c>
      <c r="Y230">
        <v>0</v>
      </c>
      <c r="Z230" s="4">
        <v>310000</v>
      </c>
      <c r="AA230" s="4">
        <v>280000</v>
      </c>
    </row>
    <row r="231" spans="1:27" x14ac:dyDescent="0.25">
      <c r="A231" s="2" t="s">
        <v>6306</v>
      </c>
      <c r="B231" t="s">
        <v>6307</v>
      </c>
      <c r="D231">
        <v>1</v>
      </c>
      <c r="E231">
        <v>1</v>
      </c>
      <c r="G231">
        <v>1</v>
      </c>
      <c r="I231" s="4">
        <v>103</v>
      </c>
      <c r="J231" s="4"/>
      <c r="K231">
        <v>0</v>
      </c>
      <c r="L231" t="s">
        <v>5574</v>
      </c>
      <c r="M231" t="s">
        <v>6308</v>
      </c>
      <c r="N231" s="4">
        <v>1.1200000000000001</v>
      </c>
      <c r="O231" s="4">
        <v>1.1200000000000001</v>
      </c>
      <c r="P231">
        <v>1</v>
      </c>
      <c r="Q231">
        <v>0</v>
      </c>
      <c r="R231">
        <v>0</v>
      </c>
      <c r="S231">
        <v>0</v>
      </c>
      <c r="U231" s="4"/>
      <c r="V231" s="4">
        <v>0</v>
      </c>
      <c r="Y231">
        <v>0</v>
      </c>
      <c r="Z231" s="4">
        <v>1.33</v>
      </c>
      <c r="AA231" s="4">
        <v>1.33</v>
      </c>
    </row>
    <row r="232" spans="1:27" x14ac:dyDescent="0.25">
      <c r="A232" s="2" t="s">
        <v>3647</v>
      </c>
      <c r="B232" t="s">
        <v>5536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</v>
      </c>
      <c r="L232" t="s">
        <v>5384</v>
      </c>
      <c r="M232" t="s">
        <v>5537</v>
      </c>
      <c r="N232" s="4">
        <v>285714.28999999998</v>
      </c>
      <c r="O232" s="4">
        <v>252100.84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340000</v>
      </c>
      <c r="AA232" s="4">
        <v>300000</v>
      </c>
    </row>
    <row r="233" spans="1:27" x14ac:dyDescent="0.25">
      <c r="A233" s="2" t="s">
        <v>3649</v>
      </c>
      <c r="B233" t="s">
        <v>5538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12</v>
      </c>
      <c r="L233" t="s">
        <v>5279</v>
      </c>
      <c r="M233" t="s">
        <v>5539</v>
      </c>
      <c r="N233" s="4">
        <v>263529.40999999997</v>
      </c>
      <c r="O233" s="4">
        <v>240000</v>
      </c>
      <c r="P233">
        <v>1</v>
      </c>
      <c r="Q233">
        <v>0</v>
      </c>
      <c r="R233">
        <v>0</v>
      </c>
      <c r="S233">
        <v>0</v>
      </c>
      <c r="T233">
        <v>1</v>
      </c>
      <c r="U233" s="4">
        <v>0</v>
      </c>
      <c r="V233" s="4">
        <v>1</v>
      </c>
      <c r="W233">
        <v>0</v>
      </c>
      <c r="X233">
        <v>0</v>
      </c>
      <c r="Y233">
        <v>0</v>
      </c>
      <c r="Z233" s="4">
        <v>313600</v>
      </c>
      <c r="AA233" s="4">
        <v>285600</v>
      </c>
    </row>
    <row r="234" spans="1:27" x14ac:dyDescent="0.25">
      <c r="A234" s="2" t="s">
        <v>3651</v>
      </c>
      <c r="B234" t="s">
        <v>6309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12</v>
      </c>
      <c r="L234" t="s">
        <v>5279</v>
      </c>
      <c r="M234" t="s">
        <v>5540</v>
      </c>
      <c r="N234" s="4">
        <v>291764.71000000002</v>
      </c>
      <c r="O234" s="4">
        <v>272941.18</v>
      </c>
      <c r="P234">
        <v>1</v>
      </c>
      <c r="Q234">
        <v>0</v>
      </c>
      <c r="R234">
        <v>0</v>
      </c>
      <c r="S234">
        <v>0</v>
      </c>
      <c r="T234">
        <v>1</v>
      </c>
      <c r="U234" s="4">
        <v>0</v>
      </c>
      <c r="V234" s="4">
        <v>1</v>
      </c>
      <c r="W234">
        <v>0</v>
      </c>
      <c r="X234">
        <v>0</v>
      </c>
      <c r="Y234">
        <v>0</v>
      </c>
      <c r="Z234" s="4">
        <v>347200</v>
      </c>
      <c r="AA234" s="4">
        <v>324800</v>
      </c>
    </row>
    <row r="235" spans="1:27" x14ac:dyDescent="0.25">
      <c r="A235" s="2" t="s">
        <v>3653</v>
      </c>
      <c r="B235" t="s">
        <v>6310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4</v>
      </c>
      <c r="L235" t="s">
        <v>5334</v>
      </c>
      <c r="M235" t="s">
        <v>5541</v>
      </c>
      <c r="N235" s="4">
        <v>348235.29</v>
      </c>
      <c r="O235" s="4">
        <v>301176.46999999997</v>
      </c>
      <c r="P235">
        <v>0</v>
      </c>
      <c r="Q235">
        <v>0</v>
      </c>
      <c r="R235">
        <v>0</v>
      </c>
      <c r="S235">
        <v>0</v>
      </c>
      <c r="T235">
        <v>1</v>
      </c>
      <c r="U235" s="4">
        <v>0</v>
      </c>
      <c r="V235" s="4">
        <v>1</v>
      </c>
      <c r="W235">
        <v>0</v>
      </c>
      <c r="X235">
        <v>0</v>
      </c>
      <c r="Y235">
        <v>0</v>
      </c>
      <c r="Z235" s="4">
        <v>414400</v>
      </c>
      <c r="AA235" s="4">
        <v>358400</v>
      </c>
    </row>
    <row r="236" spans="1:27" x14ac:dyDescent="0.25">
      <c r="A236" s="2" t="s">
        <v>3655</v>
      </c>
      <c r="B236" t="s">
        <v>6311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12</v>
      </c>
      <c r="L236" t="s">
        <v>5279</v>
      </c>
      <c r="M236" t="s">
        <v>5542</v>
      </c>
      <c r="N236" s="4">
        <v>226890.76</v>
      </c>
      <c r="O236" s="4">
        <v>205882.35</v>
      </c>
      <c r="P236">
        <v>0</v>
      </c>
      <c r="Q236">
        <v>0</v>
      </c>
      <c r="R236">
        <v>0</v>
      </c>
      <c r="S236">
        <v>0</v>
      </c>
      <c r="T236">
        <v>1</v>
      </c>
      <c r="U236" s="4">
        <v>0</v>
      </c>
      <c r="V236" s="4">
        <v>1</v>
      </c>
      <c r="W236">
        <v>0</v>
      </c>
      <c r="X236">
        <v>0</v>
      </c>
      <c r="Y236">
        <v>0</v>
      </c>
      <c r="Z236" s="4">
        <v>270000</v>
      </c>
      <c r="AA236" s="4">
        <v>245000</v>
      </c>
    </row>
    <row r="237" spans="1:27" x14ac:dyDescent="0.25">
      <c r="A237" s="2" t="s">
        <v>3657</v>
      </c>
      <c r="B237" t="s">
        <v>5543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4</v>
      </c>
      <c r="L237" t="s">
        <v>5334</v>
      </c>
      <c r="M237" t="s">
        <v>5544</v>
      </c>
      <c r="N237" s="4">
        <v>352941.18</v>
      </c>
      <c r="O237" s="4">
        <v>310924.37</v>
      </c>
      <c r="P237">
        <v>0</v>
      </c>
      <c r="Q237">
        <v>0</v>
      </c>
      <c r="R237">
        <v>0</v>
      </c>
      <c r="S237">
        <v>0</v>
      </c>
      <c r="T237">
        <v>3</v>
      </c>
      <c r="U237" s="4">
        <v>0</v>
      </c>
      <c r="V237" s="4">
        <v>3</v>
      </c>
      <c r="W237">
        <v>0</v>
      </c>
      <c r="X237">
        <v>0</v>
      </c>
      <c r="Y237">
        <v>0</v>
      </c>
      <c r="Z237" s="4">
        <v>420000</v>
      </c>
      <c r="AA237" s="4">
        <v>370000</v>
      </c>
    </row>
    <row r="238" spans="1:27" x14ac:dyDescent="0.25">
      <c r="A238" s="2" t="s">
        <v>6312</v>
      </c>
      <c r="B238" t="s">
        <v>6313</v>
      </c>
      <c r="D238">
        <v>1</v>
      </c>
      <c r="E238">
        <v>1</v>
      </c>
      <c r="G238">
        <v>1</v>
      </c>
      <c r="I238" s="4">
        <v>103</v>
      </c>
      <c r="J238" s="4"/>
      <c r="K238">
        <v>18</v>
      </c>
      <c r="L238" t="s">
        <v>5282</v>
      </c>
      <c r="M238" t="s">
        <v>6314</v>
      </c>
      <c r="N238" s="4">
        <v>207058.82</v>
      </c>
      <c r="O238" s="4">
        <v>178823.53</v>
      </c>
      <c r="P238">
        <v>1</v>
      </c>
      <c r="Q238">
        <v>0</v>
      </c>
      <c r="R238">
        <v>0</v>
      </c>
      <c r="S238">
        <v>0</v>
      </c>
      <c r="U238" s="4"/>
      <c r="V238" s="4">
        <v>0</v>
      </c>
      <c r="Y238">
        <v>0</v>
      </c>
      <c r="Z238" s="4">
        <v>246400</v>
      </c>
      <c r="AA238" s="4">
        <v>212800</v>
      </c>
    </row>
    <row r="239" spans="1:27" x14ac:dyDescent="0.25">
      <c r="A239" s="2" t="s">
        <v>6315</v>
      </c>
      <c r="B239" t="s">
        <v>6316</v>
      </c>
      <c r="D239">
        <v>1</v>
      </c>
      <c r="E239">
        <v>1</v>
      </c>
      <c r="G239">
        <v>1</v>
      </c>
      <c r="I239" s="4">
        <v>103</v>
      </c>
      <c r="J239" s="4"/>
      <c r="K239">
        <v>0</v>
      </c>
      <c r="L239" t="s">
        <v>5574</v>
      </c>
      <c r="M239" t="s">
        <v>6317</v>
      </c>
      <c r="N239" s="4">
        <v>1.1200000000000001</v>
      </c>
      <c r="O239" s="4">
        <v>1.1200000000000001</v>
      </c>
      <c r="P239">
        <v>1</v>
      </c>
      <c r="Q239">
        <v>0</v>
      </c>
      <c r="R239">
        <v>0</v>
      </c>
      <c r="S239">
        <v>0</v>
      </c>
      <c r="U239" s="4"/>
      <c r="V239" s="4">
        <v>0</v>
      </c>
      <c r="Y239">
        <v>0</v>
      </c>
      <c r="Z239" s="4">
        <v>1.33</v>
      </c>
      <c r="AA239" s="4">
        <v>1.33</v>
      </c>
    </row>
    <row r="240" spans="1:27" x14ac:dyDescent="0.25">
      <c r="A240" s="2" t="s">
        <v>3659</v>
      </c>
      <c r="B240" t="s">
        <v>6318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15</v>
      </c>
      <c r="L240" t="s">
        <v>5696</v>
      </c>
      <c r="M240" t="s">
        <v>6319</v>
      </c>
      <c r="N240" s="4">
        <v>243697.48</v>
      </c>
      <c r="O240" s="4">
        <v>210084.03</v>
      </c>
      <c r="P240">
        <v>0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290000</v>
      </c>
      <c r="AA240" s="4">
        <v>250000</v>
      </c>
    </row>
    <row r="241" spans="1:27" x14ac:dyDescent="0.25">
      <c r="A241" s="2" t="s">
        <v>3661</v>
      </c>
      <c r="B241" t="s">
        <v>5545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8</v>
      </c>
      <c r="L241" t="s">
        <v>5317</v>
      </c>
      <c r="M241" t="s">
        <v>5546</v>
      </c>
      <c r="N241" s="4">
        <v>336134.45</v>
      </c>
      <c r="O241" s="4">
        <v>302521.01</v>
      </c>
      <c r="P241">
        <v>0</v>
      </c>
      <c r="Q241">
        <v>0</v>
      </c>
      <c r="R241">
        <v>0</v>
      </c>
      <c r="S241">
        <v>0</v>
      </c>
      <c r="T241">
        <v>3</v>
      </c>
      <c r="U241" s="4">
        <v>0</v>
      </c>
      <c r="V241" s="4">
        <v>3</v>
      </c>
      <c r="W241">
        <v>0</v>
      </c>
      <c r="X241">
        <v>0</v>
      </c>
      <c r="Y241">
        <v>0</v>
      </c>
      <c r="Z241" s="4">
        <v>400000</v>
      </c>
      <c r="AA241" s="4">
        <v>360000</v>
      </c>
    </row>
    <row r="242" spans="1:27" x14ac:dyDescent="0.25">
      <c r="A242" s="2" t="s">
        <v>3663</v>
      </c>
      <c r="B242" t="s">
        <v>5547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18</v>
      </c>
      <c r="L242" t="s">
        <v>5282</v>
      </c>
      <c r="M242" t="s">
        <v>5548</v>
      </c>
      <c r="N242" s="4">
        <v>201680.67</v>
      </c>
      <c r="O242" s="4">
        <v>184873.95</v>
      </c>
      <c r="P242">
        <v>0</v>
      </c>
      <c r="Q242">
        <v>0</v>
      </c>
      <c r="R242">
        <v>0</v>
      </c>
      <c r="S242">
        <v>0</v>
      </c>
      <c r="T242">
        <v>3</v>
      </c>
      <c r="U242" s="4">
        <v>0</v>
      </c>
      <c r="V242" s="4">
        <v>3</v>
      </c>
      <c r="W242">
        <v>0</v>
      </c>
      <c r="X242">
        <v>0</v>
      </c>
      <c r="Y242">
        <v>0</v>
      </c>
      <c r="Z242" s="4">
        <v>240000</v>
      </c>
      <c r="AA242" s="4">
        <v>220000</v>
      </c>
    </row>
    <row r="243" spans="1:27" x14ac:dyDescent="0.25">
      <c r="A243" s="2" t="s">
        <v>3665</v>
      </c>
      <c r="B243" t="s">
        <v>5549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12</v>
      </c>
      <c r="L243" t="s">
        <v>5279</v>
      </c>
      <c r="M243" t="s">
        <v>5550</v>
      </c>
      <c r="N243" s="4">
        <v>285714.28999999998</v>
      </c>
      <c r="O243" s="4">
        <v>260504.2</v>
      </c>
      <c r="P243">
        <v>0</v>
      </c>
      <c r="Q243">
        <v>0</v>
      </c>
      <c r="R243">
        <v>0</v>
      </c>
      <c r="S243">
        <v>0</v>
      </c>
      <c r="T243">
        <v>2</v>
      </c>
      <c r="U243" s="4">
        <v>0</v>
      </c>
      <c r="V243" s="4">
        <v>2</v>
      </c>
      <c r="W243">
        <v>0</v>
      </c>
      <c r="X243">
        <v>0</v>
      </c>
      <c r="Y243">
        <v>0</v>
      </c>
      <c r="Z243" s="4">
        <v>340000</v>
      </c>
      <c r="AA243" s="4">
        <v>310000</v>
      </c>
    </row>
    <row r="244" spans="1:27" x14ac:dyDescent="0.25">
      <c r="A244" s="2" t="s">
        <v>3667</v>
      </c>
      <c r="B244" t="s">
        <v>5551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5275</v>
      </c>
      <c r="M244" t="s">
        <v>5552</v>
      </c>
      <c r="N244" s="4">
        <v>319327.73</v>
      </c>
      <c r="O244" s="4">
        <v>281512.61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380000</v>
      </c>
      <c r="AA244" s="4">
        <v>335000</v>
      </c>
    </row>
    <row r="245" spans="1:27" x14ac:dyDescent="0.25">
      <c r="A245" s="2" t="s">
        <v>3669</v>
      </c>
      <c r="B245" t="s">
        <v>5553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33</v>
      </c>
      <c r="L245" t="s">
        <v>5297</v>
      </c>
      <c r="M245" t="s">
        <v>5554</v>
      </c>
      <c r="N245" s="4">
        <v>352941.18</v>
      </c>
      <c r="O245" s="4">
        <v>319327.73</v>
      </c>
      <c r="P245">
        <v>0</v>
      </c>
      <c r="Q245">
        <v>0</v>
      </c>
      <c r="R245">
        <v>0</v>
      </c>
      <c r="S245">
        <v>0</v>
      </c>
      <c r="T245">
        <v>1</v>
      </c>
      <c r="U245" s="4">
        <v>0</v>
      </c>
      <c r="V245" s="4">
        <v>1</v>
      </c>
      <c r="W245">
        <v>0</v>
      </c>
      <c r="X245">
        <v>0</v>
      </c>
      <c r="Y245">
        <v>0</v>
      </c>
      <c r="Z245" s="4">
        <v>420000</v>
      </c>
      <c r="AA245" s="4">
        <v>380000</v>
      </c>
    </row>
    <row r="246" spans="1:27" x14ac:dyDescent="0.25">
      <c r="A246" s="2" t="s">
        <v>3671</v>
      </c>
      <c r="B246" t="s">
        <v>5553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8</v>
      </c>
      <c r="L246" t="s">
        <v>5317</v>
      </c>
      <c r="M246" t="s">
        <v>5555</v>
      </c>
      <c r="N246" s="4">
        <v>226890.76</v>
      </c>
      <c r="O246" s="4">
        <v>201680.67</v>
      </c>
      <c r="P246">
        <v>0</v>
      </c>
      <c r="Q246">
        <v>0</v>
      </c>
      <c r="R246">
        <v>0</v>
      </c>
      <c r="S246">
        <v>0</v>
      </c>
      <c r="T246">
        <v>3</v>
      </c>
      <c r="U246" s="4">
        <v>0</v>
      </c>
      <c r="V246" s="4">
        <v>3</v>
      </c>
      <c r="W246">
        <v>0</v>
      </c>
      <c r="X246">
        <v>0</v>
      </c>
      <c r="Y246">
        <v>0</v>
      </c>
      <c r="Z246" s="4">
        <v>270000</v>
      </c>
      <c r="AA246" s="4">
        <v>240000</v>
      </c>
    </row>
    <row r="247" spans="1:27" x14ac:dyDescent="0.25">
      <c r="A247" s="2" t="s">
        <v>3673</v>
      </c>
      <c r="B247" t="s">
        <v>5556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4</v>
      </c>
      <c r="L247" t="s">
        <v>5334</v>
      </c>
      <c r="M247" t="s">
        <v>5557</v>
      </c>
      <c r="N247" s="4">
        <v>451764.71</v>
      </c>
      <c r="O247" s="4">
        <v>404705.88</v>
      </c>
      <c r="P247">
        <v>0</v>
      </c>
      <c r="Q247">
        <v>0</v>
      </c>
      <c r="R247">
        <v>0</v>
      </c>
      <c r="S247">
        <v>0</v>
      </c>
      <c r="T247">
        <v>1</v>
      </c>
      <c r="U247" s="4">
        <v>0</v>
      </c>
      <c r="V247" s="4">
        <v>1</v>
      </c>
      <c r="W247">
        <v>0</v>
      </c>
      <c r="X247">
        <v>0</v>
      </c>
      <c r="Y247">
        <v>0</v>
      </c>
      <c r="Z247" s="4">
        <v>537600</v>
      </c>
      <c r="AA247" s="4">
        <v>481600</v>
      </c>
    </row>
    <row r="248" spans="1:27" x14ac:dyDescent="0.25">
      <c r="A248" s="2" t="s">
        <v>3675</v>
      </c>
      <c r="B248" t="s">
        <v>5558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5297</v>
      </c>
      <c r="M248" t="s">
        <v>5559</v>
      </c>
      <c r="N248" s="4">
        <v>376470.59</v>
      </c>
      <c r="O248" s="4">
        <v>338823.53</v>
      </c>
      <c r="P248">
        <v>1</v>
      </c>
      <c r="Q248">
        <v>0</v>
      </c>
      <c r="R248">
        <v>0</v>
      </c>
      <c r="S248">
        <v>0</v>
      </c>
      <c r="T248">
        <v>1</v>
      </c>
      <c r="U248" s="4">
        <v>0</v>
      </c>
      <c r="V248" s="4">
        <v>1</v>
      </c>
      <c r="W248">
        <v>0</v>
      </c>
      <c r="X248">
        <v>0</v>
      </c>
      <c r="Y248">
        <v>0</v>
      </c>
      <c r="Z248" s="4">
        <v>448000</v>
      </c>
      <c r="AA248" s="4">
        <v>403200</v>
      </c>
    </row>
    <row r="249" spans="1:27" x14ac:dyDescent="0.25">
      <c r="A249" s="2" t="s">
        <v>6320</v>
      </c>
      <c r="B249" t="s">
        <v>6321</v>
      </c>
      <c r="D249">
        <v>1</v>
      </c>
      <c r="E249">
        <v>1</v>
      </c>
      <c r="G249">
        <v>1</v>
      </c>
      <c r="I249" s="4">
        <v>103</v>
      </c>
      <c r="J249" s="4"/>
      <c r="K249">
        <v>0</v>
      </c>
      <c r="L249" t="s">
        <v>5574</v>
      </c>
      <c r="M249" t="s">
        <v>6322</v>
      </c>
      <c r="N249" s="4">
        <v>1.1200000000000001</v>
      </c>
      <c r="O249" s="4">
        <v>1.1200000000000001</v>
      </c>
      <c r="P249">
        <v>1</v>
      </c>
      <c r="Q249">
        <v>0</v>
      </c>
      <c r="R249">
        <v>0</v>
      </c>
      <c r="S249">
        <v>0</v>
      </c>
      <c r="U249" s="4"/>
      <c r="V249" s="4">
        <v>0</v>
      </c>
      <c r="Y249">
        <v>0</v>
      </c>
      <c r="Z249" s="4">
        <v>1.33</v>
      </c>
      <c r="AA249" s="4">
        <v>1.33</v>
      </c>
    </row>
    <row r="250" spans="1:27" x14ac:dyDescent="0.25">
      <c r="A250" s="2" t="s">
        <v>3677</v>
      </c>
      <c r="B250" t="s">
        <v>5560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35</v>
      </c>
      <c r="L250" t="s">
        <v>5294</v>
      </c>
      <c r="M250" t="s">
        <v>5561</v>
      </c>
      <c r="N250" s="4">
        <v>277310.92</v>
      </c>
      <c r="O250" s="4">
        <v>243697.48</v>
      </c>
      <c r="P250">
        <v>0</v>
      </c>
      <c r="Q250">
        <v>0</v>
      </c>
      <c r="R250">
        <v>0</v>
      </c>
      <c r="S250">
        <v>0</v>
      </c>
      <c r="T250">
        <v>2</v>
      </c>
      <c r="U250" s="4">
        <v>0</v>
      </c>
      <c r="V250" s="4">
        <v>2</v>
      </c>
      <c r="W250">
        <v>0</v>
      </c>
      <c r="X250">
        <v>0</v>
      </c>
      <c r="Y250">
        <v>0</v>
      </c>
      <c r="Z250" s="4">
        <v>330000</v>
      </c>
      <c r="AA250" s="4">
        <v>290000</v>
      </c>
    </row>
    <row r="251" spans="1:27" x14ac:dyDescent="0.25">
      <c r="A251" s="2" t="s">
        <v>3679</v>
      </c>
      <c r="B251" t="s">
        <v>5562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4</v>
      </c>
      <c r="L251" t="s">
        <v>5334</v>
      </c>
      <c r="M251" t="s">
        <v>5563</v>
      </c>
      <c r="N251" s="4">
        <v>571428.56999999995</v>
      </c>
      <c r="O251" s="4">
        <v>504201.68</v>
      </c>
      <c r="P251">
        <v>0</v>
      </c>
      <c r="Q251">
        <v>0</v>
      </c>
      <c r="R251">
        <v>0</v>
      </c>
      <c r="S251">
        <v>0</v>
      </c>
      <c r="T251">
        <v>1</v>
      </c>
      <c r="U251" s="4">
        <v>0</v>
      </c>
      <c r="V251" s="4">
        <v>1</v>
      </c>
      <c r="W251">
        <v>0</v>
      </c>
      <c r="X251">
        <v>0</v>
      </c>
      <c r="Y251">
        <v>0</v>
      </c>
      <c r="Z251" s="4">
        <v>680000</v>
      </c>
      <c r="AA251" s="4">
        <v>600000</v>
      </c>
    </row>
    <row r="252" spans="1:27" x14ac:dyDescent="0.25">
      <c r="A252" s="2" t="s">
        <v>3681</v>
      </c>
      <c r="B252" t="s">
        <v>6323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K252">
        <v>18</v>
      </c>
      <c r="L252" t="s">
        <v>5282</v>
      </c>
      <c r="M252" t="s">
        <v>5564</v>
      </c>
      <c r="N252" s="4">
        <v>226890.76</v>
      </c>
      <c r="O252" s="4">
        <v>201680.67</v>
      </c>
      <c r="P252">
        <v>0</v>
      </c>
      <c r="Q252">
        <v>0</v>
      </c>
      <c r="R252">
        <v>0</v>
      </c>
      <c r="S252">
        <v>0</v>
      </c>
      <c r="T252">
        <v>2</v>
      </c>
      <c r="U252" s="4">
        <v>0</v>
      </c>
      <c r="V252" s="4">
        <v>2</v>
      </c>
      <c r="W252">
        <v>0</v>
      </c>
      <c r="X252">
        <v>0</v>
      </c>
      <c r="Y252">
        <v>0</v>
      </c>
      <c r="Z252" s="4">
        <v>270000</v>
      </c>
      <c r="AA252" s="4">
        <v>240000</v>
      </c>
    </row>
    <row r="253" spans="1:27" x14ac:dyDescent="0.25">
      <c r="A253" s="2" t="s">
        <v>3683</v>
      </c>
      <c r="B253" t="s">
        <v>5565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18</v>
      </c>
      <c r="L253" t="s">
        <v>5282</v>
      </c>
      <c r="M253" t="s">
        <v>5566</v>
      </c>
      <c r="N253" s="4">
        <v>254117.65</v>
      </c>
      <c r="O253" s="4">
        <v>225882.35</v>
      </c>
      <c r="P253">
        <v>0</v>
      </c>
      <c r="Q253">
        <v>0</v>
      </c>
      <c r="R253">
        <v>0</v>
      </c>
      <c r="S253">
        <v>0</v>
      </c>
      <c r="T253">
        <v>1</v>
      </c>
      <c r="U253" s="4">
        <v>0</v>
      </c>
      <c r="V253" s="4">
        <v>1</v>
      </c>
      <c r="W253">
        <v>0</v>
      </c>
      <c r="X253">
        <v>0</v>
      </c>
      <c r="Y253">
        <v>0</v>
      </c>
      <c r="Z253" s="4">
        <v>302400</v>
      </c>
      <c r="AA253" s="4">
        <v>268800</v>
      </c>
    </row>
    <row r="254" spans="1:27" x14ac:dyDescent="0.25">
      <c r="A254" s="2" t="s">
        <v>3685</v>
      </c>
      <c r="B254" t="s">
        <v>5567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33</v>
      </c>
      <c r="L254" t="s">
        <v>5297</v>
      </c>
      <c r="M254" t="s">
        <v>5568</v>
      </c>
      <c r="N254" s="4">
        <v>478991.6</v>
      </c>
      <c r="O254" s="4">
        <v>436974.79</v>
      </c>
      <c r="P254">
        <v>0</v>
      </c>
      <c r="Q254">
        <v>0</v>
      </c>
      <c r="R254">
        <v>0</v>
      </c>
      <c r="S254">
        <v>0</v>
      </c>
      <c r="T254">
        <v>1</v>
      </c>
      <c r="U254" s="4">
        <v>1</v>
      </c>
      <c r="V254" s="4">
        <v>0</v>
      </c>
      <c r="W254">
        <v>0</v>
      </c>
      <c r="X254">
        <v>0</v>
      </c>
      <c r="Y254">
        <v>0</v>
      </c>
      <c r="Z254" s="4">
        <v>570000</v>
      </c>
      <c r="AA254" s="4">
        <v>520000</v>
      </c>
    </row>
    <row r="255" spans="1:27" x14ac:dyDescent="0.25">
      <c r="A255" s="2" t="s">
        <v>3687</v>
      </c>
      <c r="B255" t="s">
        <v>5569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12</v>
      </c>
      <c r="L255" t="s">
        <v>5279</v>
      </c>
      <c r="M255" t="s">
        <v>5570</v>
      </c>
      <c r="N255" s="4">
        <v>336134.45</v>
      </c>
      <c r="O255" s="4">
        <v>310924.37</v>
      </c>
      <c r="P255">
        <v>0</v>
      </c>
      <c r="Q255">
        <v>0</v>
      </c>
      <c r="R255">
        <v>0</v>
      </c>
      <c r="S255">
        <v>0</v>
      </c>
      <c r="T255">
        <v>2</v>
      </c>
      <c r="U255" s="4">
        <v>0</v>
      </c>
      <c r="V255" s="4">
        <v>2</v>
      </c>
      <c r="W255">
        <v>0</v>
      </c>
      <c r="X255">
        <v>0</v>
      </c>
      <c r="Y255">
        <v>0</v>
      </c>
      <c r="Z255" s="4">
        <v>400000</v>
      </c>
      <c r="AA255" s="4">
        <v>370000</v>
      </c>
    </row>
    <row r="256" spans="1:27" x14ac:dyDescent="0.25">
      <c r="A256" s="2" t="s">
        <v>3689</v>
      </c>
      <c r="B256" t="s">
        <v>5571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3</v>
      </c>
      <c r="L256" t="s">
        <v>5384</v>
      </c>
      <c r="M256" t="s">
        <v>5572</v>
      </c>
      <c r="N256" s="4">
        <v>268907.56</v>
      </c>
      <c r="O256" s="4">
        <v>235294.12</v>
      </c>
      <c r="P256">
        <v>0</v>
      </c>
      <c r="Q256">
        <v>0</v>
      </c>
      <c r="R256">
        <v>0</v>
      </c>
      <c r="S256">
        <v>0</v>
      </c>
      <c r="T256">
        <v>3</v>
      </c>
      <c r="U256" s="4">
        <v>0</v>
      </c>
      <c r="V256" s="4">
        <v>3</v>
      </c>
      <c r="W256">
        <v>0</v>
      </c>
      <c r="X256">
        <v>0</v>
      </c>
      <c r="Y256">
        <v>0</v>
      </c>
      <c r="Z256" s="4">
        <v>320000</v>
      </c>
      <c r="AA256" s="4">
        <v>280000</v>
      </c>
    </row>
    <row r="257" spans="1:27" x14ac:dyDescent="0.25">
      <c r="A257" s="2" t="s">
        <v>3691</v>
      </c>
      <c r="B257" t="s">
        <v>5573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0</v>
      </c>
      <c r="L257" t="s">
        <v>5574</v>
      </c>
      <c r="M257" t="s">
        <v>5575</v>
      </c>
      <c r="N257" s="4">
        <v>294117.65000000002</v>
      </c>
      <c r="O257" s="4">
        <v>260504.2</v>
      </c>
      <c r="P257">
        <v>1</v>
      </c>
      <c r="Q257">
        <v>0</v>
      </c>
      <c r="R257">
        <v>0</v>
      </c>
      <c r="S257">
        <v>0</v>
      </c>
      <c r="T257">
        <v>1</v>
      </c>
      <c r="U257" s="4">
        <v>0</v>
      </c>
      <c r="V257" s="4">
        <v>1</v>
      </c>
      <c r="W257">
        <v>0</v>
      </c>
      <c r="X257">
        <v>0</v>
      </c>
      <c r="Y257">
        <v>0</v>
      </c>
      <c r="Z257" s="4">
        <v>350000</v>
      </c>
      <c r="AA257" s="4">
        <v>310000</v>
      </c>
    </row>
    <row r="258" spans="1:27" x14ac:dyDescent="0.25">
      <c r="A258" s="2" t="s">
        <v>6324</v>
      </c>
      <c r="B258" t="s">
        <v>6325</v>
      </c>
      <c r="D258">
        <v>1</v>
      </c>
      <c r="E258">
        <v>1</v>
      </c>
      <c r="G258">
        <v>1</v>
      </c>
      <c r="I258" s="4">
        <v>103</v>
      </c>
      <c r="J258" s="4"/>
      <c r="K258">
        <v>0</v>
      </c>
      <c r="L258" t="s">
        <v>5574</v>
      </c>
      <c r="M258" t="s">
        <v>6326</v>
      </c>
      <c r="N258" s="4">
        <v>1.1200000000000001</v>
      </c>
      <c r="O258" s="4">
        <v>1.1200000000000001</v>
      </c>
      <c r="P258">
        <v>1</v>
      </c>
      <c r="Q258">
        <v>0</v>
      </c>
      <c r="R258">
        <v>0</v>
      </c>
      <c r="S258">
        <v>0</v>
      </c>
      <c r="U258" s="4"/>
      <c r="V258" s="4">
        <v>0</v>
      </c>
      <c r="Y258">
        <v>0</v>
      </c>
      <c r="Z258" s="4">
        <v>1.33</v>
      </c>
      <c r="AA258" s="4">
        <v>1.33</v>
      </c>
    </row>
    <row r="259" spans="1:27" x14ac:dyDescent="0.25">
      <c r="A259" s="2" t="s">
        <v>3693</v>
      </c>
      <c r="B259" t="s">
        <v>5576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35</v>
      </c>
      <c r="L259" t="s">
        <v>5294</v>
      </c>
      <c r="M259" t="s">
        <v>5577</v>
      </c>
      <c r="N259" s="4">
        <v>798319.33</v>
      </c>
      <c r="O259" s="4">
        <v>714285.71</v>
      </c>
      <c r="P259">
        <v>0</v>
      </c>
      <c r="Q259">
        <v>0</v>
      </c>
      <c r="R259">
        <v>0</v>
      </c>
      <c r="S259">
        <v>0</v>
      </c>
      <c r="T259">
        <v>4</v>
      </c>
      <c r="U259" s="4">
        <v>0</v>
      </c>
      <c r="V259" s="4">
        <v>4</v>
      </c>
      <c r="W259">
        <v>0</v>
      </c>
      <c r="X259">
        <v>0</v>
      </c>
      <c r="Y259">
        <v>0</v>
      </c>
      <c r="Z259" s="4">
        <v>950000</v>
      </c>
      <c r="AA259" s="4">
        <v>850000</v>
      </c>
    </row>
    <row r="260" spans="1:27" x14ac:dyDescent="0.25">
      <c r="A260" s="2" t="s">
        <v>3695</v>
      </c>
      <c r="B260" t="s">
        <v>6327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33</v>
      </c>
      <c r="L260" t="s">
        <v>5297</v>
      </c>
      <c r="M260" t="s">
        <v>5578</v>
      </c>
      <c r="N260" s="4">
        <v>677647.06</v>
      </c>
      <c r="O260" s="4">
        <v>621176.47</v>
      </c>
      <c r="P260">
        <v>1</v>
      </c>
      <c r="Q260">
        <v>0</v>
      </c>
      <c r="R260">
        <v>0</v>
      </c>
      <c r="S260">
        <v>0</v>
      </c>
      <c r="T260">
        <v>1</v>
      </c>
      <c r="U260" s="4">
        <v>0</v>
      </c>
      <c r="V260" s="4">
        <v>1</v>
      </c>
      <c r="W260">
        <v>0</v>
      </c>
      <c r="X260">
        <v>0</v>
      </c>
      <c r="Y260">
        <v>0</v>
      </c>
      <c r="Z260" s="4">
        <v>806400</v>
      </c>
      <c r="AA260" s="4">
        <v>739200</v>
      </c>
    </row>
    <row r="261" spans="1:27" x14ac:dyDescent="0.25">
      <c r="A261" s="2" t="s">
        <v>3697</v>
      </c>
      <c r="B261" t="s">
        <v>5579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18</v>
      </c>
      <c r="L261" t="s">
        <v>5282</v>
      </c>
      <c r="M261" t="s">
        <v>5580</v>
      </c>
      <c r="N261" s="4">
        <v>252100.84</v>
      </c>
      <c r="O261" s="4">
        <v>210084.03</v>
      </c>
      <c r="P261">
        <v>0</v>
      </c>
      <c r="Q261">
        <v>0</v>
      </c>
      <c r="R261">
        <v>0</v>
      </c>
      <c r="S261">
        <v>0</v>
      </c>
      <c r="T261">
        <v>2</v>
      </c>
      <c r="U261" s="4">
        <v>0</v>
      </c>
      <c r="V261" s="4">
        <v>2</v>
      </c>
      <c r="W261">
        <v>0</v>
      </c>
      <c r="X261">
        <v>0</v>
      </c>
      <c r="Y261">
        <v>0</v>
      </c>
      <c r="Z261" s="4">
        <v>300000</v>
      </c>
      <c r="AA261" s="4">
        <v>250000</v>
      </c>
    </row>
    <row r="262" spans="1:27" x14ac:dyDescent="0.25">
      <c r="A262" s="2" t="s">
        <v>3699</v>
      </c>
      <c r="B262" t="s">
        <v>5581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4</v>
      </c>
      <c r="L262" t="s">
        <v>5334</v>
      </c>
      <c r="M262" t="s">
        <v>5582</v>
      </c>
      <c r="N262" s="4">
        <v>504201.68</v>
      </c>
      <c r="O262" s="4">
        <v>457983.19</v>
      </c>
      <c r="P262">
        <v>0</v>
      </c>
      <c r="Q262">
        <v>0</v>
      </c>
      <c r="R262">
        <v>0</v>
      </c>
      <c r="S262">
        <v>0</v>
      </c>
      <c r="T262">
        <v>2</v>
      </c>
      <c r="U262" s="4">
        <v>0</v>
      </c>
      <c r="V262" s="4">
        <v>2</v>
      </c>
      <c r="W262">
        <v>0</v>
      </c>
      <c r="X262">
        <v>0</v>
      </c>
      <c r="Y262">
        <v>0</v>
      </c>
      <c r="Z262" s="4">
        <v>600000</v>
      </c>
      <c r="AA262" s="4">
        <v>545000</v>
      </c>
    </row>
    <row r="263" spans="1:27" x14ac:dyDescent="0.25">
      <c r="A263" s="2" t="s">
        <v>3701</v>
      </c>
      <c r="B263" t="s">
        <v>5583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31</v>
      </c>
      <c r="L263" t="s">
        <v>5407</v>
      </c>
      <c r="M263" t="s">
        <v>5584</v>
      </c>
      <c r="N263" s="4">
        <v>319327.73</v>
      </c>
      <c r="O263" s="4">
        <v>285714.28999999998</v>
      </c>
      <c r="P263">
        <v>0</v>
      </c>
      <c r="Q263">
        <v>0</v>
      </c>
      <c r="R263">
        <v>0</v>
      </c>
      <c r="S263">
        <v>0</v>
      </c>
      <c r="T263">
        <v>4</v>
      </c>
      <c r="U263" s="4">
        <v>0</v>
      </c>
      <c r="V263" s="4">
        <v>4</v>
      </c>
      <c r="W263">
        <v>0</v>
      </c>
      <c r="X263">
        <v>0</v>
      </c>
      <c r="Y263">
        <v>0</v>
      </c>
      <c r="Z263" s="4">
        <v>380000</v>
      </c>
      <c r="AA263" s="4">
        <v>340000</v>
      </c>
    </row>
    <row r="264" spans="1:27" x14ac:dyDescent="0.25">
      <c r="A264" s="2" t="s">
        <v>3703</v>
      </c>
      <c r="B264" t="s">
        <v>5583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5</v>
      </c>
      <c r="L264" t="s">
        <v>5275</v>
      </c>
      <c r="M264" t="s">
        <v>5585</v>
      </c>
      <c r="N264" s="4">
        <v>260504.2</v>
      </c>
      <c r="O264" s="4">
        <v>235294.12</v>
      </c>
      <c r="P264">
        <v>0</v>
      </c>
      <c r="Q264">
        <v>0</v>
      </c>
      <c r="R264">
        <v>0</v>
      </c>
      <c r="S264">
        <v>0</v>
      </c>
      <c r="T264">
        <v>8</v>
      </c>
      <c r="U264" s="4">
        <v>0</v>
      </c>
      <c r="V264" s="4">
        <v>8</v>
      </c>
      <c r="W264">
        <v>0</v>
      </c>
      <c r="X264">
        <v>0</v>
      </c>
      <c r="Y264">
        <v>0</v>
      </c>
      <c r="Z264" s="4">
        <v>310000</v>
      </c>
      <c r="AA264" s="4">
        <v>280000</v>
      </c>
    </row>
    <row r="265" spans="1:27" x14ac:dyDescent="0.25">
      <c r="A265" s="2" t="s">
        <v>6328</v>
      </c>
      <c r="B265" t="s">
        <v>6329</v>
      </c>
      <c r="D265">
        <v>1</v>
      </c>
      <c r="E265">
        <v>1</v>
      </c>
      <c r="G265">
        <v>1</v>
      </c>
      <c r="I265" s="4">
        <v>103</v>
      </c>
      <c r="J265" s="4"/>
      <c r="K265">
        <v>0</v>
      </c>
      <c r="L265" t="s">
        <v>5574</v>
      </c>
      <c r="M265" t="s">
        <v>6330</v>
      </c>
      <c r="N265" s="4">
        <v>1.1200000000000001</v>
      </c>
      <c r="O265" s="4">
        <v>1.1200000000000001</v>
      </c>
      <c r="P265">
        <v>1</v>
      </c>
      <c r="Q265">
        <v>0</v>
      </c>
      <c r="R265">
        <v>0</v>
      </c>
      <c r="S265">
        <v>0</v>
      </c>
      <c r="U265" s="4"/>
      <c r="V265" s="4">
        <v>0</v>
      </c>
      <c r="Y265">
        <v>0</v>
      </c>
      <c r="Z265" s="4">
        <v>1.33</v>
      </c>
      <c r="AA265" s="4">
        <v>1.33</v>
      </c>
    </row>
    <row r="266" spans="1:27" x14ac:dyDescent="0.25">
      <c r="A266" s="2" t="s">
        <v>6331</v>
      </c>
      <c r="B266" t="s">
        <v>6332</v>
      </c>
      <c r="D266">
        <v>1</v>
      </c>
      <c r="E266">
        <v>1</v>
      </c>
      <c r="G266">
        <v>1</v>
      </c>
      <c r="I266" s="4">
        <v>103</v>
      </c>
      <c r="J266" s="4"/>
      <c r="K266">
        <v>0</v>
      </c>
      <c r="L266" t="s">
        <v>5574</v>
      </c>
      <c r="M266" t="s">
        <v>6333</v>
      </c>
      <c r="N266" s="4">
        <v>1.1200000000000001</v>
      </c>
      <c r="O266" s="4">
        <v>1.1200000000000001</v>
      </c>
      <c r="P266">
        <v>1</v>
      </c>
      <c r="Q266">
        <v>0</v>
      </c>
      <c r="R266">
        <v>0</v>
      </c>
      <c r="S266">
        <v>0</v>
      </c>
      <c r="U266" s="4"/>
      <c r="V266" s="4">
        <v>0</v>
      </c>
      <c r="Y266">
        <v>0</v>
      </c>
      <c r="Z266" s="4">
        <v>1.33</v>
      </c>
      <c r="AA266" s="4">
        <v>1.33</v>
      </c>
    </row>
    <row r="267" spans="1:27" x14ac:dyDescent="0.25">
      <c r="A267" s="2" t="s">
        <v>3705</v>
      </c>
      <c r="B267" t="s">
        <v>5586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8</v>
      </c>
      <c r="L267" t="s">
        <v>5317</v>
      </c>
      <c r="M267" t="s">
        <v>5587</v>
      </c>
      <c r="N267" s="4">
        <v>260504.2</v>
      </c>
      <c r="O267" s="4">
        <v>243697.48</v>
      </c>
      <c r="P267">
        <v>0</v>
      </c>
      <c r="Q267">
        <v>0</v>
      </c>
      <c r="R267">
        <v>0</v>
      </c>
      <c r="S267">
        <v>0</v>
      </c>
      <c r="T267">
        <v>2</v>
      </c>
      <c r="U267" s="4">
        <v>0</v>
      </c>
      <c r="V267" s="4">
        <v>2</v>
      </c>
      <c r="W267">
        <v>0</v>
      </c>
      <c r="X267">
        <v>0</v>
      </c>
      <c r="Y267">
        <v>0</v>
      </c>
      <c r="Z267" s="4">
        <v>310000</v>
      </c>
      <c r="AA267" s="4">
        <v>290000</v>
      </c>
    </row>
    <row r="268" spans="1:27" x14ac:dyDescent="0.25">
      <c r="A268" s="2" t="s">
        <v>3707</v>
      </c>
      <c r="B268" t="s">
        <v>6334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33</v>
      </c>
      <c r="L268" t="s">
        <v>5297</v>
      </c>
      <c r="M268" t="s">
        <v>6335</v>
      </c>
      <c r="N268" s="4">
        <v>462184.87</v>
      </c>
      <c r="O268" s="4">
        <v>420168.07</v>
      </c>
      <c r="P268">
        <v>0</v>
      </c>
      <c r="Q268">
        <v>0</v>
      </c>
      <c r="R268">
        <v>0</v>
      </c>
      <c r="S268">
        <v>0</v>
      </c>
      <c r="T268">
        <v>0</v>
      </c>
      <c r="U268" s="4">
        <v>0</v>
      </c>
      <c r="V268" s="4">
        <v>0</v>
      </c>
      <c r="W268">
        <v>0</v>
      </c>
      <c r="X268">
        <v>0</v>
      </c>
      <c r="Y268">
        <v>0</v>
      </c>
      <c r="Z268" s="4">
        <v>550000</v>
      </c>
      <c r="AA268" s="4">
        <v>500000</v>
      </c>
    </row>
    <row r="269" spans="1:27" x14ac:dyDescent="0.25">
      <c r="A269" s="2" t="s">
        <v>6336</v>
      </c>
      <c r="B269" t="s">
        <v>6337</v>
      </c>
      <c r="D269">
        <v>1</v>
      </c>
      <c r="E269">
        <v>1</v>
      </c>
      <c r="G269">
        <v>1</v>
      </c>
      <c r="I269" s="4">
        <v>103</v>
      </c>
      <c r="J269" s="4"/>
      <c r="K269">
        <v>0</v>
      </c>
      <c r="L269" t="s">
        <v>5574</v>
      </c>
      <c r="M269" t="s">
        <v>6338</v>
      </c>
      <c r="N269" s="4">
        <v>1.1200000000000001</v>
      </c>
      <c r="O269" s="4">
        <v>1.1200000000000001</v>
      </c>
      <c r="P269">
        <v>1</v>
      </c>
      <c r="Q269">
        <v>0</v>
      </c>
      <c r="R269">
        <v>0</v>
      </c>
      <c r="S269">
        <v>0</v>
      </c>
      <c r="U269" s="4"/>
      <c r="V269" s="4">
        <v>0</v>
      </c>
      <c r="Y269">
        <v>0</v>
      </c>
      <c r="Z269" s="4">
        <v>1.33</v>
      </c>
      <c r="AA269" s="4">
        <v>1.33</v>
      </c>
    </row>
    <row r="270" spans="1:27" x14ac:dyDescent="0.25">
      <c r="A270" s="2" t="s">
        <v>3709</v>
      </c>
      <c r="B270" t="s">
        <v>5588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33</v>
      </c>
      <c r="L270" t="s">
        <v>5297</v>
      </c>
      <c r="M270" t="s">
        <v>5589</v>
      </c>
      <c r="N270" s="4">
        <v>752941.18</v>
      </c>
      <c r="O270" s="4">
        <v>677647.06</v>
      </c>
      <c r="P270">
        <v>1</v>
      </c>
      <c r="Q270">
        <v>0</v>
      </c>
      <c r="R270">
        <v>0</v>
      </c>
      <c r="S270">
        <v>0</v>
      </c>
      <c r="T270">
        <v>1</v>
      </c>
      <c r="U270" s="4">
        <v>0</v>
      </c>
      <c r="V270" s="4">
        <v>1</v>
      </c>
      <c r="W270">
        <v>0</v>
      </c>
      <c r="X270">
        <v>0</v>
      </c>
      <c r="Y270">
        <v>0</v>
      </c>
      <c r="Z270" s="4">
        <v>896000</v>
      </c>
      <c r="AA270" s="4">
        <v>806400</v>
      </c>
    </row>
    <row r="271" spans="1:27" x14ac:dyDescent="0.25">
      <c r="A271" s="2" t="s">
        <v>3711</v>
      </c>
      <c r="B271" t="s">
        <v>5590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33</v>
      </c>
      <c r="L271" t="s">
        <v>5297</v>
      </c>
      <c r="M271" t="s">
        <v>5591</v>
      </c>
      <c r="N271" s="4">
        <v>294117.65000000002</v>
      </c>
      <c r="O271" s="4">
        <v>260504.2</v>
      </c>
      <c r="P271">
        <v>0</v>
      </c>
      <c r="Q271">
        <v>0</v>
      </c>
      <c r="R271">
        <v>0</v>
      </c>
      <c r="S271">
        <v>0</v>
      </c>
      <c r="T271">
        <v>4</v>
      </c>
      <c r="U271" s="4">
        <v>0</v>
      </c>
      <c r="V271" s="4">
        <v>4</v>
      </c>
      <c r="W271">
        <v>0</v>
      </c>
      <c r="X271">
        <v>0</v>
      </c>
      <c r="Y271">
        <v>0</v>
      </c>
      <c r="Z271" s="4">
        <v>350000</v>
      </c>
      <c r="AA271" s="4">
        <v>310000</v>
      </c>
    </row>
    <row r="272" spans="1:27" x14ac:dyDescent="0.25">
      <c r="A272" s="2" t="s">
        <v>3713</v>
      </c>
      <c r="B272" t="s">
        <v>5592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4</v>
      </c>
      <c r="L272" t="s">
        <v>5334</v>
      </c>
      <c r="M272" t="s">
        <v>5593</v>
      </c>
      <c r="N272" s="4">
        <v>285714.28999999998</v>
      </c>
      <c r="O272" s="4">
        <v>252100.84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340000</v>
      </c>
      <c r="AA272" s="4">
        <v>300000</v>
      </c>
    </row>
    <row r="273" spans="1:27" x14ac:dyDescent="0.25">
      <c r="A273" s="2" t="s">
        <v>3715</v>
      </c>
      <c r="B273" t="s">
        <v>5594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33</v>
      </c>
      <c r="L273" t="s">
        <v>5297</v>
      </c>
      <c r="M273" t="s">
        <v>5595</v>
      </c>
      <c r="N273" s="4">
        <v>521008.4</v>
      </c>
      <c r="O273" s="4">
        <v>462184.87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620000</v>
      </c>
      <c r="AA273" s="4">
        <v>550000</v>
      </c>
    </row>
    <row r="274" spans="1:27" x14ac:dyDescent="0.25">
      <c r="A274" s="2" t="s">
        <v>3717</v>
      </c>
      <c r="B274" t="s">
        <v>5596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33</v>
      </c>
      <c r="L274" t="s">
        <v>5297</v>
      </c>
      <c r="M274" t="s">
        <v>5597</v>
      </c>
      <c r="N274" s="4">
        <v>564705.88</v>
      </c>
      <c r="O274" s="4">
        <v>540235.29</v>
      </c>
      <c r="P274">
        <v>1</v>
      </c>
      <c r="Q274">
        <v>0</v>
      </c>
      <c r="R274">
        <v>0</v>
      </c>
      <c r="S274">
        <v>0</v>
      </c>
      <c r="T274">
        <v>1</v>
      </c>
      <c r="U274" s="4">
        <v>0</v>
      </c>
      <c r="V274" s="4">
        <v>1</v>
      </c>
      <c r="W274">
        <v>0</v>
      </c>
      <c r="X274">
        <v>0</v>
      </c>
      <c r="Y274">
        <v>0</v>
      </c>
      <c r="Z274" s="4">
        <v>672000</v>
      </c>
      <c r="AA274" s="4">
        <v>642880</v>
      </c>
    </row>
    <row r="275" spans="1:27" x14ac:dyDescent="0.25">
      <c r="A275" s="2" t="s">
        <v>3719</v>
      </c>
      <c r="B275" t="s">
        <v>5598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</v>
      </c>
      <c r="L275" t="s">
        <v>5275</v>
      </c>
      <c r="M275" t="s">
        <v>5599</v>
      </c>
      <c r="N275" s="4">
        <v>672268.91</v>
      </c>
      <c r="O275" s="4">
        <v>596638.66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800000</v>
      </c>
      <c r="AA275" s="4">
        <v>710000</v>
      </c>
    </row>
    <row r="276" spans="1:27" x14ac:dyDescent="0.25">
      <c r="A276" s="2" t="s">
        <v>3721</v>
      </c>
      <c r="B276" t="s">
        <v>6339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K276">
        <v>35</v>
      </c>
      <c r="L276" t="s">
        <v>5294</v>
      </c>
      <c r="M276" t="s">
        <v>6340</v>
      </c>
      <c r="N276" s="4">
        <v>453781.51</v>
      </c>
      <c r="O276" s="4">
        <v>394957.98</v>
      </c>
      <c r="P276">
        <v>0</v>
      </c>
      <c r="Q276">
        <v>0</v>
      </c>
      <c r="R276">
        <v>0</v>
      </c>
      <c r="S276">
        <v>0</v>
      </c>
      <c r="T276">
        <v>0</v>
      </c>
      <c r="U276" s="4">
        <v>0</v>
      </c>
      <c r="V276" s="4">
        <v>0</v>
      </c>
      <c r="W276">
        <v>0</v>
      </c>
      <c r="X276">
        <v>0</v>
      </c>
      <c r="Y276">
        <v>0</v>
      </c>
      <c r="Z276" s="4">
        <v>540000</v>
      </c>
      <c r="AA276" s="4">
        <v>470000</v>
      </c>
    </row>
    <row r="277" spans="1:27" x14ac:dyDescent="0.25">
      <c r="A277" s="2" t="s">
        <v>6341</v>
      </c>
      <c r="B277" t="s">
        <v>6342</v>
      </c>
      <c r="D277">
        <v>1</v>
      </c>
      <c r="E277">
        <v>1</v>
      </c>
      <c r="G277">
        <v>1</v>
      </c>
      <c r="I277" s="4">
        <v>103</v>
      </c>
      <c r="J277" s="4"/>
      <c r="K277">
        <v>0</v>
      </c>
      <c r="L277" t="s">
        <v>5574</v>
      </c>
      <c r="M277" t="s">
        <v>6343</v>
      </c>
      <c r="N277" s="4">
        <v>1.1200000000000001</v>
      </c>
      <c r="O277" s="4">
        <v>1.1200000000000001</v>
      </c>
      <c r="P277">
        <v>1</v>
      </c>
      <c r="Q277">
        <v>0</v>
      </c>
      <c r="R277">
        <v>0</v>
      </c>
      <c r="S277">
        <v>0</v>
      </c>
      <c r="U277" s="4"/>
      <c r="V277" s="4">
        <v>0</v>
      </c>
      <c r="Y277">
        <v>0</v>
      </c>
      <c r="Z277" s="4">
        <v>1.33</v>
      </c>
      <c r="AA277" s="4">
        <v>1.33</v>
      </c>
    </row>
    <row r="278" spans="1:27" x14ac:dyDescent="0.25">
      <c r="A278" s="2" t="s">
        <v>3723</v>
      </c>
      <c r="B278" t="s">
        <v>6344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32</v>
      </c>
      <c r="L278" t="s">
        <v>5484</v>
      </c>
      <c r="M278" t="s">
        <v>6345</v>
      </c>
      <c r="N278" s="4">
        <v>470588.24</v>
      </c>
      <c r="O278" s="4">
        <v>423529.41</v>
      </c>
      <c r="P278">
        <v>1</v>
      </c>
      <c r="Q278">
        <v>0</v>
      </c>
      <c r="R278">
        <v>0</v>
      </c>
      <c r="S278">
        <v>0</v>
      </c>
      <c r="T278">
        <v>0</v>
      </c>
      <c r="U278" s="4">
        <v>0</v>
      </c>
      <c r="V278" s="4">
        <v>0</v>
      </c>
      <c r="W278">
        <v>0</v>
      </c>
      <c r="X278">
        <v>0</v>
      </c>
      <c r="Y278">
        <v>0</v>
      </c>
      <c r="Z278" s="4">
        <v>560000</v>
      </c>
      <c r="AA278" s="4">
        <v>504000</v>
      </c>
    </row>
    <row r="279" spans="1:27" x14ac:dyDescent="0.25">
      <c r="A279" s="2" t="s">
        <v>3725</v>
      </c>
      <c r="B279" t="s">
        <v>6346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33</v>
      </c>
      <c r="L279" t="s">
        <v>5297</v>
      </c>
      <c r="M279" t="s">
        <v>6347</v>
      </c>
      <c r="N279" s="4">
        <v>756302.52</v>
      </c>
      <c r="O279" s="4">
        <v>684873.95</v>
      </c>
      <c r="P279">
        <v>0</v>
      </c>
      <c r="Q279">
        <v>0</v>
      </c>
      <c r="R279">
        <v>0</v>
      </c>
      <c r="S279">
        <v>0</v>
      </c>
      <c r="T279">
        <v>0</v>
      </c>
      <c r="U279" s="4">
        <v>0</v>
      </c>
      <c r="V279" s="4">
        <v>0</v>
      </c>
      <c r="W279">
        <v>0</v>
      </c>
      <c r="X279">
        <v>0</v>
      </c>
      <c r="Y279">
        <v>0</v>
      </c>
      <c r="Z279" s="4">
        <v>900000</v>
      </c>
      <c r="AA279" s="4">
        <v>815000</v>
      </c>
    </row>
    <row r="280" spans="1:27" x14ac:dyDescent="0.25">
      <c r="A280" s="2" t="s">
        <v>3727</v>
      </c>
      <c r="B280" t="s">
        <v>6348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33</v>
      </c>
      <c r="L280" t="s">
        <v>5297</v>
      </c>
      <c r="M280" t="s">
        <v>5600</v>
      </c>
      <c r="N280" s="4">
        <v>882352.94</v>
      </c>
      <c r="O280" s="4">
        <v>836134.45</v>
      </c>
      <c r="P280">
        <v>0</v>
      </c>
      <c r="Q280">
        <v>0</v>
      </c>
      <c r="R280">
        <v>0</v>
      </c>
      <c r="S280">
        <v>0</v>
      </c>
      <c r="T280">
        <v>2</v>
      </c>
      <c r="U280" s="4">
        <v>0</v>
      </c>
      <c r="V280" s="4">
        <v>2</v>
      </c>
      <c r="W280">
        <v>0</v>
      </c>
      <c r="X280">
        <v>0</v>
      </c>
      <c r="Y280">
        <v>0</v>
      </c>
      <c r="Z280" s="4">
        <v>1050000</v>
      </c>
      <c r="AA280" s="4">
        <v>995000</v>
      </c>
    </row>
    <row r="281" spans="1:27" x14ac:dyDescent="0.25">
      <c r="A281" s="2" t="s">
        <v>3729</v>
      </c>
      <c r="B281" t="s">
        <v>6349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5317</v>
      </c>
      <c r="M281" t="s">
        <v>5601</v>
      </c>
      <c r="N281" s="4">
        <v>378151.26</v>
      </c>
      <c r="O281" s="4">
        <v>344537.82</v>
      </c>
      <c r="P281">
        <v>0</v>
      </c>
      <c r="Q281">
        <v>0</v>
      </c>
      <c r="R281">
        <v>0</v>
      </c>
      <c r="S281">
        <v>0</v>
      </c>
      <c r="T281">
        <v>4</v>
      </c>
      <c r="U281" s="4">
        <v>0</v>
      </c>
      <c r="V281" s="4">
        <v>4</v>
      </c>
      <c r="W281">
        <v>0</v>
      </c>
      <c r="X281">
        <v>0</v>
      </c>
      <c r="Y281">
        <v>0</v>
      </c>
      <c r="Z281" s="4">
        <v>450000</v>
      </c>
      <c r="AA281" s="4">
        <v>410000</v>
      </c>
    </row>
    <row r="282" spans="1:27" x14ac:dyDescent="0.25">
      <c r="A282" s="2" t="s">
        <v>3731</v>
      </c>
      <c r="B282" t="s">
        <v>5602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33</v>
      </c>
      <c r="L282" t="s">
        <v>5297</v>
      </c>
      <c r="M282" t="s">
        <v>5603</v>
      </c>
      <c r="N282" s="4">
        <v>414117.65</v>
      </c>
      <c r="O282" s="4">
        <v>376470.59</v>
      </c>
      <c r="P282">
        <v>1</v>
      </c>
      <c r="Q282">
        <v>0</v>
      </c>
      <c r="R282">
        <v>0</v>
      </c>
      <c r="S282">
        <v>0</v>
      </c>
      <c r="T282">
        <v>1</v>
      </c>
      <c r="U282" s="4">
        <v>0</v>
      </c>
      <c r="V282" s="4">
        <v>1</v>
      </c>
      <c r="W282">
        <v>0</v>
      </c>
      <c r="X282">
        <v>0</v>
      </c>
      <c r="Y282">
        <v>0</v>
      </c>
      <c r="Z282" s="4">
        <v>492800</v>
      </c>
      <c r="AA282" s="4">
        <v>448000</v>
      </c>
    </row>
    <row r="283" spans="1:27" x14ac:dyDescent="0.25">
      <c r="A283" s="2" t="s">
        <v>3733</v>
      </c>
      <c r="B283" t="s">
        <v>6350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4</v>
      </c>
      <c r="L283" t="s">
        <v>5334</v>
      </c>
      <c r="M283" t="s">
        <v>5604</v>
      </c>
      <c r="N283" s="4">
        <v>588235.29</v>
      </c>
      <c r="O283" s="4">
        <v>504201.68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700000</v>
      </c>
      <c r="AA283" s="4">
        <v>600000</v>
      </c>
    </row>
    <row r="284" spans="1:27" x14ac:dyDescent="0.25">
      <c r="A284" s="2" t="s">
        <v>3735</v>
      </c>
      <c r="B284" t="s">
        <v>5605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18</v>
      </c>
      <c r="L284" t="s">
        <v>5282</v>
      </c>
      <c r="M284" t="s">
        <v>5606</v>
      </c>
      <c r="N284" s="4">
        <v>571428.56999999995</v>
      </c>
      <c r="O284" s="4">
        <v>504201.68</v>
      </c>
      <c r="P284">
        <v>0</v>
      </c>
      <c r="Q284">
        <v>0</v>
      </c>
      <c r="R284">
        <v>0</v>
      </c>
      <c r="S284">
        <v>0</v>
      </c>
      <c r="T284">
        <v>3</v>
      </c>
      <c r="U284" s="4">
        <v>0</v>
      </c>
      <c r="V284" s="4">
        <v>3</v>
      </c>
      <c r="W284">
        <v>0</v>
      </c>
      <c r="X284">
        <v>0</v>
      </c>
      <c r="Y284">
        <v>0</v>
      </c>
      <c r="Z284" s="4">
        <v>680000</v>
      </c>
      <c r="AA284" s="4">
        <v>600000</v>
      </c>
    </row>
    <row r="285" spans="1:27" x14ac:dyDescent="0.25">
      <c r="A285" s="2" t="s">
        <v>3737</v>
      </c>
      <c r="B285" t="s">
        <v>5607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33</v>
      </c>
      <c r="L285" t="s">
        <v>5297</v>
      </c>
      <c r="M285" t="s">
        <v>5608</v>
      </c>
      <c r="N285" s="4">
        <v>445378.15</v>
      </c>
      <c r="O285" s="4">
        <v>399159.66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1</v>
      </c>
      <c r="V285" s="4">
        <v>0</v>
      </c>
      <c r="W285">
        <v>0</v>
      </c>
      <c r="X285">
        <v>0</v>
      </c>
      <c r="Y285">
        <v>0</v>
      </c>
      <c r="Z285" s="4">
        <v>530000</v>
      </c>
      <c r="AA285" s="4">
        <v>475000</v>
      </c>
    </row>
    <row r="286" spans="1:27" x14ac:dyDescent="0.25">
      <c r="A286" s="2" t="s">
        <v>3739</v>
      </c>
      <c r="B286" t="s">
        <v>6351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33</v>
      </c>
      <c r="L286" t="s">
        <v>5297</v>
      </c>
      <c r="M286" t="s">
        <v>6352</v>
      </c>
      <c r="N286" s="4">
        <v>403361.34</v>
      </c>
      <c r="O286" s="4">
        <v>369747.9</v>
      </c>
      <c r="P286">
        <v>0</v>
      </c>
      <c r="Q286">
        <v>0</v>
      </c>
      <c r="R286">
        <v>0</v>
      </c>
      <c r="S286">
        <v>0</v>
      </c>
      <c r="T286">
        <v>0</v>
      </c>
      <c r="U286" s="4">
        <v>0</v>
      </c>
      <c r="V286" s="4">
        <v>0</v>
      </c>
      <c r="W286">
        <v>0</v>
      </c>
      <c r="X286">
        <v>0</v>
      </c>
      <c r="Y286">
        <v>0</v>
      </c>
      <c r="Z286" s="4">
        <v>480000</v>
      </c>
      <c r="AA286" s="4">
        <v>440000</v>
      </c>
    </row>
    <row r="287" spans="1:27" x14ac:dyDescent="0.25">
      <c r="A287" s="2" t="s">
        <v>3741</v>
      </c>
      <c r="B287" t="s">
        <v>6353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12</v>
      </c>
      <c r="L287" t="s">
        <v>5279</v>
      </c>
      <c r="M287" t="s">
        <v>6354</v>
      </c>
      <c r="N287" s="4">
        <v>285714.28999999998</v>
      </c>
      <c r="O287" s="4">
        <v>252100.84</v>
      </c>
      <c r="P287">
        <v>0</v>
      </c>
      <c r="Q287">
        <v>0</v>
      </c>
      <c r="R287">
        <v>0</v>
      </c>
      <c r="S287">
        <v>0</v>
      </c>
      <c r="T287">
        <v>-1</v>
      </c>
      <c r="U287" s="4">
        <v>0</v>
      </c>
      <c r="V287" s="4">
        <v>-1</v>
      </c>
      <c r="W287">
        <v>0</v>
      </c>
      <c r="X287">
        <v>0</v>
      </c>
      <c r="Y287">
        <v>0</v>
      </c>
      <c r="Z287" s="4">
        <v>340000</v>
      </c>
      <c r="AA287" s="4">
        <v>300000</v>
      </c>
    </row>
    <row r="288" spans="1:27" x14ac:dyDescent="0.25">
      <c r="A288" s="2" t="s">
        <v>3743</v>
      </c>
      <c r="B288" t="s">
        <v>5609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35</v>
      </c>
      <c r="L288" t="s">
        <v>5294</v>
      </c>
      <c r="M288" t="s">
        <v>5610</v>
      </c>
      <c r="N288" s="4">
        <v>415966.39</v>
      </c>
      <c r="O288" s="4">
        <v>382352.94</v>
      </c>
      <c r="P288">
        <v>0</v>
      </c>
      <c r="Q288">
        <v>0</v>
      </c>
      <c r="R288">
        <v>0</v>
      </c>
      <c r="S288">
        <v>0</v>
      </c>
      <c r="T288">
        <v>1</v>
      </c>
      <c r="U288" s="4">
        <v>0</v>
      </c>
      <c r="V288" s="4">
        <v>1</v>
      </c>
      <c r="W288">
        <v>0</v>
      </c>
      <c r="X288">
        <v>0</v>
      </c>
      <c r="Y288">
        <v>0</v>
      </c>
      <c r="Z288" s="4">
        <v>495000</v>
      </c>
      <c r="AA288" s="4">
        <v>455000</v>
      </c>
    </row>
    <row r="289" spans="1:27" x14ac:dyDescent="0.25">
      <c r="A289" s="2" t="s">
        <v>3745</v>
      </c>
      <c r="B289" t="s">
        <v>5611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8</v>
      </c>
      <c r="L289" t="s">
        <v>5317</v>
      </c>
      <c r="M289" t="s">
        <v>5612</v>
      </c>
      <c r="N289" s="4">
        <v>369747.9</v>
      </c>
      <c r="O289" s="4">
        <v>352941.18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440000</v>
      </c>
      <c r="AA289" s="4">
        <v>420000</v>
      </c>
    </row>
    <row r="290" spans="1:27" x14ac:dyDescent="0.25">
      <c r="A290" s="2" t="s">
        <v>3747</v>
      </c>
      <c r="B290" t="s">
        <v>5613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33</v>
      </c>
      <c r="L290" t="s">
        <v>5297</v>
      </c>
      <c r="M290" t="s">
        <v>5614</v>
      </c>
      <c r="N290" s="4">
        <v>596638.66</v>
      </c>
      <c r="O290" s="4">
        <v>554621.85</v>
      </c>
      <c r="P290">
        <v>0</v>
      </c>
      <c r="Q290">
        <v>0</v>
      </c>
      <c r="R290">
        <v>0</v>
      </c>
      <c r="S290">
        <v>0</v>
      </c>
      <c r="T290">
        <v>1</v>
      </c>
      <c r="U290" s="4">
        <v>0</v>
      </c>
      <c r="V290" s="4">
        <v>1</v>
      </c>
      <c r="W290">
        <v>0</v>
      </c>
      <c r="X290">
        <v>0</v>
      </c>
      <c r="Y290">
        <v>0</v>
      </c>
      <c r="Z290" s="4">
        <v>710000</v>
      </c>
      <c r="AA290" s="4">
        <v>660000</v>
      </c>
    </row>
    <row r="291" spans="1:27" x14ac:dyDescent="0.25">
      <c r="A291" s="2" t="s">
        <v>3749</v>
      </c>
      <c r="B291" t="s">
        <v>6355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4</v>
      </c>
      <c r="L291" t="s">
        <v>5334</v>
      </c>
      <c r="M291" t="s">
        <v>6356</v>
      </c>
      <c r="N291" s="4">
        <v>521008.4</v>
      </c>
      <c r="O291" s="4">
        <v>462184.87</v>
      </c>
      <c r="P291">
        <v>0</v>
      </c>
      <c r="Q291">
        <v>0</v>
      </c>
      <c r="R291">
        <v>0</v>
      </c>
      <c r="S291">
        <v>0</v>
      </c>
      <c r="T291">
        <v>0</v>
      </c>
      <c r="U291" s="4">
        <v>0</v>
      </c>
      <c r="V291" s="4">
        <v>0</v>
      </c>
      <c r="W291">
        <v>0</v>
      </c>
      <c r="X291">
        <v>0</v>
      </c>
      <c r="Y291">
        <v>0</v>
      </c>
      <c r="Z291" s="4">
        <v>620000</v>
      </c>
      <c r="AA291" s="4">
        <v>550000</v>
      </c>
    </row>
    <row r="292" spans="1:27" x14ac:dyDescent="0.25">
      <c r="A292" s="2" t="s">
        <v>3751</v>
      </c>
      <c r="B292" t="s">
        <v>6357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33</v>
      </c>
      <c r="L292" t="s">
        <v>5297</v>
      </c>
      <c r="M292" t="s">
        <v>6358</v>
      </c>
      <c r="N292" s="4">
        <v>462184.87</v>
      </c>
      <c r="O292" s="4">
        <v>420168.07</v>
      </c>
      <c r="P292">
        <v>0</v>
      </c>
      <c r="Q292">
        <v>0</v>
      </c>
      <c r="R292">
        <v>0</v>
      </c>
      <c r="S292">
        <v>0</v>
      </c>
      <c r="T292">
        <v>0</v>
      </c>
      <c r="U292" s="4">
        <v>0</v>
      </c>
      <c r="V292" s="4">
        <v>0</v>
      </c>
      <c r="W292">
        <v>0</v>
      </c>
      <c r="X292">
        <v>0</v>
      </c>
      <c r="Y292">
        <v>0</v>
      </c>
      <c r="Z292" s="4">
        <v>550000</v>
      </c>
      <c r="AA292" s="4">
        <v>500000</v>
      </c>
    </row>
    <row r="293" spans="1:27" x14ac:dyDescent="0.25">
      <c r="A293" s="2" t="s">
        <v>6359</v>
      </c>
      <c r="B293" t="s">
        <v>6360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33</v>
      </c>
      <c r="L293" t="s">
        <v>5297</v>
      </c>
      <c r="M293" t="s">
        <v>6361</v>
      </c>
      <c r="N293" s="4">
        <v>677647.06</v>
      </c>
      <c r="O293" s="4">
        <v>611764.71</v>
      </c>
      <c r="P293">
        <v>1</v>
      </c>
      <c r="Q293">
        <v>0</v>
      </c>
      <c r="R293">
        <v>0</v>
      </c>
      <c r="S293">
        <v>0</v>
      </c>
      <c r="T293">
        <v>0</v>
      </c>
      <c r="U293" s="4">
        <v>0</v>
      </c>
      <c r="V293" s="4">
        <v>0</v>
      </c>
      <c r="W293">
        <v>0</v>
      </c>
      <c r="X293">
        <v>0</v>
      </c>
      <c r="Y293">
        <v>0</v>
      </c>
      <c r="Z293" s="4">
        <v>806400</v>
      </c>
      <c r="AA293" s="4">
        <v>728000</v>
      </c>
    </row>
    <row r="294" spans="1:27" x14ac:dyDescent="0.25">
      <c r="A294" s="2" t="s">
        <v>3753</v>
      </c>
      <c r="B294" t="s">
        <v>5615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33</v>
      </c>
      <c r="L294" t="s">
        <v>5297</v>
      </c>
      <c r="M294" t="s">
        <v>5616</v>
      </c>
      <c r="N294" s="4">
        <v>655462.18000000005</v>
      </c>
      <c r="O294" s="4">
        <v>588235.29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780000</v>
      </c>
      <c r="AA294" s="4">
        <v>700000</v>
      </c>
    </row>
    <row r="295" spans="1:27" x14ac:dyDescent="0.25">
      <c r="A295" s="2" t="s">
        <v>3755</v>
      </c>
      <c r="B295" t="s">
        <v>6362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</v>
      </c>
      <c r="L295" t="s">
        <v>5275</v>
      </c>
      <c r="M295" t="s">
        <v>5617</v>
      </c>
      <c r="N295" s="4">
        <v>583529.41</v>
      </c>
      <c r="O295" s="4">
        <v>498823.53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694400</v>
      </c>
      <c r="AA295" s="4">
        <v>593600</v>
      </c>
    </row>
    <row r="296" spans="1:27" x14ac:dyDescent="0.25">
      <c r="A296" s="2" t="s">
        <v>3757</v>
      </c>
      <c r="B296" t="s">
        <v>5618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12</v>
      </c>
      <c r="L296" t="s">
        <v>5279</v>
      </c>
      <c r="M296" t="s">
        <v>5619</v>
      </c>
      <c r="N296" s="4">
        <v>714285.71</v>
      </c>
      <c r="O296" s="4">
        <v>655462.18000000005</v>
      </c>
      <c r="P296">
        <v>0</v>
      </c>
      <c r="Q296">
        <v>0</v>
      </c>
      <c r="R296">
        <v>0</v>
      </c>
      <c r="S296">
        <v>0</v>
      </c>
      <c r="T296">
        <v>3</v>
      </c>
      <c r="U296" s="4">
        <v>0</v>
      </c>
      <c r="V296" s="4">
        <v>3</v>
      </c>
      <c r="W296">
        <v>0</v>
      </c>
      <c r="X296">
        <v>0</v>
      </c>
      <c r="Y296">
        <v>0</v>
      </c>
      <c r="Z296" s="4">
        <v>850000</v>
      </c>
      <c r="AA296" s="4">
        <v>780000</v>
      </c>
    </row>
    <row r="297" spans="1:27" x14ac:dyDescent="0.25">
      <c r="A297" s="2" t="s">
        <v>3759</v>
      </c>
      <c r="B297" t="s">
        <v>6363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12</v>
      </c>
      <c r="L297" t="s">
        <v>5279</v>
      </c>
      <c r="M297" t="s">
        <v>6364</v>
      </c>
      <c r="N297" s="4">
        <v>537815.13</v>
      </c>
      <c r="O297" s="4">
        <v>478991.6</v>
      </c>
      <c r="P297">
        <v>0</v>
      </c>
      <c r="Q297">
        <v>0</v>
      </c>
      <c r="R297">
        <v>0</v>
      </c>
      <c r="S297">
        <v>0</v>
      </c>
      <c r="T297">
        <v>0</v>
      </c>
      <c r="U297" s="4">
        <v>0</v>
      </c>
      <c r="V297" s="4">
        <v>0</v>
      </c>
      <c r="W297">
        <v>0</v>
      </c>
      <c r="X297">
        <v>0</v>
      </c>
      <c r="Y297">
        <v>0</v>
      </c>
      <c r="Z297" s="4">
        <v>640000</v>
      </c>
      <c r="AA297" s="4">
        <v>570000</v>
      </c>
    </row>
    <row r="298" spans="1:27" x14ac:dyDescent="0.25">
      <c r="A298" s="2" t="s">
        <v>3761</v>
      </c>
      <c r="B298" t="s">
        <v>5620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12</v>
      </c>
      <c r="L298" t="s">
        <v>5279</v>
      </c>
      <c r="M298" t="s">
        <v>5621</v>
      </c>
      <c r="N298" s="4">
        <v>470588.24</v>
      </c>
      <c r="O298" s="4">
        <v>420168.07</v>
      </c>
      <c r="P298">
        <v>0</v>
      </c>
      <c r="Q298">
        <v>0</v>
      </c>
      <c r="R298">
        <v>0</v>
      </c>
      <c r="S298">
        <v>0</v>
      </c>
      <c r="T298">
        <v>6</v>
      </c>
      <c r="U298" s="4">
        <v>0</v>
      </c>
      <c r="V298" s="4">
        <v>6</v>
      </c>
      <c r="W298">
        <v>0</v>
      </c>
      <c r="X298">
        <v>0</v>
      </c>
      <c r="Y298">
        <v>0</v>
      </c>
      <c r="Z298" s="4">
        <v>560000</v>
      </c>
      <c r="AA298" s="4">
        <v>500000</v>
      </c>
    </row>
    <row r="299" spans="1:27" x14ac:dyDescent="0.25">
      <c r="A299" s="2" t="s">
        <v>3763</v>
      </c>
      <c r="B299" t="s">
        <v>5622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5</v>
      </c>
      <c r="L299" t="s">
        <v>5275</v>
      </c>
      <c r="M299" t="s">
        <v>5623</v>
      </c>
      <c r="N299" s="4">
        <v>529411.76</v>
      </c>
      <c r="O299" s="4">
        <v>470588.24</v>
      </c>
      <c r="P299">
        <v>0</v>
      </c>
      <c r="Q299">
        <v>0</v>
      </c>
      <c r="R299">
        <v>0</v>
      </c>
      <c r="S299">
        <v>0</v>
      </c>
      <c r="T299">
        <v>0</v>
      </c>
      <c r="U299" s="4">
        <v>0</v>
      </c>
      <c r="V299" s="4">
        <v>0</v>
      </c>
      <c r="W299">
        <v>0</v>
      </c>
      <c r="X299">
        <v>0</v>
      </c>
      <c r="Y299">
        <v>0</v>
      </c>
      <c r="Z299" s="4">
        <v>630000</v>
      </c>
      <c r="AA299" s="4">
        <v>560000</v>
      </c>
    </row>
    <row r="300" spans="1:27" x14ac:dyDescent="0.25">
      <c r="A300" s="2" t="s">
        <v>3765</v>
      </c>
      <c r="B300" t="s">
        <v>5624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59</v>
      </c>
      <c r="L300" t="s">
        <v>5285</v>
      </c>
      <c r="M300" t="s">
        <v>5625</v>
      </c>
      <c r="N300" s="4">
        <v>394957.98</v>
      </c>
      <c r="O300" s="4">
        <v>361344.54</v>
      </c>
      <c r="P300">
        <v>0</v>
      </c>
      <c r="Q300">
        <v>0</v>
      </c>
      <c r="R300">
        <v>0</v>
      </c>
      <c r="S300">
        <v>0</v>
      </c>
      <c r="T300">
        <v>2</v>
      </c>
      <c r="U300" s="4">
        <v>0</v>
      </c>
      <c r="V300" s="4">
        <v>2</v>
      </c>
      <c r="W300">
        <v>0</v>
      </c>
      <c r="X300">
        <v>0</v>
      </c>
      <c r="Y300">
        <v>0</v>
      </c>
      <c r="Z300" s="4">
        <v>470000</v>
      </c>
      <c r="AA300" s="4">
        <v>430000</v>
      </c>
    </row>
    <row r="301" spans="1:27" x14ac:dyDescent="0.25">
      <c r="A301" s="2" t="s">
        <v>3767</v>
      </c>
      <c r="B301" t="s">
        <v>5626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32</v>
      </c>
      <c r="L301" t="s">
        <v>5484</v>
      </c>
      <c r="M301" t="s">
        <v>5627</v>
      </c>
      <c r="N301" s="4">
        <v>462184.87</v>
      </c>
      <c r="O301" s="4">
        <v>420168.07</v>
      </c>
      <c r="P301">
        <v>0</v>
      </c>
      <c r="Q301">
        <v>0</v>
      </c>
      <c r="R301">
        <v>0</v>
      </c>
      <c r="S301">
        <v>0</v>
      </c>
      <c r="T301">
        <v>2</v>
      </c>
      <c r="U301" s="4">
        <v>0</v>
      </c>
      <c r="V301" s="4">
        <v>2</v>
      </c>
      <c r="W301">
        <v>0</v>
      </c>
      <c r="X301">
        <v>0</v>
      </c>
      <c r="Y301">
        <v>0</v>
      </c>
      <c r="Z301" s="4">
        <v>550000</v>
      </c>
      <c r="AA301" s="4">
        <v>500000</v>
      </c>
    </row>
    <row r="302" spans="1:27" x14ac:dyDescent="0.25">
      <c r="A302" s="2" t="s">
        <v>3769</v>
      </c>
      <c r="B302" t="s">
        <v>5628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5</v>
      </c>
      <c r="L302" t="s">
        <v>5275</v>
      </c>
      <c r="M302" t="s">
        <v>5629</v>
      </c>
      <c r="N302" s="4">
        <v>630252.1</v>
      </c>
      <c r="O302" s="4">
        <v>571428.56999999995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750000</v>
      </c>
      <c r="AA302" s="4">
        <v>680000</v>
      </c>
    </row>
    <row r="303" spans="1:27" x14ac:dyDescent="0.25">
      <c r="A303" s="2" t="s">
        <v>3771</v>
      </c>
      <c r="B303" t="s">
        <v>5630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4</v>
      </c>
      <c r="L303" t="s">
        <v>5334</v>
      </c>
      <c r="M303" t="s">
        <v>5631</v>
      </c>
      <c r="N303" s="4">
        <v>294117.65000000002</v>
      </c>
      <c r="O303" s="4">
        <v>257142.86</v>
      </c>
      <c r="P303">
        <v>0</v>
      </c>
      <c r="Q303">
        <v>0</v>
      </c>
      <c r="R303">
        <v>0</v>
      </c>
      <c r="S303">
        <v>0</v>
      </c>
      <c r="T303">
        <v>7</v>
      </c>
      <c r="U303" s="4">
        <v>0</v>
      </c>
      <c r="V303" s="4">
        <v>7</v>
      </c>
      <c r="W303">
        <v>0</v>
      </c>
      <c r="X303">
        <v>0</v>
      </c>
      <c r="Y303">
        <v>0</v>
      </c>
      <c r="Z303" s="4">
        <v>350000</v>
      </c>
      <c r="AA303" s="4">
        <v>306000</v>
      </c>
    </row>
    <row r="304" spans="1:27" x14ac:dyDescent="0.25">
      <c r="A304" s="2" t="s">
        <v>3773</v>
      </c>
      <c r="B304" t="s">
        <v>6365</v>
      </c>
      <c r="C304">
        <v>1</v>
      </c>
      <c r="D304">
        <v>1</v>
      </c>
      <c r="E304">
        <v>1</v>
      </c>
      <c r="G304">
        <v>1</v>
      </c>
      <c r="I304" s="4">
        <v>103</v>
      </c>
      <c r="J304" s="4"/>
      <c r="K304">
        <v>27</v>
      </c>
      <c r="L304" t="s">
        <v>5718</v>
      </c>
      <c r="M304" t="s">
        <v>6366</v>
      </c>
      <c r="N304" s="4">
        <v>184873.95</v>
      </c>
      <c r="O304" s="4">
        <v>168067.23</v>
      </c>
      <c r="P304">
        <v>0</v>
      </c>
      <c r="Q304">
        <v>0</v>
      </c>
      <c r="R304">
        <v>0</v>
      </c>
      <c r="S304">
        <v>0</v>
      </c>
      <c r="T304">
        <v>0</v>
      </c>
      <c r="U304" s="4">
        <v>0</v>
      </c>
      <c r="V304" s="4">
        <v>0</v>
      </c>
      <c r="W304">
        <v>0</v>
      </c>
      <c r="X304">
        <v>0</v>
      </c>
      <c r="Y304">
        <v>0</v>
      </c>
      <c r="Z304" s="4">
        <v>220000</v>
      </c>
      <c r="AA304" s="4">
        <v>200000</v>
      </c>
    </row>
    <row r="305" spans="1:27" x14ac:dyDescent="0.25">
      <c r="A305" s="2" t="s">
        <v>6367</v>
      </c>
      <c r="B305" t="s">
        <v>6368</v>
      </c>
      <c r="D305">
        <v>1</v>
      </c>
      <c r="E305">
        <v>1</v>
      </c>
      <c r="G305">
        <v>1</v>
      </c>
      <c r="I305" s="4">
        <v>103</v>
      </c>
      <c r="J305" s="4"/>
      <c r="K305">
        <v>0</v>
      </c>
      <c r="L305" t="s">
        <v>5574</v>
      </c>
      <c r="M305" t="s">
        <v>6369</v>
      </c>
      <c r="N305" s="4">
        <v>1.1200000000000001</v>
      </c>
      <c r="O305" s="4">
        <v>1.1200000000000001</v>
      </c>
      <c r="P305">
        <v>1</v>
      </c>
      <c r="Q305">
        <v>0</v>
      </c>
      <c r="R305">
        <v>0</v>
      </c>
      <c r="S305">
        <v>0</v>
      </c>
      <c r="U305" s="4"/>
      <c r="V305" s="4">
        <v>0</v>
      </c>
      <c r="Y305">
        <v>0</v>
      </c>
      <c r="Z305" s="4">
        <v>1.33</v>
      </c>
      <c r="AA305" s="4">
        <v>1.33</v>
      </c>
    </row>
    <row r="306" spans="1:27" x14ac:dyDescent="0.25">
      <c r="A306" s="2" t="s">
        <v>3775</v>
      </c>
      <c r="B306" t="s">
        <v>5632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5</v>
      </c>
      <c r="L306" t="s">
        <v>5275</v>
      </c>
      <c r="M306" t="s">
        <v>5633</v>
      </c>
      <c r="N306" s="4">
        <v>226890.76</v>
      </c>
      <c r="O306" s="4">
        <v>193277.31</v>
      </c>
      <c r="P306">
        <v>0</v>
      </c>
      <c r="Q306">
        <v>0</v>
      </c>
      <c r="R306">
        <v>0</v>
      </c>
      <c r="S306">
        <v>0</v>
      </c>
      <c r="T306">
        <v>2</v>
      </c>
      <c r="U306">
        <v>0</v>
      </c>
      <c r="V306">
        <v>2</v>
      </c>
      <c r="W306">
        <v>0</v>
      </c>
      <c r="X306">
        <v>0</v>
      </c>
      <c r="Y306">
        <v>0</v>
      </c>
      <c r="Z306" s="4">
        <v>270000</v>
      </c>
      <c r="AA306" s="4">
        <v>230000</v>
      </c>
    </row>
    <row r="307" spans="1:27" x14ac:dyDescent="0.25">
      <c r="A307" s="2" t="s">
        <v>3778</v>
      </c>
      <c r="B307" t="s">
        <v>5634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32</v>
      </c>
      <c r="L307" t="s">
        <v>5484</v>
      </c>
      <c r="M307" t="s">
        <v>5635</v>
      </c>
      <c r="N307" s="4">
        <v>470588.24</v>
      </c>
      <c r="O307" s="4">
        <v>411764.71</v>
      </c>
      <c r="P307">
        <v>0</v>
      </c>
      <c r="Q307">
        <v>0</v>
      </c>
      <c r="R307">
        <v>0</v>
      </c>
      <c r="S307">
        <v>0</v>
      </c>
      <c r="T307">
        <v>6</v>
      </c>
      <c r="U307">
        <v>0</v>
      </c>
      <c r="V307">
        <v>6</v>
      </c>
      <c r="W307">
        <v>0</v>
      </c>
      <c r="X307">
        <v>0</v>
      </c>
      <c r="Y307">
        <v>0</v>
      </c>
      <c r="Z307" s="4">
        <v>560000</v>
      </c>
      <c r="AA307" s="4">
        <v>490000</v>
      </c>
    </row>
    <row r="308" spans="1:27" x14ac:dyDescent="0.25">
      <c r="A308" s="2" t="s">
        <v>3780</v>
      </c>
      <c r="B308" t="s">
        <v>5506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8</v>
      </c>
      <c r="L308" t="s">
        <v>5317</v>
      </c>
      <c r="M308" t="s">
        <v>5636</v>
      </c>
      <c r="N308" s="4">
        <v>193277.31</v>
      </c>
      <c r="O308" s="4">
        <v>176470.59</v>
      </c>
      <c r="P308">
        <v>0</v>
      </c>
      <c r="Q308">
        <v>0</v>
      </c>
      <c r="R308">
        <v>0</v>
      </c>
      <c r="S308">
        <v>0</v>
      </c>
      <c r="T308">
        <v>3</v>
      </c>
      <c r="U308">
        <v>0</v>
      </c>
      <c r="V308">
        <v>3</v>
      </c>
      <c r="W308">
        <v>0</v>
      </c>
      <c r="X308">
        <v>0</v>
      </c>
      <c r="Y308">
        <v>0</v>
      </c>
      <c r="Z308" s="4">
        <v>230000</v>
      </c>
      <c r="AA308" s="4">
        <v>210000</v>
      </c>
    </row>
    <row r="309" spans="1:27" x14ac:dyDescent="0.25">
      <c r="A309" s="2" t="s">
        <v>3782</v>
      </c>
      <c r="B309" t="s">
        <v>5637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35</v>
      </c>
      <c r="L309" t="s">
        <v>5294</v>
      </c>
      <c r="M309" t="s">
        <v>5638</v>
      </c>
      <c r="N309" s="4">
        <v>336134.45</v>
      </c>
      <c r="O309" s="4">
        <v>302521.01</v>
      </c>
      <c r="P309">
        <v>0</v>
      </c>
      <c r="Q309">
        <v>0</v>
      </c>
      <c r="R309">
        <v>0</v>
      </c>
      <c r="S309">
        <v>0</v>
      </c>
      <c r="T309">
        <v>9</v>
      </c>
      <c r="U309">
        <v>0</v>
      </c>
      <c r="V309">
        <v>9</v>
      </c>
      <c r="W309">
        <v>0</v>
      </c>
      <c r="X309">
        <v>0</v>
      </c>
      <c r="Y309">
        <v>0</v>
      </c>
      <c r="Z309" s="4">
        <v>400000</v>
      </c>
      <c r="AA309" s="4">
        <v>360000</v>
      </c>
    </row>
    <row r="310" spans="1:27" x14ac:dyDescent="0.25">
      <c r="A310" s="2" t="s">
        <v>6370</v>
      </c>
      <c r="B310" t="s">
        <v>6371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0</v>
      </c>
      <c r="L310" t="s">
        <v>5574</v>
      </c>
      <c r="M310" t="s">
        <v>6372</v>
      </c>
      <c r="N310" s="4">
        <v>216470.59</v>
      </c>
      <c r="O310" s="4">
        <v>188235.29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 s="4">
        <v>257600</v>
      </c>
      <c r="AA310" s="4">
        <v>224000</v>
      </c>
    </row>
    <row r="311" spans="1:27" x14ac:dyDescent="0.25">
      <c r="A311" s="2" t="s">
        <v>6373</v>
      </c>
      <c r="B311" t="s">
        <v>6374</v>
      </c>
      <c r="D311">
        <v>1</v>
      </c>
      <c r="E311">
        <v>1</v>
      </c>
      <c r="G311">
        <v>1</v>
      </c>
      <c r="I311">
        <v>103</v>
      </c>
      <c r="K311">
        <v>0</v>
      </c>
      <c r="L311" t="s">
        <v>5574</v>
      </c>
      <c r="M311" t="s">
        <v>6375</v>
      </c>
      <c r="N311">
        <v>1.1200000000000001</v>
      </c>
      <c r="O311">
        <v>1.1200000000000001</v>
      </c>
      <c r="P311">
        <v>1</v>
      </c>
      <c r="Q311">
        <v>0</v>
      </c>
      <c r="R311">
        <v>0</v>
      </c>
      <c r="S311">
        <v>0</v>
      </c>
      <c r="V311">
        <v>0</v>
      </c>
      <c r="Y311">
        <v>0</v>
      </c>
      <c r="Z311">
        <v>1.33</v>
      </c>
      <c r="AA311">
        <v>1.33</v>
      </c>
    </row>
    <row r="312" spans="1:27" x14ac:dyDescent="0.25">
      <c r="A312" s="2" t="s">
        <v>3784</v>
      </c>
      <c r="B312" t="s">
        <v>5639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3</v>
      </c>
      <c r="L312" t="s">
        <v>5384</v>
      </c>
      <c r="M312" t="s">
        <v>5640</v>
      </c>
      <c r="N312" s="4">
        <v>655462.18000000005</v>
      </c>
      <c r="O312" s="4">
        <v>588235.29</v>
      </c>
      <c r="P312">
        <v>0</v>
      </c>
      <c r="Q312">
        <v>0</v>
      </c>
      <c r="R312">
        <v>0</v>
      </c>
      <c r="S312">
        <v>0</v>
      </c>
      <c r="T312">
        <v>4</v>
      </c>
      <c r="U312">
        <v>0</v>
      </c>
      <c r="V312">
        <v>4</v>
      </c>
      <c r="W312">
        <v>0</v>
      </c>
      <c r="X312">
        <v>0</v>
      </c>
      <c r="Y312">
        <v>0</v>
      </c>
      <c r="Z312" s="4">
        <v>780000</v>
      </c>
      <c r="AA312" s="4">
        <v>700000</v>
      </c>
    </row>
    <row r="313" spans="1:27" x14ac:dyDescent="0.25">
      <c r="A313" s="2" t="s">
        <v>6376</v>
      </c>
      <c r="B313" t="s">
        <v>6377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35</v>
      </c>
      <c r="L313" t="s">
        <v>5294</v>
      </c>
      <c r="M313" t="s">
        <v>6378</v>
      </c>
      <c r="N313" s="4">
        <v>470588.24</v>
      </c>
      <c r="O313" s="4">
        <v>420168.07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4">
        <v>560000</v>
      </c>
      <c r="AA313" s="4">
        <v>500000</v>
      </c>
    </row>
    <row r="314" spans="1:27" x14ac:dyDescent="0.25">
      <c r="A314" s="2" t="s">
        <v>6379</v>
      </c>
      <c r="B314" t="s">
        <v>6380</v>
      </c>
      <c r="D314">
        <v>1</v>
      </c>
      <c r="E314">
        <v>1</v>
      </c>
      <c r="G314">
        <v>1</v>
      </c>
      <c r="I314">
        <v>103</v>
      </c>
      <c r="K314">
        <v>0</v>
      </c>
      <c r="L314" t="s">
        <v>5574</v>
      </c>
      <c r="M314" t="s">
        <v>6381</v>
      </c>
      <c r="N314">
        <v>1.1200000000000001</v>
      </c>
      <c r="O314">
        <v>1.1200000000000001</v>
      </c>
      <c r="P314">
        <v>1</v>
      </c>
      <c r="Q314">
        <v>0</v>
      </c>
      <c r="R314">
        <v>0</v>
      </c>
      <c r="S314">
        <v>0</v>
      </c>
      <c r="V314">
        <v>0</v>
      </c>
      <c r="Y314">
        <v>0</v>
      </c>
      <c r="Z314">
        <v>1.33</v>
      </c>
      <c r="AA314">
        <v>1.33</v>
      </c>
    </row>
    <row r="315" spans="1:27" x14ac:dyDescent="0.25">
      <c r="A315" s="2" t="s">
        <v>3786</v>
      </c>
      <c r="B315" t="s">
        <v>6382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38</v>
      </c>
      <c r="L315" t="s">
        <v>5723</v>
      </c>
      <c r="M315" t="s">
        <v>6383</v>
      </c>
      <c r="N315" s="4">
        <v>966386.55</v>
      </c>
      <c r="O315" s="4">
        <v>840336.13</v>
      </c>
      <c r="P315">
        <v>0</v>
      </c>
      <c r="Q315">
        <v>0</v>
      </c>
      <c r="R315">
        <v>0</v>
      </c>
      <c r="S315">
        <v>0</v>
      </c>
      <c r="T315">
        <v>2</v>
      </c>
      <c r="U315">
        <v>0</v>
      </c>
      <c r="V315">
        <v>2</v>
      </c>
      <c r="W315">
        <v>0</v>
      </c>
      <c r="X315">
        <v>0</v>
      </c>
      <c r="Y315">
        <v>0</v>
      </c>
      <c r="Z315" s="4">
        <v>1150000</v>
      </c>
      <c r="AA315" s="4">
        <v>1000000</v>
      </c>
    </row>
    <row r="316" spans="1:27" x14ac:dyDescent="0.25">
      <c r="A316" s="2" t="s">
        <v>3788</v>
      </c>
      <c r="B316" t="s">
        <v>6384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38</v>
      </c>
      <c r="L316" t="s">
        <v>5723</v>
      </c>
      <c r="M316" t="s">
        <v>6385</v>
      </c>
      <c r="N316" s="4">
        <v>828235.29</v>
      </c>
      <c r="O316" s="4">
        <v>776470.59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s="4">
        <v>985600</v>
      </c>
      <c r="AA316" s="4">
        <v>924000</v>
      </c>
    </row>
    <row r="317" spans="1:27" x14ac:dyDescent="0.25">
      <c r="A317" s="2" t="s">
        <v>3790</v>
      </c>
      <c r="B317" t="s">
        <v>5641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5294</v>
      </c>
      <c r="M317" t="s">
        <v>5642</v>
      </c>
      <c r="N317" s="4">
        <v>201680.67</v>
      </c>
      <c r="O317" s="4">
        <v>184873.95</v>
      </c>
      <c r="P317">
        <v>0</v>
      </c>
      <c r="Q317">
        <v>0</v>
      </c>
      <c r="R317">
        <v>0</v>
      </c>
      <c r="S317">
        <v>0</v>
      </c>
      <c r="T317">
        <v>4</v>
      </c>
      <c r="U317">
        <v>0</v>
      </c>
      <c r="V317">
        <v>4</v>
      </c>
      <c r="W317">
        <v>0</v>
      </c>
      <c r="X317">
        <v>0</v>
      </c>
      <c r="Y317">
        <v>0</v>
      </c>
      <c r="Z317" s="4">
        <v>240000</v>
      </c>
      <c r="AA317" s="4">
        <v>220000</v>
      </c>
    </row>
    <row r="318" spans="1:27" x14ac:dyDescent="0.25">
      <c r="A318" s="2" t="s">
        <v>3792</v>
      </c>
      <c r="B318" t="s">
        <v>5643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18</v>
      </c>
      <c r="L318" t="s">
        <v>5282</v>
      </c>
      <c r="M318" t="s">
        <v>5644</v>
      </c>
      <c r="N318" s="4">
        <v>193277.31</v>
      </c>
      <c r="O318" s="4">
        <v>172268.91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 s="4">
        <v>230000</v>
      </c>
      <c r="AA318" s="4">
        <v>205000</v>
      </c>
    </row>
    <row r="319" spans="1:27" x14ac:dyDescent="0.25">
      <c r="A319" s="2" t="s">
        <v>6386</v>
      </c>
      <c r="B319" t="s">
        <v>6387</v>
      </c>
      <c r="D319">
        <v>1</v>
      </c>
      <c r="E319">
        <v>1</v>
      </c>
      <c r="G319">
        <v>1</v>
      </c>
      <c r="I319">
        <v>103</v>
      </c>
      <c r="K319">
        <v>37</v>
      </c>
      <c r="L319" t="s">
        <v>5288</v>
      </c>
      <c r="M319" t="s">
        <v>6388</v>
      </c>
      <c r="N319" s="4">
        <v>414117.65</v>
      </c>
      <c r="O319" s="4">
        <v>395294.12</v>
      </c>
      <c r="P319">
        <v>1</v>
      </c>
      <c r="Q319">
        <v>0</v>
      </c>
      <c r="R319">
        <v>0</v>
      </c>
      <c r="S319">
        <v>0</v>
      </c>
      <c r="V319">
        <v>0</v>
      </c>
      <c r="Y319">
        <v>0</v>
      </c>
      <c r="Z319" s="4">
        <v>492800</v>
      </c>
      <c r="AA319" s="4">
        <v>470400</v>
      </c>
    </row>
    <row r="320" spans="1:27" x14ac:dyDescent="0.25">
      <c r="A320" s="2" t="s">
        <v>6389</v>
      </c>
      <c r="B320" t="s">
        <v>6390</v>
      </c>
      <c r="D320">
        <v>1</v>
      </c>
      <c r="E320">
        <v>1</v>
      </c>
      <c r="G320">
        <v>1</v>
      </c>
      <c r="I320">
        <v>103</v>
      </c>
      <c r="K320">
        <v>0</v>
      </c>
      <c r="L320" t="s">
        <v>5574</v>
      </c>
      <c r="M320" t="s">
        <v>6391</v>
      </c>
      <c r="N320">
        <v>1.1200000000000001</v>
      </c>
      <c r="O320">
        <v>1.1200000000000001</v>
      </c>
      <c r="P320">
        <v>1</v>
      </c>
      <c r="Q320">
        <v>0</v>
      </c>
      <c r="R320">
        <v>0</v>
      </c>
      <c r="S320">
        <v>0</v>
      </c>
      <c r="V320">
        <v>0</v>
      </c>
      <c r="Y320">
        <v>0</v>
      </c>
      <c r="Z320">
        <v>1.33</v>
      </c>
      <c r="AA320">
        <v>1.33</v>
      </c>
    </row>
    <row r="321" spans="1:27" x14ac:dyDescent="0.25">
      <c r="A321" s="2" t="s">
        <v>6392</v>
      </c>
      <c r="B321" t="s">
        <v>6393</v>
      </c>
      <c r="D321">
        <v>1</v>
      </c>
      <c r="E321">
        <v>1</v>
      </c>
      <c r="G321">
        <v>1</v>
      </c>
      <c r="I321">
        <v>103</v>
      </c>
      <c r="K321">
        <v>0</v>
      </c>
      <c r="L321" t="s">
        <v>5574</v>
      </c>
      <c r="M321" t="s">
        <v>6394</v>
      </c>
      <c r="N321">
        <v>1.1200000000000001</v>
      </c>
      <c r="O321">
        <v>1.1200000000000001</v>
      </c>
      <c r="P321">
        <v>1</v>
      </c>
      <c r="Q321">
        <v>0</v>
      </c>
      <c r="R321">
        <v>0</v>
      </c>
      <c r="S321">
        <v>0</v>
      </c>
      <c r="V321">
        <v>0</v>
      </c>
      <c r="Y321">
        <v>0</v>
      </c>
      <c r="Z321">
        <v>1.33</v>
      </c>
      <c r="AA321">
        <v>1.33</v>
      </c>
    </row>
    <row r="322" spans="1:27" x14ac:dyDescent="0.25">
      <c r="A322" s="2" t="s">
        <v>3794</v>
      </c>
      <c r="B322" t="s">
        <v>5645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8</v>
      </c>
      <c r="L322" t="s">
        <v>5317</v>
      </c>
      <c r="M322" t="s">
        <v>5646</v>
      </c>
      <c r="N322" s="4">
        <v>361344.54</v>
      </c>
      <c r="O322" s="4">
        <v>319327.73</v>
      </c>
      <c r="P322">
        <v>0</v>
      </c>
      <c r="Q322">
        <v>0</v>
      </c>
      <c r="R322">
        <v>0</v>
      </c>
      <c r="S322">
        <v>0</v>
      </c>
      <c r="T322">
        <v>3</v>
      </c>
      <c r="U322">
        <v>0</v>
      </c>
      <c r="V322">
        <v>3</v>
      </c>
      <c r="W322">
        <v>0</v>
      </c>
      <c r="X322">
        <v>0</v>
      </c>
      <c r="Y322">
        <v>0</v>
      </c>
      <c r="Z322" s="4">
        <v>430000</v>
      </c>
      <c r="AA322" s="4">
        <v>380000</v>
      </c>
    </row>
    <row r="323" spans="1:27" x14ac:dyDescent="0.25">
      <c r="A323" s="2" t="s">
        <v>3796</v>
      </c>
      <c r="B323" t="s">
        <v>5647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29</v>
      </c>
      <c r="L323" t="s">
        <v>5291</v>
      </c>
      <c r="M323" t="s">
        <v>5648</v>
      </c>
      <c r="N323" s="4">
        <v>630252.1</v>
      </c>
      <c r="O323" s="4">
        <v>571428.56999999995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2</v>
      </c>
      <c r="W323">
        <v>0</v>
      </c>
      <c r="X323">
        <v>0</v>
      </c>
      <c r="Y323">
        <v>0</v>
      </c>
      <c r="Z323" s="4">
        <v>750000</v>
      </c>
      <c r="AA323" s="4">
        <v>680000</v>
      </c>
    </row>
    <row r="324" spans="1:27" x14ac:dyDescent="0.25">
      <c r="A324" s="2" t="s">
        <v>3798</v>
      </c>
      <c r="B324" t="s">
        <v>5649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8</v>
      </c>
      <c r="L324" t="s">
        <v>5317</v>
      </c>
      <c r="M324" t="s">
        <v>5650</v>
      </c>
      <c r="N324" s="4">
        <v>235294.12</v>
      </c>
      <c r="O324" s="4">
        <v>201680.67</v>
      </c>
      <c r="P324">
        <v>0</v>
      </c>
      <c r="Q324">
        <v>0</v>
      </c>
      <c r="R324">
        <v>0</v>
      </c>
      <c r="S324">
        <v>0</v>
      </c>
      <c r="T324">
        <v>6</v>
      </c>
      <c r="U324">
        <v>0</v>
      </c>
      <c r="V324">
        <v>6</v>
      </c>
      <c r="W324">
        <v>0</v>
      </c>
      <c r="X324">
        <v>0</v>
      </c>
      <c r="Y324">
        <v>0</v>
      </c>
      <c r="Z324" s="4">
        <v>280000</v>
      </c>
      <c r="AA324" s="4">
        <v>240000</v>
      </c>
    </row>
    <row r="325" spans="1:27" x14ac:dyDescent="0.25">
      <c r="A325" s="2" t="s">
        <v>6395</v>
      </c>
      <c r="B325" t="s">
        <v>6396</v>
      </c>
      <c r="D325">
        <v>1</v>
      </c>
      <c r="E325">
        <v>1</v>
      </c>
      <c r="G325">
        <v>1</v>
      </c>
      <c r="I325">
        <v>103</v>
      </c>
      <c r="K325">
        <v>18</v>
      </c>
      <c r="L325" t="s">
        <v>5282</v>
      </c>
      <c r="M325" t="s">
        <v>6397</v>
      </c>
      <c r="N325" s="4">
        <v>193277.31</v>
      </c>
      <c r="O325" s="4">
        <v>193277.31</v>
      </c>
      <c r="P325">
        <v>0</v>
      </c>
      <c r="Q325">
        <v>0</v>
      </c>
      <c r="R325">
        <v>0</v>
      </c>
      <c r="S325">
        <v>0</v>
      </c>
      <c r="V325">
        <v>0</v>
      </c>
      <c r="Y325">
        <v>0</v>
      </c>
      <c r="Z325" s="4">
        <v>230000</v>
      </c>
      <c r="AA325" s="4">
        <v>230000</v>
      </c>
    </row>
    <row r="326" spans="1:27" x14ac:dyDescent="0.25">
      <c r="A326" s="2" t="s">
        <v>3800</v>
      </c>
      <c r="B326" t="s">
        <v>5651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4</v>
      </c>
      <c r="L326" t="s">
        <v>5334</v>
      </c>
      <c r="M326" t="s">
        <v>5652</v>
      </c>
      <c r="N326" s="4">
        <v>714285.71</v>
      </c>
      <c r="O326" s="4">
        <v>655462.18000000005</v>
      </c>
      <c r="P326">
        <v>0</v>
      </c>
      <c r="Q326">
        <v>0</v>
      </c>
      <c r="R326">
        <v>0</v>
      </c>
      <c r="S326">
        <v>0</v>
      </c>
      <c r="T326">
        <v>2</v>
      </c>
      <c r="U326">
        <v>0</v>
      </c>
      <c r="V326">
        <v>2</v>
      </c>
      <c r="W326">
        <v>0</v>
      </c>
      <c r="X326">
        <v>0</v>
      </c>
      <c r="Y326">
        <v>0</v>
      </c>
      <c r="Z326" s="4">
        <v>850000</v>
      </c>
      <c r="AA326" s="4">
        <v>780000</v>
      </c>
    </row>
    <row r="327" spans="1:27" x14ac:dyDescent="0.25">
      <c r="A327" s="2" t="s">
        <v>6398</v>
      </c>
      <c r="B327" t="s">
        <v>6399</v>
      </c>
      <c r="D327">
        <v>1</v>
      </c>
      <c r="E327">
        <v>1</v>
      </c>
      <c r="G327">
        <v>1</v>
      </c>
      <c r="I327">
        <v>103</v>
      </c>
      <c r="K327">
        <v>18</v>
      </c>
      <c r="L327" t="s">
        <v>5282</v>
      </c>
      <c r="M327" t="s">
        <v>6400</v>
      </c>
      <c r="N327" s="4">
        <v>428705.88</v>
      </c>
      <c r="O327" s="4">
        <v>404705.88</v>
      </c>
      <c r="P327">
        <v>1</v>
      </c>
      <c r="Q327">
        <v>0</v>
      </c>
      <c r="R327">
        <v>0</v>
      </c>
      <c r="S327">
        <v>0</v>
      </c>
      <c r="V327">
        <v>0</v>
      </c>
      <c r="Y327">
        <v>0</v>
      </c>
      <c r="Z327" s="4">
        <v>510160</v>
      </c>
      <c r="AA327" s="4">
        <v>481600</v>
      </c>
    </row>
    <row r="328" spans="1:27" x14ac:dyDescent="0.25">
      <c r="A328" s="2" t="s">
        <v>6401</v>
      </c>
      <c r="B328" t="s">
        <v>6402</v>
      </c>
      <c r="D328">
        <v>1</v>
      </c>
      <c r="E328">
        <v>1</v>
      </c>
      <c r="G328">
        <v>1</v>
      </c>
      <c r="I328">
        <v>103</v>
      </c>
      <c r="K328">
        <v>31</v>
      </c>
      <c r="L328" t="s">
        <v>5407</v>
      </c>
      <c r="M328" t="s">
        <v>6403</v>
      </c>
      <c r="N328" s="4">
        <v>156235.29</v>
      </c>
      <c r="O328" s="4">
        <v>153411.76</v>
      </c>
      <c r="P328">
        <v>1</v>
      </c>
      <c r="Q328">
        <v>0</v>
      </c>
      <c r="R328">
        <v>0</v>
      </c>
      <c r="S328">
        <v>0</v>
      </c>
      <c r="V328">
        <v>0</v>
      </c>
      <c r="Y328">
        <v>0</v>
      </c>
      <c r="Z328" s="4">
        <v>185920</v>
      </c>
      <c r="AA328" s="4">
        <v>182560</v>
      </c>
    </row>
    <row r="329" spans="1:27" x14ac:dyDescent="0.25">
      <c r="A329" s="2" t="s">
        <v>3802</v>
      </c>
      <c r="B329" t="s">
        <v>5653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8</v>
      </c>
      <c r="L329" t="s">
        <v>5317</v>
      </c>
      <c r="M329" t="s">
        <v>5654</v>
      </c>
      <c r="N329" s="4">
        <v>184873.95</v>
      </c>
      <c r="O329" s="4">
        <v>168067.23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</v>
      </c>
      <c r="W329">
        <v>0</v>
      </c>
      <c r="X329">
        <v>0</v>
      </c>
      <c r="Y329">
        <v>0</v>
      </c>
      <c r="Z329" s="4">
        <v>220000</v>
      </c>
      <c r="AA329" s="4">
        <v>200000</v>
      </c>
    </row>
    <row r="330" spans="1:27" x14ac:dyDescent="0.25">
      <c r="A330" s="2" t="s">
        <v>3804</v>
      </c>
      <c r="B330" t="s">
        <v>5655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5</v>
      </c>
      <c r="L330" t="s">
        <v>5275</v>
      </c>
      <c r="M330" t="s">
        <v>5656</v>
      </c>
      <c r="N330" s="4">
        <v>521008.4</v>
      </c>
      <c r="O330" s="4">
        <v>478991.6</v>
      </c>
      <c r="P330">
        <v>0</v>
      </c>
      <c r="Q330">
        <v>0</v>
      </c>
      <c r="R330">
        <v>0</v>
      </c>
      <c r="S330">
        <v>0</v>
      </c>
      <c r="T330">
        <v>2</v>
      </c>
      <c r="U330">
        <v>0</v>
      </c>
      <c r="V330">
        <v>2</v>
      </c>
      <c r="W330">
        <v>0</v>
      </c>
      <c r="X330">
        <v>0</v>
      </c>
      <c r="Y330">
        <v>0</v>
      </c>
      <c r="Z330" s="4">
        <v>620000</v>
      </c>
      <c r="AA330" s="4">
        <v>570000</v>
      </c>
    </row>
    <row r="331" spans="1:27" x14ac:dyDescent="0.25">
      <c r="A331" s="2" t="s">
        <v>6404</v>
      </c>
      <c r="B331" t="s">
        <v>6405</v>
      </c>
      <c r="D331">
        <v>1</v>
      </c>
      <c r="E331">
        <v>1</v>
      </c>
      <c r="G331">
        <v>1</v>
      </c>
      <c r="I331">
        <v>103</v>
      </c>
      <c r="K331">
        <v>33</v>
      </c>
      <c r="L331" t="s">
        <v>5297</v>
      </c>
      <c r="M331" t="s">
        <v>6406</v>
      </c>
      <c r="N331" s="4">
        <v>1496470.59</v>
      </c>
      <c r="O331" s="4">
        <v>1496470.59</v>
      </c>
      <c r="P331">
        <v>1</v>
      </c>
      <c r="Q331">
        <v>0</v>
      </c>
      <c r="R331">
        <v>0</v>
      </c>
      <c r="S331">
        <v>0</v>
      </c>
      <c r="V331">
        <v>0</v>
      </c>
      <c r="Y331">
        <v>0</v>
      </c>
      <c r="Z331" s="4">
        <v>1780800</v>
      </c>
      <c r="AA331" s="4">
        <v>1780800</v>
      </c>
    </row>
    <row r="332" spans="1:27" x14ac:dyDescent="0.25">
      <c r="A332" s="2" t="s">
        <v>6407</v>
      </c>
      <c r="B332" t="s">
        <v>6408</v>
      </c>
      <c r="C332">
        <v>1</v>
      </c>
      <c r="D332">
        <v>1</v>
      </c>
      <c r="E332">
        <v>1</v>
      </c>
      <c r="G332">
        <v>1</v>
      </c>
      <c r="I332">
        <v>103</v>
      </c>
      <c r="K332">
        <v>33</v>
      </c>
      <c r="L332" t="s">
        <v>5297</v>
      </c>
      <c r="M332" t="s">
        <v>6409</v>
      </c>
      <c r="N332" s="4">
        <v>1600000</v>
      </c>
      <c r="O332" s="4">
        <v>1496470.59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s="4">
        <v>1904000</v>
      </c>
      <c r="AA332" s="4">
        <v>1780800</v>
      </c>
    </row>
    <row r="333" spans="1:27" x14ac:dyDescent="0.25">
      <c r="A333" s="2" t="s">
        <v>6410</v>
      </c>
      <c r="B333" t="s">
        <v>6411</v>
      </c>
      <c r="D333">
        <v>1</v>
      </c>
      <c r="E333">
        <v>1</v>
      </c>
      <c r="G333">
        <v>1</v>
      </c>
      <c r="I333">
        <v>103</v>
      </c>
      <c r="K333">
        <v>38</v>
      </c>
      <c r="L333" t="s">
        <v>5723</v>
      </c>
      <c r="M333" t="s">
        <v>6412</v>
      </c>
      <c r="N333" s="4">
        <v>828235.29</v>
      </c>
      <c r="O333" s="4">
        <v>776470.59</v>
      </c>
      <c r="P333">
        <v>1</v>
      </c>
      <c r="Q333">
        <v>0</v>
      </c>
      <c r="R333">
        <v>0</v>
      </c>
      <c r="S333">
        <v>0</v>
      </c>
      <c r="V333">
        <v>0</v>
      </c>
      <c r="Y333">
        <v>0</v>
      </c>
      <c r="Z333" s="4">
        <v>985600</v>
      </c>
      <c r="AA333" s="4">
        <v>924000</v>
      </c>
    </row>
    <row r="334" spans="1:27" x14ac:dyDescent="0.25">
      <c r="A334" s="2" t="s">
        <v>3806</v>
      </c>
      <c r="B334" t="s">
        <v>5657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33</v>
      </c>
      <c r="L334" t="s">
        <v>5297</v>
      </c>
      <c r="M334" t="s">
        <v>5658</v>
      </c>
      <c r="N334" s="4">
        <v>320000</v>
      </c>
      <c r="O334" s="4">
        <v>291764.71000000002</v>
      </c>
      <c r="P334">
        <v>1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1</v>
      </c>
      <c r="W334">
        <v>0</v>
      </c>
      <c r="X334">
        <v>0</v>
      </c>
      <c r="Y334">
        <v>0</v>
      </c>
      <c r="Z334" s="4">
        <v>380800</v>
      </c>
      <c r="AA334" s="4">
        <v>347200</v>
      </c>
    </row>
    <row r="335" spans="1:27" x14ac:dyDescent="0.25">
      <c r="A335" s="2" t="s">
        <v>6413</v>
      </c>
      <c r="B335" t="s">
        <v>6414</v>
      </c>
      <c r="D335">
        <v>1</v>
      </c>
      <c r="E335">
        <v>1</v>
      </c>
      <c r="G335">
        <v>1</v>
      </c>
      <c r="I335">
        <v>103</v>
      </c>
      <c r="K335">
        <v>0</v>
      </c>
      <c r="L335" t="s">
        <v>5574</v>
      </c>
      <c r="M335" t="s">
        <v>6415</v>
      </c>
      <c r="N335">
        <v>1.1200000000000001</v>
      </c>
      <c r="O335">
        <v>1.1200000000000001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>
        <v>1.33</v>
      </c>
      <c r="AA335">
        <v>1.33</v>
      </c>
    </row>
    <row r="336" spans="1:27" x14ac:dyDescent="0.25">
      <c r="A336" s="2" t="s">
        <v>3808</v>
      </c>
      <c r="B336" t="s">
        <v>5659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8</v>
      </c>
      <c r="L336" t="s">
        <v>5317</v>
      </c>
      <c r="M336" t="s">
        <v>5660</v>
      </c>
      <c r="N336" s="4">
        <v>226890.76</v>
      </c>
      <c r="O336" s="4">
        <v>197478.99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270000</v>
      </c>
      <c r="AA336" s="4">
        <v>235000</v>
      </c>
    </row>
    <row r="337" spans="1:27" x14ac:dyDescent="0.25">
      <c r="A337" s="2" t="s">
        <v>3810</v>
      </c>
      <c r="B337" t="s">
        <v>5661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8</v>
      </c>
      <c r="L337" t="s">
        <v>5317</v>
      </c>
      <c r="M337" t="s">
        <v>5662</v>
      </c>
      <c r="N337" s="4">
        <v>252100.84</v>
      </c>
      <c r="O337" s="4">
        <v>226890.76</v>
      </c>
      <c r="P337">
        <v>0</v>
      </c>
      <c r="Q337">
        <v>0</v>
      </c>
      <c r="R337">
        <v>0</v>
      </c>
      <c r="S337">
        <v>0</v>
      </c>
      <c r="T337">
        <v>6</v>
      </c>
      <c r="U337">
        <v>0</v>
      </c>
      <c r="V337">
        <v>6</v>
      </c>
      <c r="W337">
        <v>0</v>
      </c>
      <c r="X337">
        <v>0</v>
      </c>
      <c r="Y337">
        <v>0</v>
      </c>
      <c r="Z337" s="4">
        <v>300000</v>
      </c>
      <c r="AA337" s="4">
        <v>270000</v>
      </c>
    </row>
    <row r="338" spans="1:27" x14ac:dyDescent="0.25">
      <c r="A338" s="2" t="s">
        <v>3812</v>
      </c>
      <c r="B338" t="s">
        <v>5663</v>
      </c>
      <c r="C338">
        <v>1</v>
      </c>
      <c r="D338">
        <v>1</v>
      </c>
      <c r="E338">
        <v>1</v>
      </c>
      <c r="G338">
        <v>1</v>
      </c>
      <c r="I338">
        <v>103</v>
      </c>
      <c r="K338">
        <v>12</v>
      </c>
      <c r="L338" t="s">
        <v>5279</v>
      </c>
      <c r="M338" t="s">
        <v>5664</v>
      </c>
      <c r="N338" s="4">
        <v>256302.52</v>
      </c>
      <c r="O338" s="4">
        <v>236974.79</v>
      </c>
      <c r="P338">
        <v>0</v>
      </c>
      <c r="Q338">
        <v>0</v>
      </c>
      <c r="R338">
        <v>0</v>
      </c>
      <c r="S338">
        <v>0</v>
      </c>
      <c r="T338">
        <v>2</v>
      </c>
      <c r="U338">
        <v>0</v>
      </c>
      <c r="V338">
        <v>2</v>
      </c>
      <c r="W338">
        <v>0</v>
      </c>
      <c r="X338">
        <v>0</v>
      </c>
      <c r="Y338">
        <v>0</v>
      </c>
      <c r="Z338" s="4">
        <v>305000</v>
      </c>
      <c r="AA338" s="4">
        <v>282000</v>
      </c>
    </row>
    <row r="339" spans="1:27" x14ac:dyDescent="0.25">
      <c r="A339" s="2" t="s">
        <v>3814</v>
      </c>
      <c r="B339" t="s">
        <v>6416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35</v>
      </c>
      <c r="L339" t="s">
        <v>5294</v>
      </c>
      <c r="M339" t="s">
        <v>6417</v>
      </c>
      <c r="N339" s="4">
        <v>352941.18</v>
      </c>
      <c r="O339" s="4">
        <v>319327.73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 s="4">
        <v>420000</v>
      </c>
      <c r="AA339" s="4">
        <v>380000</v>
      </c>
    </row>
    <row r="340" spans="1:27" x14ac:dyDescent="0.25">
      <c r="A340" s="2" t="s">
        <v>3816</v>
      </c>
      <c r="B340" t="s">
        <v>5665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12</v>
      </c>
      <c r="L340" t="s">
        <v>5279</v>
      </c>
      <c r="M340" t="s">
        <v>5666</v>
      </c>
      <c r="N340" s="4">
        <v>285714.28999999998</v>
      </c>
      <c r="O340" s="4">
        <v>260504.2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1</v>
      </c>
      <c r="W340">
        <v>0</v>
      </c>
      <c r="X340">
        <v>0</v>
      </c>
      <c r="Y340">
        <v>0</v>
      </c>
      <c r="Z340" s="4">
        <v>340000</v>
      </c>
      <c r="AA340" s="4">
        <v>310000</v>
      </c>
    </row>
    <row r="341" spans="1:27" x14ac:dyDescent="0.25">
      <c r="A341" s="2" t="s">
        <v>6418</v>
      </c>
      <c r="B341" t="s">
        <v>6419</v>
      </c>
      <c r="D341">
        <v>1</v>
      </c>
      <c r="E341">
        <v>1</v>
      </c>
      <c r="G341">
        <v>1</v>
      </c>
      <c r="I341">
        <v>103</v>
      </c>
      <c r="K341">
        <v>0</v>
      </c>
      <c r="L341" t="s">
        <v>5574</v>
      </c>
      <c r="M341" t="s">
        <v>6420</v>
      </c>
      <c r="N341">
        <v>1.1200000000000001</v>
      </c>
      <c r="O341">
        <v>1.1200000000000001</v>
      </c>
      <c r="P341">
        <v>1</v>
      </c>
      <c r="Q341">
        <v>0</v>
      </c>
      <c r="R341">
        <v>0</v>
      </c>
      <c r="S341">
        <v>0</v>
      </c>
      <c r="V341">
        <v>0</v>
      </c>
      <c r="Y341">
        <v>0</v>
      </c>
      <c r="Z341">
        <v>1.33</v>
      </c>
      <c r="AA341">
        <v>1.33</v>
      </c>
    </row>
    <row r="342" spans="1:27" x14ac:dyDescent="0.25">
      <c r="A342" s="2" t="s">
        <v>6421</v>
      </c>
      <c r="B342" t="s">
        <v>6422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12</v>
      </c>
      <c r="L342" t="s">
        <v>5279</v>
      </c>
      <c r="M342" t="s">
        <v>6423</v>
      </c>
      <c r="N342" s="4">
        <v>243697.48</v>
      </c>
      <c r="O342" s="4">
        <v>226890.76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290000</v>
      </c>
      <c r="AA342" s="4">
        <v>270000</v>
      </c>
    </row>
    <row r="343" spans="1:27" x14ac:dyDescent="0.25">
      <c r="A343" s="2" t="s">
        <v>3818</v>
      </c>
      <c r="B343" t="s">
        <v>5667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12</v>
      </c>
      <c r="L343" t="s">
        <v>5279</v>
      </c>
      <c r="M343" t="s">
        <v>5668</v>
      </c>
      <c r="N343" s="4">
        <v>260504.2</v>
      </c>
      <c r="O343" s="4">
        <v>236974.79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1</v>
      </c>
      <c r="W343">
        <v>0</v>
      </c>
      <c r="X343">
        <v>0</v>
      </c>
      <c r="Y343">
        <v>0</v>
      </c>
      <c r="Z343" s="4">
        <v>310000</v>
      </c>
      <c r="AA343" s="4">
        <v>282000</v>
      </c>
    </row>
    <row r="344" spans="1:27" x14ac:dyDescent="0.25">
      <c r="A344" s="2" t="s">
        <v>3820</v>
      </c>
      <c r="B344" t="s">
        <v>5669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12</v>
      </c>
      <c r="L344" t="s">
        <v>5279</v>
      </c>
      <c r="M344" t="s">
        <v>5670</v>
      </c>
      <c r="N344" s="4">
        <v>260504.2</v>
      </c>
      <c r="O344" s="4">
        <v>236974.79</v>
      </c>
      <c r="P344">
        <v>0</v>
      </c>
      <c r="Q344">
        <v>0</v>
      </c>
      <c r="R344">
        <v>0</v>
      </c>
      <c r="S344">
        <v>0</v>
      </c>
      <c r="T344">
        <v>2</v>
      </c>
      <c r="U344">
        <v>0</v>
      </c>
      <c r="V344">
        <v>2</v>
      </c>
      <c r="W344">
        <v>0</v>
      </c>
      <c r="X344">
        <v>0</v>
      </c>
      <c r="Y344">
        <v>0</v>
      </c>
      <c r="Z344" s="4">
        <v>310000</v>
      </c>
      <c r="AA344" s="4">
        <v>282000</v>
      </c>
    </row>
    <row r="345" spans="1:27" x14ac:dyDescent="0.25">
      <c r="A345" s="2" t="s">
        <v>6424</v>
      </c>
      <c r="B345" t="s">
        <v>6425</v>
      </c>
      <c r="D345">
        <v>1</v>
      </c>
      <c r="E345">
        <v>1</v>
      </c>
      <c r="G345">
        <v>1</v>
      </c>
      <c r="I345">
        <v>103</v>
      </c>
      <c r="K345">
        <v>0</v>
      </c>
      <c r="L345" t="s">
        <v>5574</v>
      </c>
      <c r="M345" t="s">
        <v>6426</v>
      </c>
      <c r="N345">
        <v>1.1200000000000001</v>
      </c>
      <c r="O345">
        <v>1.1200000000000001</v>
      </c>
      <c r="P345">
        <v>1</v>
      </c>
      <c r="Q345">
        <v>0</v>
      </c>
      <c r="R345">
        <v>0</v>
      </c>
      <c r="S345">
        <v>0</v>
      </c>
      <c r="V345">
        <v>0</v>
      </c>
      <c r="Y345">
        <v>0</v>
      </c>
      <c r="Z345">
        <v>1.33</v>
      </c>
      <c r="AA345">
        <v>1.33</v>
      </c>
    </row>
    <row r="346" spans="1:27" x14ac:dyDescent="0.25">
      <c r="A346" s="2" t="s">
        <v>6427</v>
      </c>
      <c r="B346" t="s">
        <v>6428</v>
      </c>
      <c r="D346">
        <v>1</v>
      </c>
      <c r="E346">
        <v>1</v>
      </c>
      <c r="G346">
        <v>1</v>
      </c>
      <c r="I346">
        <v>103</v>
      </c>
      <c r="K346">
        <v>0</v>
      </c>
      <c r="L346" t="s">
        <v>5574</v>
      </c>
      <c r="M346" t="s">
        <v>6429</v>
      </c>
      <c r="N346">
        <v>1.1200000000000001</v>
      </c>
      <c r="O346">
        <v>1.1200000000000001</v>
      </c>
      <c r="P346">
        <v>1</v>
      </c>
      <c r="Q346">
        <v>0</v>
      </c>
      <c r="R346">
        <v>0</v>
      </c>
      <c r="S346">
        <v>0</v>
      </c>
      <c r="V346">
        <v>0</v>
      </c>
      <c r="Y346">
        <v>0</v>
      </c>
      <c r="Z346">
        <v>1.33</v>
      </c>
      <c r="AA346">
        <v>1.33</v>
      </c>
    </row>
    <row r="347" spans="1:27" x14ac:dyDescent="0.25">
      <c r="A347" s="2" t="s">
        <v>3822</v>
      </c>
      <c r="B347" t="s">
        <v>6430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33</v>
      </c>
      <c r="L347" t="s">
        <v>5297</v>
      </c>
      <c r="M347" t="s">
        <v>6431</v>
      </c>
      <c r="N347" s="4">
        <v>403361.34</v>
      </c>
      <c r="O347" s="4">
        <v>352941.18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 s="4">
        <v>480000</v>
      </c>
      <c r="AA347" s="4">
        <v>420000</v>
      </c>
    </row>
    <row r="348" spans="1:27" x14ac:dyDescent="0.25">
      <c r="A348" s="2" t="s">
        <v>3824</v>
      </c>
      <c r="B348" t="s">
        <v>6432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33</v>
      </c>
      <c r="L348" t="s">
        <v>5297</v>
      </c>
      <c r="M348" t="s">
        <v>6433</v>
      </c>
      <c r="N348" s="4">
        <v>504201.68</v>
      </c>
      <c r="O348" s="4">
        <v>462184.87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s="4">
        <v>600000</v>
      </c>
      <c r="AA348" s="4">
        <v>550000</v>
      </c>
    </row>
    <row r="349" spans="1:27" x14ac:dyDescent="0.25">
      <c r="A349" s="2" t="s">
        <v>3826</v>
      </c>
      <c r="B349" t="s">
        <v>5671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35</v>
      </c>
      <c r="L349" t="s">
        <v>5294</v>
      </c>
      <c r="M349" t="s">
        <v>5672</v>
      </c>
      <c r="N349" s="4">
        <v>272941.18</v>
      </c>
      <c r="O349" s="4">
        <v>244705.88</v>
      </c>
      <c r="P349">
        <v>1</v>
      </c>
      <c r="Q349">
        <v>0</v>
      </c>
      <c r="R349">
        <v>0</v>
      </c>
      <c r="S349">
        <v>0</v>
      </c>
      <c r="T349">
        <v>2</v>
      </c>
      <c r="U349">
        <v>0</v>
      </c>
      <c r="V349">
        <v>2</v>
      </c>
      <c r="W349">
        <v>0</v>
      </c>
      <c r="X349">
        <v>0</v>
      </c>
      <c r="Y349">
        <v>0</v>
      </c>
      <c r="Z349" s="4">
        <v>324800</v>
      </c>
      <c r="AA349" s="4">
        <v>291200</v>
      </c>
    </row>
    <row r="350" spans="1:27" x14ac:dyDescent="0.25">
      <c r="A350" s="2" t="s">
        <v>3828</v>
      </c>
      <c r="B350" t="s">
        <v>5673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3</v>
      </c>
      <c r="L350" t="s">
        <v>5384</v>
      </c>
      <c r="M350" t="s">
        <v>5674</v>
      </c>
      <c r="N350" s="4">
        <v>319327.73</v>
      </c>
      <c r="O350" s="4">
        <v>285714.28999999998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 s="4">
        <v>380000</v>
      </c>
      <c r="AA350" s="4">
        <v>340000</v>
      </c>
    </row>
    <row r="351" spans="1:27" x14ac:dyDescent="0.25">
      <c r="A351" s="2" t="s">
        <v>3830</v>
      </c>
      <c r="B351" t="s">
        <v>5675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5</v>
      </c>
      <c r="L351" t="s">
        <v>5275</v>
      </c>
      <c r="M351" t="s">
        <v>5676</v>
      </c>
      <c r="N351" s="4">
        <v>521008.4</v>
      </c>
      <c r="O351" s="4">
        <v>470588.24</v>
      </c>
      <c r="P351">
        <v>0</v>
      </c>
      <c r="Q351">
        <v>0</v>
      </c>
      <c r="R351">
        <v>0</v>
      </c>
      <c r="S351">
        <v>0</v>
      </c>
      <c r="T351">
        <v>2</v>
      </c>
      <c r="U351">
        <v>0</v>
      </c>
      <c r="V351">
        <v>2</v>
      </c>
      <c r="W351">
        <v>0</v>
      </c>
      <c r="X351">
        <v>0</v>
      </c>
      <c r="Y351">
        <v>0</v>
      </c>
      <c r="Z351" s="4">
        <v>620000</v>
      </c>
      <c r="AA351" s="4">
        <v>560000</v>
      </c>
    </row>
    <row r="352" spans="1:27" x14ac:dyDescent="0.25">
      <c r="A352" s="2" t="s">
        <v>3832</v>
      </c>
      <c r="B352" t="s">
        <v>5677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35</v>
      </c>
      <c r="L352" t="s">
        <v>5294</v>
      </c>
      <c r="M352" t="s">
        <v>5678</v>
      </c>
      <c r="N352" s="4">
        <v>277310.92</v>
      </c>
      <c r="O352" s="4">
        <v>247899.16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1</v>
      </c>
      <c r="W352">
        <v>0</v>
      </c>
      <c r="X352">
        <v>0</v>
      </c>
      <c r="Y352">
        <v>0</v>
      </c>
      <c r="Z352" s="4">
        <v>330000</v>
      </c>
      <c r="AA352" s="4">
        <v>295000</v>
      </c>
    </row>
    <row r="353" spans="1:27" x14ac:dyDescent="0.25">
      <c r="A353" s="2" t="s">
        <v>3835</v>
      </c>
      <c r="B353" t="s">
        <v>5679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35</v>
      </c>
      <c r="L353" t="s">
        <v>5294</v>
      </c>
      <c r="M353" t="s">
        <v>5680</v>
      </c>
      <c r="N353" s="4">
        <v>243697.48</v>
      </c>
      <c r="O353" s="4">
        <v>218487.39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290000</v>
      </c>
      <c r="AA353" s="4">
        <v>260000</v>
      </c>
    </row>
    <row r="354" spans="1:27" x14ac:dyDescent="0.25">
      <c r="A354" s="2" t="s">
        <v>6434</v>
      </c>
      <c r="B354" t="s">
        <v>6435</v>
      </c>
      <c r="D354">
        <v>1</v>
      </c>
      <c r="E354">
        <v>1</v>
      </c>
      <c r="G354">
        <v>1</v>
      </c>
      <c r="I354">
        <v>103</v>
      </c>
      <c r="K354">
        <v>0</v>
      </c>
      <c r="L354" t="s">
        <v>5574</v>
      </c>
      <c r="M354" t="s">
        <v>6436</v>
      </c>
      <c r="N354">
        <v>1.1200000000000001</v>
      </c>
      <c r="O354">
        <v>1.1200000000000001</v>
      </c>
      <c r="P354">
        <v>1</v>
      </c>
      <c r="Q354">
        <v>0</v>
      </c>
      <c r="R354">
        <v>0</v>
      </c>
      <c r="S354">
        <v>0</v>
      </c>
      <c r="V354">
        <v>0</v>
      </c>
      <c r="Y354">
        <v>0</v>
      </c>
      <c r="Z354">
        <v>1.33</v>
      </c>
      <c r="AA354">
        <v>1.33</v>
      </c>
    </row>
    <row r="355" spans="1:27" x14ac:dyDescent="0.25">
      <c r="A355" s="2" t="s">
        <v>3837</v>
      </c>
      <c r="B355" t="s">
        <v>5681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3</v>
      </c>
      <c r="L355" t="s">
        <v>5384</v>
      </c>
      <c r="M355" t="s">
        <v>5682</v>
      </c>
      <c r="N355" s="4">
        <v>546218.49</v>
      </c>
      <c r="O355" s="4">
        <v>495798.32</v>
      </c>
      <c r="P355">
        <v>0</v>
      </c>
      <c r="Q355">
        <v>0</v>
      </c>
      <c r="R355">
        <v>0</v>
      </c>
      <c r="S355">
        <v>0</v>
      </c>
      <c r="T355">
        <v>2</v>
      </c>
      <c r="U355">
        <v>0</v>
      </c>
      <c r="V355">
        <v>2</v>
      </c>
      <c r="W355">
        <v>0</v>
      </c>
      <c r="X355">
        <v>0</v>
      </c>
      <c r="Y355">
        <v>0</v>
      </c>
      <c r="Z355" s="4">
        <v>650000</v>
      </c>
      <c r="AA355" s="4">
        <v>590000</v>
      </c>
    </row>
    <row r="356" spans="1:27" x14ac:dyDescent="0.25">
      <c r="A356" s="2" t="s">
        <v>3839</v>
      </c>
      <c r="B356" t="s">
        <v>6437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12</v>
      </c>
      <c r="L356" t="s">
        <v>5279</v>
      </c>
      <c r="M356" t="s">
        <v>5683</v>
      </c>
      <c r="N356" s="4">
        <v>420168.07</v>
      </c>
      <c r="O356" s="4">
        <v>390756.3</v>
      </c>
      <c r="P356">
        <v>0</v>
      </c>
      <c r="Q356">
        <v>0</v>
      </c>
      <c r="R356">
        <v>0</v>
      </c>
      <c r="S356">
        <v>0</v>
      </c>
      <c r="T356">
        <v>4</v>
      </c>
      <c r="U356">
        <v>0</v>
      </c>
      <c r="V356">
        <v>4</v>
      </c>
      <c r="W356">
        <v>0</v>
      </c>
      <c r="X356">
        <v>0</v>
      </c>
      <c r="Y356">
        <v>0</v>
      </c>
      <c r="Z356" s="4">
        <v>500000</v>
      </c>
      <c r="AA356" s="4">
        <v>465000</v>
      </c>
    </row>
    <row r="357" spans="1:27" x14ac:dyDescent="0.25">
      <c r="A357" s="2" t="s">
        <v>3841</v>
      </c>
      <c r="B357" t="s">
        <v>6438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12</v>
      </c>
      <c r="L357" t="s">
        <v>5279</v>
      </c>
      <c r="M357" t="s">
        <v>6439</v>
      </c>
      <c r="N357" s="4">
        <v>369747.9</v>
      </c>
      <c r="O357" s="4">
        <v>357142.86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s="4">
        <v>440000</v>
      </c>
      <c r="AA357" s="4">
        <v>425000</v>
      </c>
    </row>
    <row r="358" spans="1:27" x14ac:dyDescent="0.25">
      <c r="A358" s="2" t="s">
        <v>3843</v>
      </c>
      <c r="B358" t="s">
        <v>6440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31</v>
      </c>
      <c r="L358" t="s">
        <v>5407</v>
      </c>
      <c r="M358" t="s">
        <v>6441</v>
      </c>
      <c r="N358" s="4">
        <v>193277.31</v>
      </c>
      <c r="O358" s="4">
        <v>176470.59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 s="4">
        <v>230000</v>
      </c>
      <c r="AA358" s="4">
        <v>210000</v>
      </c>
    </row>
    <row r="359" spans="1:27" x14ac:dyDescent="0.25">
      <c r="A359" s="2" t="s">
        <v>3845</v>
      </c>
      <c r="B359" t="s">
        <v>5684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8</v>
      </c>
      <c r="L359" t="s">
        <v>5317</v>
      </c>
      <c r="M359" t="s">
        <v>5685</v>
      </c>
      <c r="N359" s="4">
        <v>184873.95</v>
      </c>
      <c r="O359" s="4">
        <v>166386.54999999999</v>
      </c>
      <c r="P359">
        <v>0</v>
      </c>
      <c r="Q359">
        <v>0</v>
      </c>
      <c r="R359">
        <v>0</v>
      </c>
      <c r="S359">
        <v>0</v>
      </c>
      <c r="T359">
        <v>5</v>
      </c>
      <c r="U359">
        <v>0</v>
      </c>
      <c r="V359">
        <v>5</v>
      </c>
      <c r="W359">
        <v>0</v>
      </c>
      <c r="X359">
        <v>0</v>
      </c>
      <c r="Y359">
        <v>0</v>
      </c>
      <c r="Z359" s="4">
        <v>220000</v>
      </c>
      <c r="AA359" s="4">
        <v>198000</v>
      </c>
    </row>
    <row r="360" spans="1:27" x14ac:dyDescent="0.25">
      <c r="A360" s="2" t="s">
        <v>3847</v>
      </c>
      <c r="B360" t="s">
        <v>6442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5</v>
      </c>
      <c r="L360" t="s">
        <v>5275</v>
      </c>
      <c r="M360" t="s">
        <v>6443</v>
      </c>
      <c r="N360" s="4">
        <v>420168.07</v>
      </c>
      <c r="O360" s="4">
        <v>378151.26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s="4">
        <v>500000</v>
      </c>
      <c r="AA360" s="4">
        <v>450000</v>
      </c>
    </row>
    <row r="361" spans="1:27" x14ac:dyDescent="0.25">
      <c r="A361" s="2" t="s">
        <v>3849</v>
      </c>
      <c r="B361" t="s">
        <v>6444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4</v>
      </c>
      <c r="L361" t="s">
        <v>5334</v>
      </c>
      <c r="M361" t="s">
        <v>5686</v>
      </c>
      <c r="N361" s="4">
        <v>338823.53</v>
      </c>
      <c r="O361" s="4">
        <v>320000</v>
      </c>
      <c r="P361">
        <v>1</v>
      </c>
      <c r="Q361">
        <v>0</v>
      </c>
      <c r="R361">
        <v>0</v>
      </c>
      <c r="S361">
        <v>0</v>
      </c>
      <c r="T361">
        <v>1</v>
      </c>
      <c r="U361">
        <v>0</v>
      </c>
      <c r="V361">
        <v>1</v>
      </c>
      <c r="W361">
        <v>0</v>
      </c>
      <c r="X361">
        <v>0</v>
      </c>
      <c r="Y361">
        <v>0</v>
      </c>
      <c r="Z361" s="4">
        <v>403200</v>
      </c>
      <c r="AA361" s="4">
        <v>380800</v>
      </c>
    </row>
    <row r="362" spans="1:27" x14ac:dyDescent="0.25">
      <c r="A362" s="2" t="s">
        <v>3851</v>
      </c>
      <c r="B362" t="s">
        <v>5687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35</v>
      </c>
      <c r="L362" t="s">
        <v>5294</v>
      </c>
      <c r="M362" t="s">
        <v>5688</v>
      </c>
      <c r="N362" s="4">
        <v>394957.98</v>
      </c>
      <c r="O362" s="4">
        <v>361344.54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470000</v>
      </c>
      <c r="AA362" s="4">
        <v>430000</v>
      </c>
    </row>
    <row r="363" spans="1:27" x14ac:dyDescent="0.25">
      <c r="A363" s="2" t="s">
        <v>6445</v>
      </c>
      <c r="B363" t="s">
        <v>6446</v>
      </c>
      <c r="D363">
        <v>1</v>
      </c>
      <c r="E363">
        <v>1</v>
      </c>
      <c r="G363">
        <v>1</v>
      </c>
      <c r="I363">
        <v>103</v>
      </c>
      <c r="K363">
        <v>8</v>
      </c>
      <c r="L363" t="s">
        <v>5317</v>
      </c>
      <c r="M363" t="s">
        <v>6447</v>
      </c>
      <c r="N363" s="4">
        <v>800000</v>
      </c>
      <c r="O363" s="4">
        <v>752941.18</v>
      </c>
      <c r="P363">
        <v>1</v>
      </c>
      <c r="Q363">
        <v>0</v>
      </c>
      <c r="R363">
        <v>0</v>
      </c>
      <c r="S363">
        <v>0</v>
      </c>
      <c r="V363">
        <v>0</v>
      </c>
      <c r="Y363">
        <v>0</v>
      </c>
      <c r="Z363" s="4">
        <v>952000</v>
      </c>
      <c r="AA363" s="4">
        <v>896000</v>
      </c>
    </row>
    <row r="364" spans="1:27" x14ac:dyDescent="0.25">
      <c r="A364" s="2" t="s">
        <v>6448</v>
      </c>
      <c r="B364" t="s">
        <v>6449</v>
      </c>
      <c r="D364">
        <v>1</v>
      </c>
      <c r="E364">
        <v>1</v>
      </c>
      <c r="G364">
        <v>1</v>
      </c>
      <c r="I364">
        <v>103</v>
      </c>
      <c r="K364">
        <v>5</v>
      </c>
      <c r="L364" t="s">
        <v>5275</v>
      </c>
      <c r="M364" t="s">
        <v>6450</v>
      </c>
      <c r="N364" s="4">
        <v>894117.65</v>
      </c>
      <c r="O364" s="4">
        <v>837647.06</v>
      </c>
      <c r="P364">
        <v>1</v>
      </c>
      <c r="Q364">
        <v>0</v>
      </c>
      <c r="R364">
        <v>0</v>
      </c>
      <c r="S364">
        <v>0</v>
      </c>
      <c r="V364">
        <v>0</v>
      </c>
      <c r="Y364">
        <v>0</v>
      </c>
      <c r="Z364" s="4">
        <v>1064000</v>
      </c>
      <c r="AA364" s="4">
        <v>996800</v>
      </c>
    </row>
    <row r="365" spans="1:27" x14ac:dyDescent="0.25">
      <c r="A365" s="2" t="s">
        <v>6451</v>
      </c>
      <c r="B365" t="s">
        <v>6452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35</v>
      </c>
      <c r="L365" t="s">
        <v>5294</v>
      </c>
      <c r="M365" t="s">
        <v>6453</v>
      </c>
      <c r="N365" s="4">
        <v>798319.33</v>
      </c>
      <c r="O365" s="4">
        <v>739495.8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950000</v>
      </c>
      <c r="AA365" s="4">
        <v>880000</v>
      </c>
    </row>
    <row r="366" spans="1:27" x14ac:dyDescent="0.25">
      <c r="A366" s="2" t="s">
        <v>3853</v>
      </c>
      <c r="B366" t="s">
        <v>6454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5384</v>
      </c>
      <c r="M366" t="s">
        <v>5689</v>
      </c>
      <c r="N366" s="4">
        <v>1117647.06</v>
      </c>
      <c r="O366" s="4">
        <v>1033613.45</v>
      </c>
      <c r="P366">
        <v>0</v>
      </c>
      <c r="Q366">
        <v>0</v>
      </c>
      <c r="R366">
        <v>0</v>
      </c>
      <c r="S366">
        <v>0</v>
      </c>
      <c r="T366">
        <v>8</v>
      </c>
      <c r="U366">
        <v>0</v>
      </c>
      <c r="V366">
        <v>8</v>
      </c>
      <c r="W366">
        <v>0</v>
      </c>
      <c r="X366">
        <v>0</v>
      </c>
      <c r="Y366">
        <v>0</v>
      </c>
      <c r="Z366" s="4">
        <v>1330000</v>
      </c>
      <c r="AA366" s="4">
        <v>1230000</v>
      </c>
    </row>
    <row r="367" spans="1:27" x14ac:dyDescent="0.25">
      <c r="A367" s="2" t="s">
        <v>3855</v>
      </c>
      <c r="B367" t="s">
        <v>6455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35</v>
      </c>
      <c r="L367" t="s">
        <v>5294</v>
      </c>
      <c r="M367" t="s">
        <v>6456</v>
      </c>
      <c r="N367" s="4">
        <v>941176.47</v>
      </c>
      <c r="O367" s="4">
        <v>847058.82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 s="4">
        <v>1120000</v>
      </c>
      <c r="AA367" s="4">
        <v>1008000</v>
      </c>
    </row>
    <row r="368" spans="1:27" x14ac:dyDescent="0.25">
      <c r="A368" s="2" t="s">
        <v>3857</v>
      </c>
      <c r="B368" t="s">
        <v>6457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33</v>
      </c>
      <c r="L368" t="s">
        <v>5297</v>
      </c>
      <c r="M368" t="s">
        <v>6458</v>
      </c>
      <c r="N368" s="4">
        <v>386554.62</v>
      </c>
      <c r="O368" s="4">
        <v>361344.54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s="4">
        <v>460000</v>
      </c>
      <c r="AA368" s="4">
        <v>430000</v>
      </c>
    </row>
    <row r="369" spans="1:27" x14ac:dyDescent="0.25">
      <c r="A369" s="2" t="s">
        <v>3859</v>
      </c>
      <c r="B369" t="s">
        <v>5690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29</v>
      </c>
      <c r="L369" t="s">
        <v>5291</v>
      </c>
      <c r="M369" t="s">
        <v>5691</v>
      </c>
      <c r="N369" s="4">
        <v>282352.94</v>
      </c>
      <c r="O369" s="4">
        <v>282352.94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336000</v>
      </c>
      <c r="AA369" s="4">
        <v>336000</v>
      </c>
    </row>
    <row r="370" spans="1:27" x14ac:dyDescent="0.25">
      <c r="A370" s="2" t="s">
        <v>3861</v>
      </c>
      <c r="B370" t="s">
        <v>6459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33</v>
      </c>
      <c r="L370" t="s">
        <v>5297</v>
      </c>
      <c r="M370" t="s">
        <v>5692</v>
      </c>
      <c r="N370" s="4">
        <v>529411.76</v>
      </c>
      <c r="O370" s="4">
        <v>470588.24</v>
      </c>
      <c r="P370">
        <v>0</v>
      </c>
      <c r="Q370">
        <v>0</v>
      </c>
      <c r="R370">
        <v>0</v>
      </c>
      <c r="S370">
        <v>0</v>
      </c>
      <c r="T370">
        <v>2</v>
      </c>
      <c r="U370">
        <v>0</v>
      </c>
      <c r="V370">
        <v>2</v>
      </c>
      <c r="W370">
        <v>0</v>
      </c>
      <c r="X370">
        <v>0</v>
      </c>
      <c r="Y370">
        <v>0</v>
      </c>
      <c r="Z370" s="4">
        <v>630000</v>
      </c>
      <c r="AA370" s="4">
        <v>560000</v>
      </c>
    </row>
    <row r="371" spans="1:27" x14ac:dyDescent="0.25">
      <c r="A371" s="2" t="s">
        <v>3863</v>
      </c>
      <c r="B371" t="s">
        <v>6460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8</v>
      </c>
      <c r="L371" t="s">
        <v>5317</v>
      </c>
      <c r="M371" t="s">
        <v>5693</v>
      </c>
      <c r="N371" s="4">
        <v>529411.76</v>
      </c>
      <c r="O371" s="4">
        <v>470588.24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630000</v>
      </c>
      <c r="AA371" s="4">
        <v>560000</v>
      </c>
    </row>
    <row r="372" spans="1:27" x14ac:dyDescent="0.25">
      <c r="A372" s="2" t="s">
        <v>3865</v>
      </c>
      <c r="B372" t="s">
        <v>6461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33</v>
      </c>
      <c r="L372" t="s">
        <v>5297</v>
      </c>
      <c r="M372" t="s">
        <v>5694</v>
      </c>
      <c r="N372" s="4">
        <v>546218.49</v>
      </c>
      <c r="O372" s="4">
        <v>512605.04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0</v>
      </c>
      <c r="X372">
        <v>0</v>
      </c>
      <c r="Y372">
        <v>0</v>
      </c>
      <c r="Z372" s="4">
        <v>650000</v>
      </c>
      <c r="AA372" s="4">
        <v>610000</v>
      </c>
    </row>
    <row r="373" spans="1:27" x14ac:dyDescent="0.25">
      <c r="A373" s="2" t="s">
        <v>6462</v>
      </c>
      <c r="B373" t="s">
        <v>6463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33</v>
      </c>
      <c r="L373" t="s">
        <v>5297</v>
      </c>
      <c r="M373" t="s">
        <v>6464</v>
      </c>
      <c r="N373" s="4">
        <v>376470.59</v>
      </c>
      <c r="O373" s="4">
        <v>338823.53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448000</v>
      </c>
      <c r="AA373" s="4">
        <v>403200</v>
      </c>
    </row>
    <row r="374" spans="1:27" x14ac:dyDescent="0.25">
      <c r="A374" s="2" t="s">
        <v>3867</v>
      </c>
      <c r="B374" t="s">
        <v>5695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15</v>
      </c>
      <c r="L374" t="s">
        <v>5696</v>
      </c>
      <c r="M374" t="s">
        <v>5697</v>
      </c>
      <c r="N374" s="4">
        <v>521008.4</v>
      </c>
      <c r="O374" s="4">
        <v>470588.24</v>
      </c>
      <c r="P374">
        <v>0</v>
      </c>
      <c r="Q374">
        <v>0</v>
      </c>
      <c r="R374">
        <v>0</v>
      </c>
      <c r="S374">
        <v>0</v>
      </c>
      <c r="T374">
        <v>2</v>
      </c>
      <c r="U374">
        <v>0</v>
      </c>
      <c r="V374">
        <v>2</v>
      </c>
      <c r="W374">
        <v>0</v>
      </c>
      <c r="X374">
        <v>0</v>
      </c>
      <c r="Y374">
        <v>0</v>
      </c>
      <c r="Z374" s="4">
        <v>620000</v>
      </c>
      <c r="AA374" s="4">
        <v>560000</v>
      </c>
    </row>
    <row r="375" spans="1:27" x14ac:dyDescent="0.25">
      <c r="A375" s="2" t="s">
        <v>6465</v>
      </c>
      <c r="B375" t="s">
        <v>6466</v>
      </c>
      <c r="C375">
        <v>1</v>
      </c>
      <c r="D375">
        <v>1</v>
      </c>
      <c r="E375">
        <v>1</v>
      </c>
      <c r="G375">
        <v>1</v>
      </c>
      <c r="I375">
        <v>103</v>
      </c>
      <c r="K375">
        <v>33</v>
      </c>
      <c r="L375" t="s">
        <v>5297</v>
      </c>
      <c r="M375" t="s">
        <v>6467</v>
      </c>
      <c r="N375" s="4">
        <v>197647.06</v>
      </c>
      <c r="O375" s="4">
        <v>178823.53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 s="4">
        <v>235200</v>
      </c>
      <c r="AA375" s="4">
        <v>212800</v>
      </c>
    </row>
    <row r="376" spans="1:27" x14ac:dyDescent="0.25">
      <c r="A376" s="2" t="s">
        <v>6468</v>
      </c>
      <c r="B376" t="s">
        <v>6469</v>
      </c>
      <c r="D376">
        <v>1</v>
      </c>
      <c r="E376">
        <v>1</v>
      </c>
      <c r="G376">
        <v>1</v>
      </c>
      <c r="I376">
        <v>103</v>
      </c>
      <c r="K376">
        <v>0</v>
      </c>
      <c r="L376" t="s">
        <v>5574</v>
      </c>
      <c r="M376" t="s">
        <v>6470</v>
      </c>
      <c r="N376">
        <v>1.1200000000000001</v>
      </c>
      <c r="O376">
        <v>1.1200000000000001</v>
      </c>
      <c r="P376">
        <v>1</v>
      </c>
      <c r="Q376">
        <v>0</v>
      </c>
      <c r="R376">
        <v>0</v>
      </c>
      <c r="S376">
        <v>0</v>
      </c>
      <c r="V376">
        <v>0</v>
      </c>
      <c r="Y376">
        <v>0</v>
      </c>
      <c r="Z376">
        <v>1.33</v>
      </c>
      <c r="AA376">
        <v>1.33</v>
      </c>
    </row>
    <row r="377" spans="1:27" x14ac:dyDescent="0.25">
      <c r="A377" s="2" t="s">
        <v>3869</v>
      </c>
      <c r="B377" t="s">
        <v>5698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12</v>
      </c>
      <c r="L377" t="s">
        <v>5279</v>
      </c>
      <c r="M377" t="s">
        <v>5699</v>
      </c>
      <c r="N377" s="4">
        <v>244705.88</v>
      </c>
      <c r="O377" s="4">
        <v>216470.59</v>
      </c>
      <c r="P377">
        <v>1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0</v>
      </c>
      <c r="X377">
        <v>0</v>
      </c>
      <c r="Y377">
        <v>0</v>
      </c>
      <c r="Z377" s="4">
        <v>291200</v>
      </c>
      <c r="AA377" s="4">
        <v>257600</v>
      </c>
    </row>
    <row r="378" spans="1:27" x14ac:dyDescent="0.25">
      <c r="A378" s="2" t="s">
        <v>3871</v>
      </c>
      <c r="B378" t="s">
        <v>6471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5317</v>
      </c>
      <c r="M378" t="s">
        <v>6472</v>
      </c>
      <c r="N378" s="4">
        <v>882352.94</v>
      </c>
      <c r="O378" s="4">
        <v>798319.33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 s="4">
        <v>1050000</v>
      </c>
      <c r="AA378" s="4">
        <v>950000</v>
      </c>
    </row>
    <row r="379" spans="1:27" x14ac:dyDescent="0.25">
      <c r="A379" s="2" t="s">
        <v>6473</v>
      </c>
      <c r="B379" t="s">
        <v>6474</v>
      </c>
      <c r="D379">
        <v>1</v>
      </c>
      <c r="E379">
        <v>1</v>
      </c>
      <c r="G379">
        <v>1</v>
      </c>
      <c r="I379">
        <v>103</v>
      </c>
      <c r="K379">
        <v>0</v>
      </c>
      <c r="L379" t="s">
        <v>5574</v>
      </c>
      <c r="M379" t="s">
        <v>6475</v>
      </c>
      <c r="N379">
        <v>1.1200000000000001</v>
      </c>
      <c r="O379">
        <v>1.1200000000000001</v>
      </c>
      <c r="P379">
        <v>1</v>
      </c>
      <c r="Q379">
        <v>0</v>
      </c>
      <c r="R379">
        <v>0</v>
      </c>
      <c r="S379">
        <v>0</v>
      </c>
      <c r="V379">
        <v>0</v>
      </c>
      <c r="Y379">
        <v>0</v>
      </c>
      <c r="Z379">
        <v>1.33</v>
      </c>
      <c r="AA379">
        <v>1.33</v>
      </c>
    </row>
    <row r="380" spans="1:27" x14ac:dyDescent="0.25">
      <c r="A380" s="2" t="s">
        <v>3873</v>
      </c>
      <c r="B380" t="s">
        <v>6476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33</v>
      </c>
      <c r="L380" t="s">
        <v>5297</v>
      </c>
      <c r="M380" t="s">
        <v>6477</v>
      </c>
      <c r="N380" s="4">
        <v>378151.26</v>
      </c>
      <c r="O380" s="4">
        <v>344537.82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s="4">
        <v>450000</v>
      </c>
      <c r="AA380" s="4">
        <v>410000</v>
      </c>
    </row>
    <row r="381" spans="1:27" x14ac:dyDescent="0.25">
      <c r="A381" s="2" t="s">
        <v>3875</v>
      </c>
      <c r="B381" t="s">
        <v>6478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33</v>
      </c>
      <c r="L381" t="s">
        <v>5297</v>
      </c>
      <c r="M381" t="s">
        <v>6479</v>
      </c>
      <c r="N381" s="4">
        <v>357647.06</v>
      </c>
      <c r="O381" s="4">
        <v>329411.76</v>
      </c>
      <c r="P381">
        <v>1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s="4">
        <v>425600</v>
      </c>
      <c r="AA381" s="4">
        <v>392000</v>
      </c>
    </row>
    <row r="382" spans="1:27" x14ac:dyDescent="0.25">
      <c r="A382" s="2" t="s">
        <v>3877</v>
      </c>
      <c r="B382" t="s">
        <v>6480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4</v>
      </c>
      <c r="L382" t="s">
        <v>5334</v>
      </c>
      <c r="M382" t="s">
        <v>5700</v>
      </c>
      <c r="N382" s="4">
        <v>226890.76</v>
      </c>
      <c r="O382" s="4">
        <v>205882.35</v>
      </c>
      <c r="P382">
        <v>0</v>
      </c>
      <c r="Q382">
        <v>0</v>
      </c>
      <c r="R382">
        <v>0</v>
      </c>
      <c r="S382">
        <v>0</v>
      </c>
      <c r="T382">
        <v>2</v>
      </c>
      <c r="U382">
        <v>0</v>
      </c>
      <c r="V382">
        <v>2</v>
      </c>
      <c r="W382">
        <v>0</v>
      </c>
      <c r="X382">
        <v>0</v>
      </c>
      <c r="Y382">
        <v>0</v>
      </c>
      <c r="Z382" s="4">
        <v>270000</v>
      </c>
      <c r="AA382" s="4">
        <v>245000</v>
      </c>
    </row>
    <row r="383" spans="1:27" x14ac:dyDescent="0.25">
      <c r="A383" s="2" t="s">
        <v>3879</v>
      </c>
      <c r="B383" t="s">
        <v>5481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18</v>
      </c>
      <c r="L383" t="s">
        <v>5282</v>
      </c>
      <c r="M383" t="s">
        <v>5701</v>
      </c>
      <c r="N383" s="4">
        <v>260504.2</v>
      </c>
      <c r="O383" s="4">
        <v>235294.12</v>
      </c>
      <c r="P383">
        <v>1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310000</v>
      </c>
      <c r="AA383" s="4">
        <v>280000</v>
      </c>
    </row>
    <row r="384" spans="1:27" x14ac:dyDescent="0.25">
      <c r="A384" s="2" t="s">
        <v>6481</v>
      </c>
      <c r="B384" t="s">
        <v>6482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35</v>
      </c>
      <c r="L384" t="s">
        <v>5294</v>
      </c>
      <c r="M384" t="s">
        <v>6483</v>
      </c>
      <c r="N384" s="4">
        <v>687058.82</v>
      </c>
      <c r="O384" s="4">
        <v>640000</v>
      </c>
      <c r="P384">
        <v>1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s="4">
        <v>817600</v>
      </c>
      <c r="AA384" s="4">
        <v>761600</v>
      </c>
    </row>
    <row r="385" spans="1:27" x14ac:dyDescent="0.25">
      <c r="A385" s="2" t="s">
        <v>3881</v>
      </c>
      <c r="B385" t="s">
        <v>6484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18</v>
      </c>
      <c r="L385" t="s">
        <v>5282</v>
      </c>
      <c r="M385" t="s">
        <v>5702</v>
      </c>
      <c r="N385" s="4">
        <v>1092436.97</v>
      </c>
      <c r="O385" s="4">
        <v>966386.55</v>
      </c>
      <c r="P385">
        <v>0</v>
      </c>
      <c r="Q385">
        <v>0</v>
      </c>
      <c r="R385">
        <v>0</v>
      </c>
      <c r="S385">
        <v>0</v>
      </c>
      <c r="T385">
        <v>3</v>
      </c>
      <c r="U385">
        <v>0</v>
      </c>
      <c r="V385">
        <v>3</v>
      </c>
      <c r="W385">
        <v>0</v>
      </c>
      <c r="X385">
        <v>0</v>
      </c>
      <c r="Y385">
        <v>0</v>
      </c>
      <c r="Z385" s="4">
        <v>1300000</v>
      </c>
      <c r="AA385" s="4">
        <v>1150000</v>
      </c>
    </row>
    <row r="386" spans="1:27" x14ac:dyDescent="0.25">
      <c r="A386" s="2" t="s">
        <v>3883</v>
      </c>
      <c r="B386" t="s">
        <v>6485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4</v>
      </c>
      <c r="L386" t="s">
        <v>5334</v>
      </c>
      <c r="M386" t="s">
        <v>5703</v>
      </c>
      <c r="N386" s="4">
        <v>924369.75</v>
      </c>
      <c r="O386" s="4">
        <v>840336.13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1</v>
      </c>
      <c r="W386">
        <v>0</v>
      </c>
      <c r="X386">
        <v>0</v>
      </c>
      <c r="Y386">
        <v>0</v>
      </c>
      <c r="Z386" s="4">
        <v>1100000</v>
      </c>
      <c r="AA386" s="4">
        <v>1000000</v>
      </c>
    </row>
    <row r="387" spans="1:27" x14ac:dyDescent="0.25">
      <c r="A387" s="2" t="s">
        <v>3885</v>
      </c>
      <c r="B387" t="s">
        <v>6486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5294</v>
      </c>
      <c r="M387" t="s">
        <v>5704</v>
      </c>
      <c r="N387" s="4">
        <v>689075.63</v>
      </c>
      <c r="O387" s="4">
        <v>630252.1</v>
      </c>
      <c r="P387">
        <v>0</v>
      </c>
      <c r="Q387">
        <v>0</v>
      </c>
      <c r="R387">
        <v>0</v>
      </c>
      <c r="S387">
        <v>0</v>
      </c>
      <c r="T387">
        <v>2</v>
      </c>
      <c r="U387">
        <v>0</v>
      </c>
      <c r="V387">
        <v>2</v>
      </c>
      <c r="W387">
        <v>0</v>
      </c>
      <c r="X387">
        <v>0</v>
      </c>
      <c r="Y387">
        <v>0</v>
      </c>
      <c r="Z387" s="4">
        <v>820000</v>
      </c>
      <c r="AA387" s="4">
        <v>750000</v>
      </c>
    </row>
    <row r="388" spans="1:27" x14ac:dyDescent="0.25">
      <c r="A388" s="2" t="s">
        <v>3887</v>
      </c>
      <c r="B388" t="s">
        <v>6487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5282</v>
      </c>
      <c r="M388" t="s">
        <v>6488</v>
      </c>
      <c r="N388" s="4">
        <v>1302521.01</v>
      </c>
      <c r="O388" s="4">
        <v>1176470.5900000001</v>
      </c>
      <c r="P388">
        <v>0</v>
      </c>
      <c r="Q388">
        <v>0</v>
      </c>
      <c r="R388">
        <v>0</v>
      </c>
      <c r="S388">
        <v>0</v>
      </c>
      <c r="T388">
        <v>3</v>
      </c>
      <c r="U388">
        <v>0</v>
      </c>
      <c r="V388">
        <v>3</v>
      </c>
      <c r="W388">
        <v>0</v>
      </c>
      <c r="X388">
        <v>0</v>
      </c>
      <c r="Y388">
        <v>0</v>
      </c>
      <c r="Z388" s="4">
        <v>1550000</v>
      </c>
      <c r="AA388" s="4">
        <v>1400000</v>
      </c>
    </row>
    <row r="389" spans="1:27" x14ac:dyDescent="0.25">
      <c r="A389" s="2" t="s">
        <v>3889</v>
      </c>
      <c r="B389" t="s">
        <v>6489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33</v>
      </c>
      <c r="L389" t="s">
        <v>5297</v>
      </c>
      <c r="M389" t="s">
        <v>6490</v>
      </c>
      <c r="N389" s="4">
        <v>588235.29</v>
      </c>
      <c r="O389" s="4">
        <v>521008.4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s="4">
        <v>700000</v>
      </c>
      <c r="AA389" s="4">
        <v>620000</v>
      </c>
    </row>
    <row r="390" spans="1:27" x14ac:dyDescent="0.25">
      <c r="A390" s="2" t="s">
        <v>3891</v>
      </c>
      <c r="B390" t="s">
        <v>6491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4</v>
      </c>
      <c r="L390" t="s">
        <v>5334</v>
      </c>
      <c r="M390" t="s">
        <v>6492</v>
      </c>
      <c r="N390" s="4">
        <v>924369.75</v>
      </c>
      <c r="O390" s="4">
        <v>858823.53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1100000</v>
      </c>
      <c r="AA390" s="4">
        <v>1022000</v>
      </c>
    </row>
    <row r="391" spans="1:27" x14ac:dyDescent="0.25">
      <c r="A391" s="2" t="s">
        <v>3893</v>
      </c>
      <c r="B391" t="s">
        <v>6493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35</v>
      </c>
      <c r="L391" t="s">
        <v>5294</v>
      </c>
      <c r="M391" t="s">
        <v>5705</v>
      </c>
      <c r="N391" s="4">
        <v>1176470.5900000001</v>
      </c>
      <c r="O391" s="4">
        <v>1092436.97</v>
      </c>
      <c r="P391">
        <v>0</v>
      </c>
      <c r="Q391">
        <v>0</v>
      </c>
      <c r="R391">
        <v>0</v>
      </c>
      <c r="S391">
        <v>0</v>
      </c>
      <c r="T391">
        <v>2</v>
      </c>
      <c r="U391">
        <v>0</v>
      </c>
      <c r="V391">
        <v>2</v>
      </c>
      <c r="W391">
        <v>0</v>
      </c>
      <c r="X391">
        <v>0</v>
      </c>
      <c r="Y391">
        <v>0</v>
      </c>
      <c r="Z391" s="4">
        <v>1400000</v>
      </c>
      <c r="AA391" s="4">
        <v>1300000</v>
      </c>
    </row>
    <row r="392" spans="1:27" x14ac:dyDescent="0.25">
      <c r="A392" s="2" t="s">
        <v>3895</v>
      </c>
      <c r="B392" t="s">
        <v>5706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37</v>
      </c>
      <c r="L392" t="s">
        <v>5288</v>
      </c>
      <c r="M392" t="s">
        <v>5707</v>
      </c>
      <c r="N392" s="4">
        <v>210084.03</v>
      </c>
      <c r="O392" s="4">
        <v>189075.63</v>
      </c>
      <c r="P392">
        <v>0</v>
      </c>
      <c r="Q392">
        <v>0</v>
      </c>
      <c r="R392">
        <v>0</v>
      </c>
      <c r="S392">
        <v>0</v>
      </c>
      <c r="T392">
        <v>2</v>
      </c>
      <c r="U392">
        <v>0</v>
      </c>
      <c r="V392">
        <v>2</v>
      </c>
      <c r="W392">
        <v>0</v>
      </c>
      <c r="X392">
        <v>0</v>
      </c>
      <c r="Y392">
        <v>0</v>
      </c>
      <c r="Z392" s="4">
        <v>250000</v>
      </c>
      <c r="AA392" s="4">
        <v>225000</v>
      </c>
    </row>
    <row r="393" spans="1:27" x14ac:dyDescent="0.25">
      <c r="A393" s="2" t="s">
        <v>3897</v>
      </c>
      <c r="B393" t="s">
        <v>6494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35</v>
      </c>
      <c r="L393" t="s">
        <v>5294</v>
      </c>
      <c r="M393" t="s">
        <v>5708</v>
      </c>
      <c r="N393" s="4">
        <v>588235.29</v>
      </c>
      <c r="O393" s="4">
        <v>521008.4</v>
      </c>
      <c r="P393">
        <v>0</v>
      </c>
      <c r="Q393">
        <v>0</v>
      </c>
      <c r="R393">
        <v>0</v>
      </c>
      <c r="S393">
        <v>0</v>
      </c>
      <c r="T393">
        <v>4</v>
      </c>
      <c r="U393">
        <v>0</v>
      </c>
      <c r="V393">
        <v>4</v>
      </c>
      <c r="W393">
        <v>0</v>
      </c>
      <c r="X393">
        <v>0</v>
      </c>
      <c r="Y393">
        <v>0</v>
      </c>
      <c r="Z393" s="4">
        <v>700000</v>
      </c>
      <c r="AA393" s="4">
        <v>620000</v>
      </c>
    </row>
    <row r="394" spans="1:27" x14ac:dyDescent="0.25">
      <c r="A394" s="2" t="s">
        <v>6495</v>
      </c>
      <c r="B394" t="s">
        <v>6496</v>
      </c>
      <c r="D394">
        <v>1</v>
      </c>
      <c r="E394">
        <v>1</v>
      </c>
      <c r="G394">
        <v>1</v>
      </c>
      <c r="I394">
        <v>103</v>
      </c>
      <c r="K394">
        <v>5</v>
      </c>
      <c r="L394" t="s">
        <v>5275</v>
      </c>
      <c r="M394" t="s">
        <v>6497</v>
      </c>
      <c r="N394" s="4">
        <v>508235.29</v>
      </c>
      <c r="O394" s="4">
        <v>451764.71</v>
      </c>
      <c r="P394">
        <v>1</v>
      </c>
      <c r="Q394">
        <v>0</v>
      </c>
      <c r="R394">
        <v>0</v>
      </c>
      <c r="S394">
        <v>0</v>
      </c>
      <c r="V394">
        <v>0</v>
      </c>
      <c r="Y394">
        <v>0</v>
      </c>
      <c r="Z394" s="4">
        <v>604800</v>
      </c>
      <c r="AA394" s="4">
        <v>537600</v>
      </c>
    </row>
    <row r="395" spans="1:27" x14ac:dyDescent="0.25">
      <c r="A395" s="2" t="s">
        <v>3899</v>
      </c>
      <c r="B395" t="s">
        <v>6498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14</v>
      </c>
      <c r="L395" t="s">
        <v>5799</v>
      </c>
      <c r="M395" t="s">
        <v>6499</v>
      </c>
      <c r="N395" s="4">
        <v>470588.24</v>
      </c>
      <c r="O395" s="4">
        <v>423529.41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 s="4">
        <v>560000</v>
      </c>
      <c r="AA395" s="4">
        <v>504000</v>
      </c>
    </row>
    <row r="396" spans="1:27" x14ac:dyDescent="0.25">
      <c r="A396" s="2" t="s">
        <v>3901</v>
      </c>
      <c r="B396" t="s">
        <v>5709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5291</v>
      </c>
      <c r="M396" t="s">
        <v>5710</v>
      </c>
      <c r="N396" s="4">
        <v>621848.74</v>
      </c>
      <c r="O396" s="4">
        <v>563025.21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740000</v>
      </c>
      <c r="AA396" s="4">
        <v>670000</v>
      </c>
    </row>
    <row r="397" spans="1:27" x14ac:dyDescent="0.25">
      <c r="A397" s="2" t="s">
        <v>3903</v>
      </c>
      <c r="B397" t="s">
        <v>6500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29</v>
      </c>
      <c r="L397" t="s">
        <v>5291</v>
      </c>
      <c r="M397" t="s">
        <v>5711</v>
      </c>
      <c r="N397" s="4">
        <v>504201.68</v>
      </c>
      <c r="O397" s="4">
        <v>462184.87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600000</v>
      </c>
      <c r="AA397" s="4">
        <v>550000</v>
      </c>
    </row>
    <row r="398" spans="1:27" x14ac:dyDescent="0.25">
      <c r="A398" s="2" t="s">
        <v>3905</v>
      </c>
      <c r="B398" t="s">
        <v>5712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35</v>
      </c>
      <c r="L398" t="s">
        <v>5294</v>
      </c>
      <c r="M398" t="s">
        <v>5713</v>
      </c>
      <c r="N398" s="4">
        <v>647058.81999999995</v>
      </c>
      <c r="O398" s="4">
        <v>588235.29</v>
      </c>
      <c r="P398">
        <v>0</v>
      </c>
      <c r="Q398">
        <v>0</v>
      </c>
      <c r="R398">
        <v>0</v>
      </c>
      <c r="S398">
        <v>0</v>
      </c>
      <c r="T398">
        <v>2</v>
      </c>
      <c r="U398">
        <v>0</v>
      </c>
      <c r="V398">
        <v>2</v>
      </c>
      <c r="W398">
        <v>0</v>
      </c>
      <c r="X398">
        <v>0</v>
      </c>
      <c r="Y398">
        <v>0</v>
      </c>
      <c r="Z398" s="4">
        <v>770000</v>
      </c>
      <c r="AA398" s="4">
        <v>700000</v>
      </c>
    </row>
    <row r="399" spans="1:27" x14ac:dyDescent="0.25">
      <c r="A399" s="2" t="s">
        <v>6501</v>
      </c>
      <c r="B399" t="s">
        <v>6502</v>
      </c>
      <c r="D399">
        <v>1</v>
      </c>
      <c r="E399">
        <v>1</v>
      </c>
      <c r="G399">
        <v>1</v>
      </c>
      <c r="I399">
        <v>103</v>
      </c>
      <c r="K399">
        <v>10</v>
      </c>
      <c r="L399" t="s">
        <v>5468</v>
      </c>
      <c r="M399" t="s">
        <v>6503</v>
      </c>
      <c r="N399" s="4">
        <v>1411764.71</v>
      </c>
      <c r="O399" s="4">
        <v>1406117.65</v>
      </c>
      <c r="P399">
        <v>1</v>
      </c>
      <c r="Q399">
        <v>0</v>
      </c>
      <c r="R399">
        <v>0</v>
      </c>
      <c r="S399">
        <v>0</v>
      </c>
      <c r="V399">
        <v>0</v>
      </c>
      <c r="Y399">
        <v>0</v>
      </c>
      <c r="Z399" s="4">
        <v>1680000</v>
      </c>
      <c r="AA399" s="4">
        <v>1673280</v>
      </c>
    </row>
    <row r="400" spans="1:27" x14ac:dyDescent="0.25">
      <c r="A400" s="2" t="s">
        <v>3907</v>
      </c>
      <c r="B400" t="s">
        <v>5714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10</v>
      </c>
      <c r="L400" t="s">
        <v>5468</v>
      </c>
      <c r="M400">
        <v>8200308</v>
      </c>
      <c r="N400" s="4">
        <v>2100840.34</v>
      </c>
      <c r="O400" s="4">
        <v>1966386.55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1</v>
      </c>
      <c r="W400">
        <v>0</v>
      </c>
      <c r="X400">
        <v>0</v>
      </c>
      <c r="Y400">
        <v>0</v>
      </c>
      <c r="Z400" s="4">
        <v>2500000</v>
      </c>
      <c r="AA400" s="4">
        <v>2340000</v>
      </c>
    </row>
    <row r="401" spans="1:27" x14ac:dyDescent="0.25">
      <c r="A401" s="2" t="s">
        <v>6504</v>
      </c>
      <c r="B401" t="s">
        <v>6505</v>
      </c>
      <c r="D401">
        <v>1</v>
      </c>
      <c r="E401">
        <v>1</v>
      </c>
      <c r="G401">
        <v>1</v>
      </c>
      <c r="I401">
        <v>103</v>
      </c>
      <c r="K401">
        <v>0</v>
      </c>
      <c r="L401" t="s">
        <v>5574</v>
      </c>
      <c r="M401" t="s">
        <v>6506</v>
      </c>
      <c r="N401">
        <v>1.1200000000000001</v>
      </c>
      <c r="O401">
        <v>1.1200000000000001</v>
      </c>
      <c r="P401">
        <v>1</v>
      </c>
      <c r="Q401">
        <v>0</v>
      </c>
      <c r="R401">
        <v>0</v>
      </c>
      <c r="S401">
        <v>0</v>
      </c>
      <c r="V401">
        <v>0</v>
      </c>
      <c r="Y401">
        <v>0</v>
      </c>
      <c r="Z401">
        <v>1.33</v>
      </c>
      <c r="AA401">
        <v>1.33</v>
      </c>
    </row>
    <row r="402" spans="1:27" x14ac:dyDescent="0.25">
      <c r="A402" s="2" t="s">
        <v>3909</v>
      </c>
      <c r="B402" t="s">
        <v>5715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12</v>
      </c>
      <c r="L402" t="s">
        <v>5279</v>
      </c>
      <c r="M402" t="s">
        <v>5716</v>
      </c>
      <c r="N402" s="4">
        <v>256302.52</v>
      </c>
      <c r="O402" s="4">
        <v>236974.79</v>
      </c>
      <c r="P402">
        <v>0</v>
      </c>
      <c r="Q402">
        <v>0</v>
      </c>
      <c r="R402">
        <v>0</v>
      </c>
      <c r="S402">
        <v>0</v>
      </c>
      <c r="T402">
        <v>2</v>
      </c>
      <c r="U402">
        <v>0</v>
      </c>
      <c r="V402">
        <v>2</v>
      </c>
      <c r="W402">
        <v>0</v>
      </c>
      <c r="X402">
        <v>0</v>
      </c>
      <c r="Y402">
        <v>0</v>
      </c>
      <c r="Z402" s="4">
        <v>305000</v>
      </c>
      <c r="AA402" s="4">
        <v>282000</v>
      </c>
    </row>
    <row r="403" spans="1:27" x14ac:dyDescent="0.25">
      <c r="A403" s="2" t="s">
        <v>6507</v>
      </c>
      <c r="B403" t="s">
        <v>6508</v>
      </c>
      <c r="D403">
        <v>1</v>
      </c>
      <c r="E403">
        <v>1</v>
      </c>
      <c r="G403">
        <v>1</v>
      </c>
      <c r="I403">
        <v>103</v>
      </c>
      <c r="K403">
        <v>31</v>
      </c>
      <c r="L403" t="s">
        <v>5407</v>
      </c>
      <c r="M403" t="s">
        <v>6509</v>
      </c>
      <c r="N403" s="4">
        <v>178823.53</v>
      </c>
      <c r="O403" s="4">
        <v>160000</v>
      </c>
      <c r="P403">
        <v>1</v>
      </c>
      <c r="Q403">
        <v>0</v>
      </c>
      <c r="R403">
        <v>0</v>
      </c>
      <c r="S403">
        <v>0</v>
      </c>
      <c r="V403">
        <v>0</v>
      </c>
      <c r="Y403">
        <v>0</v>
      </c>
      <c r="Z403" s="4">
        <v>212800</v>
      </c>
      <c r="AA403" s="4">
        <v>190400</v>
      </c>
    </row>
    <row r="404" spans="1:27" x14ac:dyDescent="0.25">
      <c r="A404" s="2" t="s">
        <v>3911</v>
      </c>
      <c r="B404" t="s">
        <v>5717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5718</v>
      </c>
      <c r="M404" t="s">
        <v>5719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5</v>
      </c>
      <c r="U404">
        <v>0</v>
      </c>
      <c r="V404">
        <v>5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3913</v>
      </c>
      <c r="B405" t="s">
        <v>5720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12</v>
      </c>
      <c r="L405" t="s">
        <v>5279</v>
      </c>
      <c r="M405" t="s">
        <v>5721</v>
      </c>
      <c r="N405" s="4">
        <v>252100.84</v>
      </c>
      <c r="O405" s="4">
        <v>231092.44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300000</v>
      </c>
      <c r="AA405" s="4">
        <v>275000</v>
      </c>
    </row>
    <row r="406" spans="1:27" x14ac:dyDescent="0.25">
      <c r="A406" s="2" t="s">
        <v>3915</v>
      </c>
      <c r="B406" t="s">
        <v>6510</v>
      </c>
      <c r="C406">
        <v>1</v>
      </c>
      <c r="D406">
        <v>1</v>
      </c>
      <c r="E406">
        <v>1</v>
      </c>
      <c r="G406">
        <v>1</v>
      </c>
      <c r="I406">
        <v>103</v>
      </c>
      <c r="K406">
        <v>38</v>
      </c>
      <c r="L406" t="s">
        <v>5723</v>
      </c>
      <c r="M406" t="s">
        <v>6511</v>
      </c>
      <c r="N406" s="4">
        <v>1092436.97</v>
      </c>
      <c r="O406" s="4">
        <v>966386.55</v>
      </c>
      <c r="P406">
        <v>0</v>
      </c>
      <c r="Q406">
        <v>0</v>
      </c>
      <c r="R406">
        <v>0</v>
      </c>
      <c r="S406">
        <v>0</v>
      </c>
      <c r="T406">
        <v>3</v>
      </c>
      <c r="U406">
        <v>0</v>
      </c>
      <c r="V406">
        <v>3</v>
      </c>
      <c r="W406">
        <v>0</v>
      </c>
      <c r="X406">
        <v>0</v>
      </c>
      <c r="Y406">
        <v>0</v>
      </c>
      <c r="Z406" s="4">
        <v>1300000</v>
      </c>
      <c r="AA406" s="4">
        <v>1150000</v>
      </c>
    </row>
    <row r="407" spans="1:27" x14ac:dyDescent="0.25">
      <c r="A407" s="2" t="s">
        <v>3917</v>
      </c>
      <c r="B407" t="s">
        <v>5722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38</v>
      </c>
      <c r="L407" t="s">
        <v>5723</v>
      </c>
      <c r="M407" t="s">
        <v>5724</v>
      </c>
      <c r="N407" s="4">
        <v>882352.94</v>
      </c>
      <c r="O407" s="4">
        <v>806722.69</v>
      </c>
      <c r="P407">
        <v>0</v>
      </c>
      <c r="Q407">
        <v>0</v>
      </c>
      <c r="R407">
        <v>0</v>
      </c>
      <c r="S407">
        <v>0</v>
      </c>
      <c r="T407">
        <v>2</v>
      </c>
      <c r="U407">
        <v>0</v>
      </c>
      <c r="V407">
        <v>2</v>
      </c>
      <c r="W407">
        <v>0</v>
      </c>
      <c r="X407">
        <v>0</v>
      </c>
      <c r="Y407">
        <v>0</v>
      </c>
      <c r="Z407" s="4">
        <v>1050000</v>
      </c>
      <c r="AA407" s="4">
        <v>960000</v>
      </c>
    </row>
    <row r="408" spans="1:27" x14ac:dyDescent="0.25">
      <c r="A408" s="2" t="s">
        <v>3919</v>
      </c>
      <c r="B408" t="s">
        <v>5725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38</v>
      </c>
      <c r="L408" t="s">
        <v>5723</v>
      </c>
      <c r="M408" t="s">
        <v>5726</v>
      </c>
      <c r="N408" s="4">
        <v>882352.94</v>
      </c>
      <c r="O408" s="4">
        <v>815126.05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1</v>
      </c>
      <c r="W408">
        <v>0</v>
      </c>
      <c r="X408">
        <v>0</v>
      </c>
      <c r="Y408">
        <v>0</v>
      </c>
      <c r="Z408" s="4">
        <v>1050000</v>
      </c>
      <c r="AA408" s="4">
        <v>970000</v>
      </c>
    </row>
    <row r="409" spans="1:27" x14ac:dyDescent="0.25">
      <c r="A409" s="2" t="s">
        <v>3921</v>
      </c>
      <c r="B409" t="s">
        <v>5727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8</v>
      </c>
      <c r="L409" t="s">
        <v>5317</v>
      </c>
      <c r="M409" t="s">
        <v>5728</v>
      </c>
      <c r="N409" s="4">
        <v>243697.48</v>
      </c>
      <c r="O409" s="4">
        <v>218487.39</v>
      </c>
      <c r="P409">
        <v>0</v>
      </c>
      <c r="Q409">
        <v>0</v>
      </c>
      <c r="R409">
        <v>0</v>
      </c>
      <c r="S409">
        <v>0</v>
      </c>
      <c r="T409">
        <v>2</v>
      </c>
      <c r="U409">
        <v>0</v>
      </c>
      <c r="V409">
        <v>2</v>
      </c>
      <c r="W409">
        <v>0</v>
      </c>
      <c r="X409">
        <v>0</v>
      </c>
      <c r="Y409">
        <v>0</v>
      </c>
      <c r="Z409" s="4">
        <v>290000</v>
      </c>
      <c r="AA409" s="4">
        <v>260000</v>
      </c>
    </row>
    <row r="410" spans="1:27" x14ac:dyDescent="0.25">
      <c r="A410" s="2" t="s">
        <v>6512</v>
      </c>
      <c r="B410" t="s">
        <v>6513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8</v>
      </c>
      <c r="L410" t="s">
        <v>5317</v>
      </c>
      <c r="M410" t="s">
        <v>6514</v>
      </c>
      <c r="N410" s="4">
        <v>462184.87</v>
      </c>
      <c r="O410" s="4">
        <v>403361.34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 s="4">
        <v>550000</v>
      </c>
      <c r="AA410" s="4">
        <v>480000</v>
      </c>
    </row>
    <row r="411" spans="1:27" x14ac:dyDescent="0.25">
      <c r="A411" s="2" t="s">
        <v>3923</v>
      </c>
      <c r="B411" t="s">
        <v>6515</v>
      </c>
      <c r="C411">
        <v>1</v>
      </c>
      <c r="D411">
        <v>1</v>
      </c>
      <c r="E411">
        <v>1</v>
      </c>
      <c r="G411">
        <v>1</v>
      </c>
      <c r="I411">
        <v>103</v>
      </c>
      <c r="K411">
        <v>35</v>
      </c>
      <c r="L411" t="s">
        <v>5294</v>
      </c>
      <c r="M411" t="s">
        <v>6516</v>
      </c>
      <c r="N411" s="4">
        <v>268907.56</v>
      </c>
      <c r="O411" s="4">
        <v>243697.48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s="4">
        <v>320000</v>
      </c>
      <c r="AA411" s="4">
        <v>290000</v>
      </c>
    </row>
    <row r="412" spans="1:27" x14ac:dyDescent="0.25">
      <c r="A412" s="2" t="s">
        <v>6517</v>
      </c>
      <c r="B412" t="s">
        <v>6518</v>
      </c>
      <c r="D412">
        <v>1</v>
      </c>
      <c r="E412">
        <v>1</v>
      </c>
      <c r="G412">
        <v>1</v>
      </c>
      <c r="I412">
        <v>103</v>
      </c>
      <c r="K412">
        <v>0</v>
      </c>
      <c r="L412" t="s">
        <v>5574</v>
      </c>
      <c r="M412" t="s">
        <v>6519</v>
      </c>
      <c r="N412">
        <v>1.1200000000000001</v>
      </c>
      <c r="O412">
        <v>1.1200000000000001</v>
      </c>
      <c r="P412">
        <v>1</v>
      </c>
      <c r="Q412">
        <v>0</v>
      </c>
      <c r="R412">
        <v>0</v>
      </c>
      <c r="S412">
        <v>0</v>
      </c>
      <c r="V412">
        <v>0</v>
      </c>
      <c r="Y412">
        <v>0</v>
      </c>
      <c r="Z412">
        <v>1.33</v>
      </c>
      <c r="AA412">
        <v>1.33</v>
      </c>
    </row>
    <row r="413" spans="1:27" x14ac:dyDescent="0.25">
      <c r="A413" s="2" t="s">
        <v>6520</v>
      </c>
      <c r="B413" t="s">
        <v>6521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0</v>
      </c>
      <c r="L413" t="s">
        <v>5574</v>
      </c>
      <c r="M413" t="s">
        <v>6522</v>
      </c>
      <c r="N413" s="4">
        <v>207058.82</v>
      </c>
      <c r="O413" s="4">
        <v>183529.41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 s="4">
        <v>246400</v>
      </c>
      <c r="AA413" s="4">
        <v>218400</v>
      </c>
    </row>
    <row r="414" spans="1:27" x14ac:dyDescent="0.25">
      <c r="A414" s="2" t="s">
        <v>3925</v>
      </c>
      <c r="B414" t="s">
        <v>6523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32</v>
      </c>
      <c r="L414" t="s">
        <v>5484</v>
      </c>
      <c r="M414" t="s">
        <v>6524</v>
      </c>
      <c r="N414" s="4">
        <v>225882.35</v>
      </c>
      <c r="O414" s="4">
        <v>193882.35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268800</v>
      </c>
      <c r="AA414" s="4">
        <v>230720</v>
      </c>
    </row>
    <row r="415" spans="1:27" x14ac:dyDescent="0.25">
      <c r="A415" s="2" t="s">
        <v>3927</v>
      </c>
      <c r="B415" t="s">
        <v>5729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5</v>
      </c>
      <c r="L415" t="s">
        <v>5275</v>
      </c>
      <c r="M415" t="s">
        <v>5730</v>
      </c>
      <c r="N415" s="4">
        <v>218487.39</v>
      </c>
      <c r="O415" s="4">
        <v>193277.31</v>
      </c>
      <c r="P415">
        <v>0</v>
      </c>
      <c r="Q415">
        <v>0</v>
      </c>
      <c r="R415">
        <v>0</v>
      </c>
      <c r="S415">
        <v>0</v>
      </c>
      <c r="T415">
        <v>2</v>
      </c>
      <c r="U415">
        <v>0</v>
      </c>
      <c r="V415">
        <v>2</v>
      </c>
      <c r="W415">
        <v>0</v>
      </c>
      <c r="X415">
        <v>0</v>
      </c>
      <c r="Y415">
        <v>0</v>
      </c>
      <c r="Z415" s="4">
        <v>260000</v>
      </c>
      <c r="AA415" s="4">
        <v>230000</v>
      </c>
    </row>
    <row r="416" spans="1:27" x14ac:dyDescent="0.25">
      <c r="A416" s="2" t="s">
        <v>6525</v>
      </c>
      <c r="B416" t="s">
        <v>6526</v>
      </c>
      <c r="D416">
        <v>1</v>
      </c>
      <c r="E416">
        <v>1</v>
      </c>
      <c r="G416">
        <v>1</v>
      </c>
      <c r="I416">
        <v>103</v>
      </c>
      <c r="K416">
        <v>0</v>
      </c>
      <c r="L416" t="s">
        <v>5574</v>
      </c>
      <c r="M416" t="s">
        <v>6527</v>
      </c>
      <c r="N416">
        <v>1.1200000000000001</v>
      </c>
      <c r="O416">
        <v>1.1200000000000001</v>
      </c>
      <c r="P416">
        <v>1</v>
      </c>
      <c r="Q416">
        <v>0</v>
      </c>
      <c r="R416">
        <v>0</v>
      </c>
      <c r="S416">
        <v>0</v>
      </c>
      <c r="V416">
        <v>0</v>
      </c>
      <c r="Y416">
        <v>0</v>
      </c>
      <c r="Z416">
        <v>1.33</v>
      </c>
      <c r="AA416">
        <v>1.33</v>
      </c>
    </row>
    <row r="417" spans="1:27" x14ac:dyDescent="0.25">
      <c r="A417" s="2" t="s">
        <v>3929</v>
      </c>
      <c r="B417" t="s">
        <v>6528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</v>
      </c>
      <c r="L417" t="s">
        <v>5384</v>
      </c>
      <c r="M417" t="s">
        <v>6529</v>
      </c>
      <c r="N417" s="4">
        <v>319327.73</v>
      </c>
      <c r="O417" s="4">
        <v>285714.28999999998</v>
      </c>
      <c r="P417">
        <v>0</v>
      </c>
      <c r="Q417">
        <v>0</v>
      </c>
      <c r="R417">
        <v>0</v>
      </c>
      <c r="S417">
        <v>0</v>
      </c>
      <c r="T417">
        <v>3</v>
      </c>
      <c r="U417">
        <v>0</v>
      </c>
      <c r="V417">
        <v>3</v>
      </c>
      <c r="W417">
        <v>0</v>
      </c>
      <c r="X417">
        <v>0</v>
      </c>
      <c r="Y417">
        <v>0</v>
      </c>
      <c r="Z417" s="4">
        <v>380000</v>
      </c>
      <c r="AA417" s="4">
        <v>340000</v>
      </c>
    </row>
    <row r="418" spans="1:27" x14ac:dyDescent="0.25">
      <c r="A418" s="2" t="s">
        <v>3931</v>
      </c>
      <c r="B418" t="s">
        <v>6530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5317</v>
      </c>
      <c r="M418" t="s">
        <v>6531</v>
      </c>
      <c r="N418" s="4">
        <v>184873.95</v>
      </c>
      <c r="O418" s="4">
        <v>163865.54999999999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 s="4">
        <v>220000</v>
      </c>
      <c r="AA418" s="4">
        <v>195000</v>
      </c>
    </row>
    <row r="419" spans="1:27" x14ac:dyDescent="0.25">
      <c r="A419" s="2" t="s">
        <v>3933</v>
      </c>
      <c r="B419" t="s">
        <v>5731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3</v>
      </c>
      <c r="L419" t="s">
        <v>5384</v>
      </c>
      <c r="M419" t="s">
        <v>5732</v>
      </c>
      <c r="N419" s="4">
        <v>268907.56</v>
      </c>
      <c r="O419" s="4">
        <v>236974.79</v>
      </c>
      <c r="P419">
        <v>0</v>
      </c>
      <c r="Q419">
        <v>0</v>
      </c>
      <c r="R419">
        <v>0</v>
      </c>
      <c r="S419">
        <v>0</v>
      </c>
      <c r="T419">
        <v>4</v>
      </c>
      <c r="U419">
        <v>0</v>
      </c>
      <c r="V419">
        <v>4</v>
      </c>
      <c r="W419">
        <v>0</v>
      </c>
      <c r="X419">
        <v>0</v>
      </c>
      <c r="Y419">
        <v>0</v>
      </c>
      <c r="Z419" s="4">
        <v>320000</v>
      </c>
      <c r="AA419" s="4">
        <v>282000</v>
      </c>
    </row>
    <row r="420" spans="1:27" x14ac:dyDescent="0.25">
      <c r="A420" s="2" t="s">
        <v>3935</v>
      </c>
      <c r="B420" t="s">
        <v>5733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31</v>
      </c>
      <c r="L420" t="s">
        <v>5407</v>
      </c>
      <c r="M420" t="s">
        <v>5734</v>
      </c>
      <c r="N420" s="4">
        <v>218487.39</v>
      </c>
      <c r="O420" s="4">
        <v>193277.31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s="4">
        <v>260000</v>
      </c>
      <c r="AA420" s="4">
        <v>230000</v>
      </c>
    </row>
    <row r="421" spans="1:27" x14ac:dyDescent="0.25">
      <c r="A421" s="2" t="s">
        <v>3937</v>
      </c>
      <c r="B421" t="s">
        <v>5735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5317</v>
      </c>
      <c r="M421" t="s">
        <v>5736</v>
      </c>
      <c r="N421" s="4">
        <v>169411.76</v>
      </c>
      <c r="O421" s="4">
        <v>150588.24</v>
      </c>
      <c r="P421">
        <v>1</v>
      </c>
      <c r="Q421">
        <v>0</v>
      </c>
      <c r="R421">
        <v>0</v>
      </c>
      <c r="S421">
        <v>0</v>
      </c>
      <c r="T421">
        <v>2</v>
      </c>
      <c r="U421">
        <v>0</v>
      </c>
      <c r="V421">
        <v>2</v>
      </c>
      <c r="W421">
        <v>0</v>
      </c>
      <c r="X421">
        <v>0</v>
      </c>
      <c r="Y421">
        <v>0</v>
      </c>
      <c r="Z421" s="4">
        <v>201600</v>
      </c>
      <c r="AA421" s="4">
        <v>179200</v>
      </c>
    </row>
    <row r="422" spans="1:27" x14ac:dyDescent="0.25">
      <c r="A422" s="2" t="s">
        <v>3939</v>
      </c>
      <c r="B422" t="s">
        <v>6532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35</v>
      </c>
      <c r="L422" t="s">
        <v>5294</v>
      </c>
      <c r="M422" t="s">
        <v>6533</v>
      </c>
      <c r="N422" s="4">
        <v>272941.18</v>
      </c>
      <c r="O422" s="4">
        <v>244705.88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 s="4">
        <v>324800</v>
      </c>
      <c r="AA422" s="4">
        <v>291200</v>
      </c>
    </row>
    <row r="423" spans="1:27" x14ac:dyDescent="0.25">
      <c r="A423" s="2" t="s">
        <v>3941</v>
      </c>
      <c r="B423" t="s">
        <v>5737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8</v>
      </c>
      <c r="L423" t="s">
        <v>5317</v>
      </c>
      <c r="M423" t="s">
        <v>5738</v>
      </c>
      <c r="N423" s="4">
        <v>252100.84</v>
      </c>
      <c r="O423" s="4">
        <v>222689.08</v>
      </c>
      <c r="P423">
        <v>0</v>
      </c>
      <c r="Q423">
        <v>0</v>
      </c>
      <c r="R423">
        <v>0</v>
      </c>
      <c r="S423">
        <v>0</v>
      </c>
      <c r="T423">
        <v>4</v>
      </c>
      <c r="U423">
        <v>0</v>
      </c>
      <c r="V423">
        <v>4</v>
      </c>
      <c r="W423">
        <v>0</v>
      </c>
      <c r="X423">
        <v>0</v>
      </c>
      <c r="Y423">
        <v>0</v>
      </c>
      <c r="Z423" s="4">
        <v>300000</v>
      </c>
      <c r="AA423" s="4">
        <v>265000</v>
      </c>
    </row>
    <row r="424" spans="1:27" x14ac:dyDescent="0.25">
      <c r="A424" s="2" t="s">
        <v>3943</v>
      </c>
      <c r="B424" t="s">
        <v>6534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18</v>
      </c>
      <c r="L424" t="s">
        <v>5282</v>
      </c>
      <c r="M424" t="s">
        <v>5739</v>
      </c>
      <c r="N424" s="4">
        <v>235294.12</v>
      </c>
      <c r="O424" s="4">
        <v>210084.03</v>
      </c>
      <c r="P424">
        <v>0</v>
      </c>
      <c r="Q424">
        <v>0</v>
      </c>
      <c r="R424">
        <v>0</v>
      </c>
      <c r="S424">
        <v>0</v>
      </c>
      <c r="T424">
        <v>15</v>
      </c>
      <c r="U424">
        <v>0</v>
      </c>
      <c r="V424">
        <v>15</v>
      </c>
      <c r="W424">
        <v>0</v>
      </c>
      <c r="X424">
        <v>0</v>
      </c>
      <c r="Y424">
        <v>0</v>
      </c>
      <c r="Z424" s="4">
        <v>280000</v>
      </c>
      <c r="AA424" s="4">
        <v>250000</v>
      </c>
    </row>
    <row r="425" spans="1:27" x14ac:dyDescent="0.25">
      <c r="A425" s="2" t="s">
        <v>3945</v>
      </c>
      <c r="B425" t="s">
        <v>6535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5</v>
      </c>
      <c r="L425" t="s">
        <v>5275</v>
      </c>
      <c r="M425" t="s">
        <v>5740</v>
      </c>
      <c r="N425" s="4">
        <v>226890.76</v>
      </c>
      <c r="O425" s="4">
        <v>193277.31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 s="4">
        <v>270000</v>
      </c>
      <c r="AA425" s="4">
        <v>230000</v>
      </c>
    </row>
    <row r="426" spans="1:27" x14ac:dyDescent="0.25">
      <c r="A426" s="2" t="s">
        <v>3947</v>
      </c>
      <c r="B426" t="s">
        <v>5741</v>
      </c>
      <c r="C426">
        <v>1</v>
      </c>
      <c r="D426">
        <v>1</v>
      </c>
      <c r="E426">
        <v>1</v>
      </c>
      <c r="G426">
        <v>1</v>
      </c>
      <c r="I426">
        <v>103</v>
      </c>
      <c r="M426" t="s">
        <v>5742</v>
      </c>
      <c r="N426" s="4">
        <v>922352.94</v>
      </c>
      <c r="O426" s="4">
        <v>847058.82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0</v>
      </c>
      <c r="X426">
        <v>0</v>
      </c>
      <c r="Y426">
        <v>0</v>
      </c>
      <c r="Z426" s="4">
        <v>1097600</v>
      </c>
      <c r="AA426" s="4">
        <v>1008000</v>
      </c>
    </row>
    <row r="427" spans="1:27" x14ac:dyDescent="0.25">
      <c r="A427" s="2" t="s">
        <v>6536</v>
      </c>
      <c r="B427" t="s">
        <v>6537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0</v>
      </c>
      <c r="L427" t="s">
        <v>5574</v>
      </c>
      <c r="M427" t="s">
        <v>6538</v>
      </c>
      <c r="N427" s="4">
        <v>188235.29</v>
      </c>
      <c r="O427" s="4">
        <v>169411.76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224000</v>
      </c>
      <c r="AA427" s="4">
        <v>201600</v>
      </c>
    </row>
    <row r="428" spans="1:27" x14ac:dyDescent="0.25">
      <c r="A428" s="2" t="s">
        <v>3949</v>
      </c>
      <c r="B428" t="s">
        <v>5743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8</v>
      </c>
      <c r="L428" t="s">
        <v>5317</v>
      </c>
      <c r="M428" t="s">
        <v>5744</v>
      </c>
      <c r="N428" s="4">
        <v>193277.31</v>
      </c>
      <c r="O428" s="4">
        <v>172268.91</v>
      </c>
      <c r="P428">
        <v>0</v>
      </c>
      <c r="Q428">
        <v>0</v>
      </c>
      <c r="R428">
        <v>0</v>
      </c>
      <c r="S428">
        <v>0</v>
      </c>
      <c r="T428">
        <v>5</v>
      </c>
      <c r="U428">
        <v>0</v>
      </c>
      <c r="V428">
        <v>5</v>
      </c>
      <c r="W428">
        <v>0</v>
      </c>
      <c r="X428">
        <v>0</v>
      </c>
      <c r="Y428">
        <v>0</v>
      </c>
      <c r="Z428" s="4">
        <v>230000</v>
      </c>
      <c r="AA428" s="4">
        <v>205000</v>
      </c>
    </row>
    <row r="429" spans="1:27" x14ac:dyDescent="0.25">
      <c r="A429" s="2" t="s">
        <v>3951</v>
      </c>
      <c r="B429" t="s">
        <v>5745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35</v>
      </c>
      <c r="L429" t="s">
        <v>5294</v>
      </c>
      <c r="M429" t="s">
        <v>5746</v>
      </c>
      <c r="N429" s="4">
        <v>378151.26</v>
      </c>
      <c r="O429" s="4">
        <v>344537.82</v>
      </c>
      <c r="P429">
        <v>0</v>
      </c>
      <c r="Q429">
        <v>0</v>
      </c>
      <c r="R429">
        <v>0</v>
      </c>
      <c r="S429">
        <v>0</v>
      </c>
      <c r="T429">
        <v>5</v>
      </c>
      <c r="U429">
        <v>0</v>
      </c>
      <c r="V429">
        <v>5</v>
      </c>
      <c r="W429">
        <v>0</v>
      </c>
      <c r="X429">
        <v>0</v>
      </c>
      <c r="Y429">
        <v>0</v>
      </c>
      <c r="Z429" s="4">
        <v>450000</v>
      </c>
      <c r="AA429" s="4">
        <v>410000</v>
      </c>
    </row>
    <row r="430" spans="1:27" x14ac:dyDescent="0.25">
      <c r="A430" s="2" t="s">
        <v>3953</v>
      </c>
      <c r="B430" t="s">
        <v>6539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38</v>
      </c>
      <c r="L430" t="s">
        <v>5723</v>
      </c>
      <c r="M430" t="s">
        <v>6540</v>
      </c>
      <c r="N430" s="4">
        <v>1082352.94</v>
      </c>
      <c r="O430" s="4">
        <v>988235.29</v>
      </c>
      <c r="P430">
        <v>1</v>
      </c>
      <c r="Q430">
        <v>0</v>
      </c>
      <c r="R430">
        <v>0</v>
      </c>
      <c r="S430">
        <v>0</v>
      </c>
      <c r="T430">
        <v>-1</v>
      </c>
      <c r="U430">
        <v>0</v>
      </c>
      <c r="V430">
        <v>-1</v>
      </c>
      <c r="W430">
        <v>0</v>
      </c>
      <c r="X430">
        <v>0</v>
      </c>
      <c r="Y430">
        <v>0</v>
      </c>
      <c r="Z430" s="4">
        <v>1288000</v>
      </c>
      <c r="AA430" s="4">
        <v>1176000</v>
      </c>
    </row>
    <row r="431" spans="1:27" x14ac:dyDescent="0.25">
      <c r="A431" s="2" t="s">
        <v>3955</v>
      </c>
      <c r="B431" t="s">
        <v>5747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31</v>
      </c>
      <c r="L431" t="s">
        <v>5407</v>
      </c>
      <c r="M431" t="s">
        <v>5748</v>
      </c>
      <c r="N431" s="4">
        <v>176470.59</v>
      </c>
      <c r="O431" s="4">
        <v>163865.54999999999</v>
      </c>
      <c r="P431">
        <v>0</v>
      </c>
      <c r="Q431">
        <v>0</v>
      </c>
      <c r="R431">
        <v>0</v>
      </c>
      <c r="S431">
        <v>0</v>
      </c>
      <c r="T431">
        <v>4</v>
      </c>
      <c r="U431">
        <v>0</v>
      </c>
      <c r="V431">
        <v>4</v>
      </c>
      <c r="W431">
        <v>0</v>
      </c>
      <c r="X431">
        <v>0</v>
      </c>
      <c r="Y431">
        <v>0</v>
      </c>
      <c r="Z431" s="4">
        <v>210000</v>
      </c>
      <c r="AA431" s="4">
        <v>195000</v>
      </c>
    </row>
    <row r="432" spans="1:27" x14ac:dyDescent="0.25">
      <c r="A432" s="2" t="s">
        <v>3957</v>
      </c>
      <c r="B432" t="s">
        <v>5749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8</v>
      </c>
      <c r="L432" t="s">
        <v>5317</v>
      </c>
      <c r="M432" t="s">
        <v>5750</v>
      </c>
      <c r="N432" s="4">
        <v>310924.37</v>
      </c>
      <c r="O432" s="4">
        <v>277310.92</v>
      </c>
      <c r="P432">
        <v>0</v>
      </c>
      <c r="Q432">
        <v>0</v>
      </c>
      <c r="R432">
        <v>0</v>
      </c>
      <c r="S432">
        <v>0</v>
      </c>
      <c r="T432">
        <v>2</v>
      </c>
      <c r="U432">
        <v>0</v>
      </c>
      <c r="V432">
        <v>2</v>
      </c>
      <c r="W432">
        <v>0</v>
      </c>
      <c r="X432">
        <v>0</v>
      </c>
      <c r="Y432">
        <v>0</v>
      </c>
      <c r="Z432" s="4">
        <v>370000</v>
      </c>
      <c r="AA432" s="4">
        <v>330000</v>
      </c>
    </row>
    <row r="433" spans="1:27" x14ac:dyDescent="0.25">
      <c r="A433" s="2" t="s">
        <v>6541</v>
      </c>
      <c r="B433" t="s">
        <v>6542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12</v>
      </c>
      <c r="L433" t="s">
        <v>5279</v>
      </c>
      <c r="M433" t="s">
        <v>6543</v>
      </c>
      <c r="N433" s="4">
        <v>268907.56</v>
      </c>
      <c r="O433" s="4">
        <v>243697.48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 s="4">
        <v>320000</v>
      </c>
      <c r="AA433" s="4">
        <v>290000</v>
      </c>
    </row>
    <row r="434" spans="1:27" x14ac:dyDescent="0.25">
      <c r="A434" s="2" t="s">
        <v>6544</v>
      </c>
      <c r="B434" t="s">
        <v>6545</v>
      </c>
      <c r="D434">
        <v>1</v>
      </c>
      <c r="E434">
        <v>1</v>
      </c>
      <c r="G434">
        <v>1</v>
      </c>
      <c r="I434">
        <v>103</v>
      </c>
      <c r="K434">
        <v>0</v>
      </c>
      <c r="L434" t="s">
        <v>5574</v>
      </c>
      <c r="M434" t="s">
        <v>6546</v>
      </c>
      <c r="N434">
        <v>1.1200000000000001</v>
      </c>
      <c r="O434">
        <v>1.1200000000000001</v>
      </c>
      <c r="P434">
        <v>1</v>
      </c>
      <c r="Q434">
        <v>0</v>
      </c>
      <c r="R434">
        <v>0</v>
      </c>
      <c r="S434">
        <v>0</v>
      </c>
      <c r="V434">
        <v>0</v>
      </c>
      <c r="Y434">
        <v>0</v>
      </c>
      <c r="Z434">
        <v>1.33</v>
      </c>
      <c r="AA434">
        <v>1.33</v>
      </c>
    </row>
    <row r="435" spans="1:27" x14ac:dyDescent="0.25">
      <c r="A435" s="2" t="s">
        <v>6547</v>
      </c>
      <c r="B435" t="s">
        <v>6548</v>
      </c>
      <c r="D435">
        <v>1</v>
      </c>
      <c r="E435">
        <v>1</v>
      </c>
      <c r="G435">
        <v>1</v>
      </c>
      <c r="I435">
        <v>103</v>
      </c>
      <c r="K435">
        <v>0</v>
      </c>
      <c r="L435" t="s">
        <v>5574</v>
      </c>
      <c r="M435" t="s">
        <v>6549</v>
      </c>
      <c r="N435">
        <v>1.1200000000000001</v>
      </c>
      <c r="O435">
        <v>1.1200000000000001</v>
      </c>
      <c r="P435">
        <v>1</v>
      </c>
      <c r="Q435">
        <v>0</v>
      </c>
      <c r="R435">
        <v>0</v>
      </c>
      <c r="S435">
        <v>0</v>
      </c>
      <c r="V435">
        <v>0</v>
      </c>
      <c r="Y435">
        <v>0</v>
      </c>
      <c r="Z435">
        <v>1.33</v>
      </c>
      <c r="AA435">
        <v>1.33</v>
      </c>
    </row>
    <row r="436" spans="1:27" x14ac:dyDescent="0.25">
      <c r="A436" s="2" t="s">
        <v>3959</v>
      </c>
      <c r="B436" t="s">
        <v>5751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8</v>
      </c>
      <c r="L436" t="s">
        <v>5317</v>
      </c>
      <c r="M436" t="s">
        <v>5752</v>
      </c>
      <c r="N436" s="4">
        <v>252100.84</v>
      </c>
      <c r="O436" s="4">
        <v>226890.76</v>
      </c>
      <c r="P436">
        <v>0</v>
      </c>
      <c r="Q436">
        <v>0</v>
      </c>
      <c r="R436">
        <v>0</v>
      </c>
      <c r="S436">
        <v>0</v>
      </c>
      <c r="T436">
        <v>3</v>
      </c>
      <c r="U436">
        <v>0</v>
      </c>
      <c r="V436">
        <v>3</v>
      </c>
      <c r="W436">
        <v>0</v>
      </c>
      <c r="X436">
        <v>0</v>
      </c>
      <c r="Y436">
        <v>0</v>
      </c>
      <c r="Z436" s="4">
        <v>300000</v>
      </c>
      <c r="AA436" s="4">
        <v>270000</v>
      </c>
    </row>
    <row r="437" spans="1:27" x14ac:dyDescent="0.25">
      <c r="A437" s="2" t="s">
        <v>3961</v>
      </c>
      <c r="B437" t="s">
        <v>5753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5317</v>
      </c>
      <c r="M437" t="s">
        <v>5754</v>
      </c>
      <c r="N437" s="4">
        <v>537815.13</v>
      </c>
      <c r="O437" s="4">
        <v>483193.28</v>
      </c>
      <c r="P437">
        <v>0</v>
      </c>
      <c r="Q437">
        <v>0</v>
      </c>
      <c r="R437">
        <v>0</v>
      </c>
      <c r="S437">
        <v>0</v>
      </c>
      <c r="T437">
        <v>2</v>
      </c>
      <c r="U437">
        <v>0</v>
      </c>
      <c r="V437">
        <v>2</v>
      </c>
      <c r="W437">
        <v>0</v>
      </c>
      <c r="X437">
        <v>0</v>
      </c>
      <c r="Y437">
        <v>0</v>
      </c>
      <c r="Z437" s="4">
        <v>640000</v>
      </c>
      <c r="AA437" s="4">
        <v>575000</v>
      </c>
    </row>
    <row r="438" spans="1:27" x14ac:dyDescent="0.25">
      <c r="A438" s="2" t="s">
        <v>3963</v>
      </c>
      <c r="B438" t="s">
        <v>5755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33</v>
      </c>
      <c r="L438" t="s">
        <v>5297</v>
      </c>
      <c r="M438" t="s">
        <v>5756</v>
      </c>
      <c r="N438" s="4">
        <v>411764.71</v>
      </c>
      <c r="O438" s="4">
        <v>369747.9</v>
      </c>
      <c r="P438">
        <v>0</v>
      </c>
      <c r="Q438">
        <v>0</v>
      </c>
      <c r="R438">
        <v>0</v>
      </c>
      <c r="S438">
        <v>0</v>
      </c>
      <c r="T438">
        <v>2</v>
      </c>
      <c r="U438">
        <v>0</v>
      </c>
      <c r="V438">
        <v>2</v>
      </c>
      <c r="W438">
        <v>0</v>
      </c>
      <c r="X438">
        <v>0</v>
      </c>
      <c r="Y438">
        <v>0</v>
      </c>
      <c r="Z438" s="4">
        <v>490000</v>
      </c>
      <c r="AA438" s="4">
        <v>440000</v>
      </c>
    </row>
    <row r="439" spans="1:27" x14ac:dyDescent="0.25">
      <c r="A439" s="2" t="s">
        <v>6550</v>
      </c>
      <c r="B439" t="s">
        <v>6551</v>
      </c>
      <c r="D439">
        <v>1</v>
      </c>
      <c r="E439">
        <v>1</v>
      </c>
      <c r="G439">
        <v>1</v>
      </c>
      <c r="I439">
        <v>103</v>
      </c>
      <c r="K439">
        <v>0</v>
      </c>
      <c r="L439" t="s">
        <v>5574</v>
      </c>
      <c r="M439" t="s">
        <v>6552</v>
      </c>
      <c r="N439">
        <v>1.1200000000000001</v>
      </c>
      <c r="O439">
        <v>1.1200000000000001</v>
      </c>
      <c r="P439">
        <v>1</v>
      </c>
      <c r="Q439">
        <v>0</v>
      </c>
      <c r="R439">
        <v>0</v>
      </c>
      <c r="S439">
        <v>0</v>
      </c>
      <c r="V439">
        <v>0</v>
      </c>
      <c r="Y439">
        <v>0</v>
      </c>
      <c r="Z439">
        <v>1.33</v>
      </c>
      <c r="AA439">
        <v>1.33</v>
      </c>
    </row>
    <row r="440" spans="1:27" x14ac:dyDescent="0.25">
      <c r="A440" s="2" t="s">
        <v>3965</v>
      </c>
      <c r="B440" t="s">
        <v>6553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8</v>
      </c>
      <c r="L440" t="s">
        <v>5317</v>
      </c>
      <c r="M440" t="s">
        <v>6554</v>
      </c>
      <c r="N440" s="4">
        <v>571428.56999999995</v>
      </c>
      <c r="O440" s="4">
        <v>508403.36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680000</v>
      </c>
      <c r="AA440" s="4">
        <v>605000</v>
      </c>
    </row>
    <row r="441" spans="1:27" x14ac:dyDescent="0.25">
      <c r="A441" s="2" t="s">
        <v>3967</v>
      </c>
      <c r="B441" t="s">
        <v>5757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8</v>
      </c>
      <c r="L441" t="s">
        <v>5317</v>
      </c>
      <c r="M441" t="s">
        <v>5758</v>
      </c>
      <c r="N441" s="4">
        <v>336134.45</v>
      </c>
      <c r="O441" s="4">
        <v>294117.65000000002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400000</v>
      </c>
      <c r="AA441" s="4">
        <v>350000</v>
      </c>
    </row>
    <row r="442" spans="1:27" x14ac:dyDescent="0.25">
      <c r="A442" s="2" t="s">
        <v>3970</v>
      </c>
      <c r="B442" t="s">
        <v>5759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38</v>
      </c>
      <c r="L442" t="s">
        <v>5723</v>
      </c>
      <c r="M442" t="s">
        <v>5760</v>
      </c>
      <c r="N442" s="4">
        <v>924369.75</v>
      </c>
      <c r="O442" s="4">
        <v>848739.5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1100000</v>
      </c>
      <c r="AA442" s="4">
        <v>1010000</v>
      </c>
    </row>
    <row r="443" spans="1:27" x14ac:dyDescent="0.25">
      <c r="A443" s="2" t="s">
        <v>3972</v>
      </c>
      <c r="B443" t="s">
        <v>5761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5275</v>
      </c>
      <c r="M443" t="s">
        <v>5762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3974</v>
      </c>
      <c r="B444" t="s">
        <v>5763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35</v>
      </c>
      <c r="L444" t="s">
        <v>5294</v>
      </c>
      <c r="M444" t="s">
        <v>5764</v>
      </c>
      <c r="N444" s="4">
        <v>260504.2</v>
      </c>
      <c r="O444" s="4">
        <v>239495.8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s="4">
        <v>310000</v>
      </c>
      <c r="AA444" s="4">
        <v>285000</v>
      </c>
    </row>
    <row r="445" spans="1:27" x14ac:dyDescent="0.25">
      <c r="A445" s="2" t="s">
        <v>3976</v>
      </c>
      <c r="B445" t="s">
        <v>6555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8</v>
      </c>
      <c r="L445" t="s">
        <v>5317</v>
      </c>
      <c r="M445" t="s">
        <v>6556</v>
      </c>
      <c r="N445" s="4">
        <v>235294.12</v>
      </c>
      <c r="O445" s="4">
        <v>214285.71</v>
      </c>
      <c r="P445">
        <v>0</v>
      </c>
      <c r="Q445">
        <v>0</v>
      </c>
      <c r="R445">
        <v>0</v>
      </c>
      <c r="S445">
        <v>0</v>
      </c>
      <c r="T445">
        <v>15</v>
      </c>
      <c r="U445">
        <v>0</v>
      </c>
      <c r="V445">
        <v>15</v>
      </c>
      <c r="W445">
        <v>0</v>
      </c>
      <c r="X445">
        <v>0</v>
      </c>
      <c r="Y445">
        <v>0</v>
      </c>
      <c r="Z445" s="4">
        <v>280000</v>
      </c>
      <c r="AA445" s="4">
        <v>255000</v>
      </c>
    </row>
    <row r="446" spans="1:27" x14ac:dyDescent="0.25">
      <c r="A446" s="2" t="s">
        <v>3978</v>
      </c>
      <c r="B446" t="s">
        <v>6557</v>
      </c>
      <c r="C446">
        <v>1</v>
      </c>
      <c r="D446">
        <v>1</v>
      </c>
      <c r="E446">
        <v>1</v>
      </c>
      <c r="G446">
        <v>1</v>
      </c>
      <c r="I446">
        <v>103</v>
      </c>
      <c r="K446">
        <v>12</v>
      </c>
      <c r="L446" t="s">
        <v>5279</v>
      </c>
      <c r="M446" t="s">
        <v>6558</v>
      </c>
      <c r="N446" s="4">
        <v>504201.68</v>
      </c>
      <c r="O446" s="4">
        <v>445378.15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 s="4">
        <v>600000</v>
      </c>
      <c r="AA446" s="4">
        <v>530000</v>
      </c>
    </row>
    <row r="447" spans="1:27" x14ac:dyDescent="0.25">
      <c r="A447" s="2" t="s">
        <v>3980</v>
      </c>
      <c r="B447" t="s">
        <v>6559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35</v>
      </c>
      <c r="L447" t="s">
        <v>5294</v>
      </c>
      <c r="M447" t="s">
        <v>6560</v>
      </c>
      <c r="N447" s="4">
        <v>256302.52</v>
      </c>
      <c r="O447" s="4">
        <v>243697.48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s="4">
        <v>305000</v>
      </c>
      <c r="AA447" s="4">
        <v>290000</v>
      </c>
    </row>
    <row r="448" spans="1:27" x14ac:dyDescent="0.25">
      <c r="A448" s="2" t="s">
        <v>3982</v>
      </c>
      <c r="B448" t="s">
        <v>6561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8</v>
      </c>
      <c r="L448" t="s">
        <v>5317</v>
      </c>
      <c r="M448" t="s">
        <v>5765</v>
      </c>
      <c r="N448" s="4">
        <v>252100.84</v>
      </c>
      <c r="O448" s="4">
        <v>222689.08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V448">
        <v>1</v>
      </c>
      <c r="W448">
        <v>0</v>
      </c>
      <c r="X448">
        <v>0</v>
      </c>
      <c r="Y448">
        <v>0</v>
      </c>
      <c r="Z448" s="4">
        <v>300000</v>
      </c>
      <c r="AA448" s="4">
        <v>265000</v>
      </c>
    </row>
    <row r="449" spans="1:27" x14ac:dyDescent="0.25">
      <c r="A449" s="2" t="s">
        <v>3984</v>
      </c>
      <c r="B449" t="s">
        <v>6562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5</v>
      </c>
      <c r="L449" t="s">
        <v>5275</v>
      </c>
      <c r="M449" t="s">
        <v>6563</v>
      </c>
      <c r="N449" s="4">
        <v>252100.84</v>
      </c>
      <c r="O449" s="4">
        <v>226890.76</v>
      </c>
      <c r="P449">
        <v>0</v>
      </c>
      <c r="Q449">
        <v>0</v>
      </c>
      <c r="R449">
        <v>0</v>
      </c>
      <c r="S449">
        <v>0</v>
      </c>
      <c r="T449">
        <v>4</v>
      </c>
      <c r="U449">
        <v>0</v>
      </c>
      <c r="V449">
        <v>4</v>
      </c>
      <c r="W449">
        <v>0</v>
      </c>
      <c r="X449">
        <v>0</v>
      </c>
      <c r="Y449">
        <v>0</v>
      </c>
      <c r="Z449" s="4">
        <v>300000</v>
      </c>
      <c r="AA449" s="4">
        <v>270000</v>
      </c>
    </row>
    <row r="450" spans="1:27" x14ac:dyDescent="0.25">
      <c r="A450" s="2" t="s">
        <v>6564</v>
      </c>
      <c r="B450" t="s">
        <v>6565</v>
      </c>
      <c r="D450">
        <v>1</v>
      </c>
      <c r="E450">
        <v>1</v>
      </c>
      <c r="G450">
        <v>1</v>
      </c>
      <c r="I450">
        <v>103</v>
      </c>
      <c r="K450">
        <v>18</v>
      </c>
      <c r="L450" t="s">
        <v>5282</v>
      </c>
      <c r="M450" t="s">
        <v>6566</v>
      </c>
      <c r="N450" s="4">
        <v>847058.82</v>
      </c>
      <c r="O450" s="4">
        <v>847058.82</v>
      </c>
      <c r="P450">
        <v>1</v>
      </c>
      <c r="Q450">
        <v>0</v>
      </c>
      <c r="R450">
        <v>0</v>
      </c>
      <c r="S450">
        <v>0</v>
      </c>
      <c r="V450">
        <v>0</v>
      </c>
      <c r="Y450">
        <v>0</v>
      </c>
      <c r="Z450" s="4">
        <v>1008000</v>
      </c>
      <c r="AA450" s="4">
        <v>1008000</v>
      </c>
    </row>
    <row r="451" spans="1:27" x14ac:dyDescent="0.25">
      <c r="A451" s="2" t="s">
        <v>3986</v>
      </c>
      <c r="B451" t="s">
        <v>6567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8</v>
      </c>
      <c r="L451" t="s">
        <v>5317</v>
      </c>
      <c r="M451" t="s">
        <v>6568</v>
      </c>
      <c r="N451" s="4">
        <v>388705.88</v>
      </c>
      <c r="O451" s="4">
        <v>379764.71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s="4">
        <v>462560</v>
      </c>
      <c r="AA451" s="4">
        <v>451920</v>
      </c>
    </row>
    <row r="452" spans="1:27" x14ac:dyDescent="0.25">
      <c r="A452" s="2" t="s">
        <v>3988</v>
      </c>
      <c r="B452" t="s">
        <v>5766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35</v>
      </c>
      <c r="L452" t="s">
        <v>5294</v>
      </c>
      <c r="M452" t="s">
        <v>5767</v>
      </c>
      <c r="N452" s="4">
        <v>470588.24</v>
      </c>
      <c r="O452" s="4">
        <v>403361.34</v>
      </c>
      <c r="P452">
        <v>0</v>
      </c>
      <c r="Q452">
        <v>0</v>
      </c>
      <c r="R452">
        <v>0</v>
      </c>
      <c r="S452">
        <v>0</v>
      </c>
      <c r="T452">
        <v>7</v>
      </c>
      <c r="U452">
        <v>0</v>
      </c>
      <c r="V452">
        <v>7</v>
      </c>
      <c r="W452">
        <v>0</v>
      </c>
      <c r="X452">
        <v>0</v>
      </c>
      <c r="Y452">
        <v>0</v>
      </c>
      <c r="Z452" s="4">
        <v>560000</v>
      </c>
      <c r="AA452" s="4">
        <v>480000</v>
      </c>
    </row>
    <row r="453" spans="1:27" x14ac:dyDescent="0.25">
      <c r="A453" s="2" t="s">
        <v>3990</v>
      </c>
      <c r="B453" t="s">
        <v>5768</v>
      </c>
      <c r="C453">
        <v>1</v>
      </c>
      <c r="D453">
        <v>1</v>
      </c>
      <c r="E453">
        <v>1</v>
      </c>
      <c r="G453">
        <v>1</v>
      </c>
      <c r="I453">
        <v>103</v>
      </c>
      <c r="K453">
        <v>8</v>
      </c>
      <c r="L453" t="s">
        <v>5317</v>
      </c>
      <c r="M453" t="s">
        <v>5769</v>
      </c>
      <c r="N453" s="4">
        <v>428571.43</v>
      </c>
      <c r="O453" s="4">
        <v>394957.98</v>
      </c>
      <c r="P453">
        <v>0</v>
      </c>
      <c r="Q453">
        <v>0</v>
      </c>
      <c r="R453">
        <v>0</v>
      </c>
      <c r="S453">
        <v>0</v>
      </c>
      <c r="T453">
        <v>3</v>
      </c>
      <c r="U453">
        <v>0</v>
      </c>
      <c r="V453">
        <v>3</v>
      </c>
      <c r="W453">
        <v>0</v>
      </c>
      <c r="X453">
        <v>0</v>
      </c>
      <c r="Y453">
        <v>0</v>
      </c>
      <c r="Z453" s="4">
        <v>510000</v>
      </c>
      <c r="AA453" s="4">
        <v>470000</v>
      </c>
    </row>
    <row r="454" spans="1:27" x14ac:dyDescent="0.25">
      <c r="A454" s="2" t="s">
        <v>6569</v>
      </c>
      <c r="B454" t="s">
        <v>6570</v>
      </c>
      <c r="D454">
        <v>1</v>
      </c>
      <c r="E454">
        <v>1</v>
      </c>
      <c r="G454">
        <v>1</v>
      </c>
      <c r="I454">
        <v>103</v>
      </c>
      <c r="K454">
        <v>18</v>
      </c>
      <c r="L454" t="s">
        <v>5282</v>
      </c>
      <c r="M454" t="s">
        <v>6571</v>
      </c>
      <c r="N454" s="4">
        <v>340235.29</v>
      </c>
      <c r="O454" s="4">
        <v>333176.46999999997</v>
      </c>
      <c r="P454">
        <v>1</v>
      </c>
      <c r="Q454">
        <v>0</v>
      </c>
      <c r="R454">
        <v>0</v>
      </c>
      <c r="S454">
        <v>0</v>
      </c>
      <c r="V454">
        <v>0</v>
      </c>
      <c r="Y454">
        <v>0</v>
      </c>
      <c r="Z454" s="4">
        <v>404880</v>
      </c>
      <c r="AA454" s="4">
        <v>396480</v>
      </c>
    </row>
    <row r="455" spans="1:27" x14ac:dyDescent="0.25">
      <c r="A455" s="2" t="s">
        <v>3992</v>
      </c>
      <c r="B455" t="s">
        <v>6572</v>
      </c>
      <c r="C455">
        <v>1</v>
      </c>
      <c r="D455">
        <v>1</v>
      </c>
      <c r="E455">
        <v>1</v>
      </c>
      <c r="G455">
        <v>1</v>
      </c>
      <c r="I455">
        <v>103</v>
      </c>
      <c r="K455">
        <v>37</v>
      </c>
      <c r="L455" t="s">
        <v>5288</v>
      </c>
      <c r="M455" t="s">
        <v>6573</v>
      </c>
      <c r="N455" s="4">
        <v>205882.35</v>
      </c>
      <c r="O455" s="4">
        <v>184873.95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s="4">
        <v>245000</v>
      </c>
      <c r="AA455" s="4">
        <v>220000</v>
      </c>
    </row>
    <row r="456" spans="1:27" x14ac:dyDescent="0.25">
      <c r="A456" s="2" t="s">
        <v>3994</v>
      </c>
      <c r="B456" t="s">
        <v>5770</v>
      </c>
      <c r="C456">
        <v>1</v>
      </c>
      <c r="D456">
        <v>1</v>
      </c>
      <c r="E456">
        <v>1</v>
      </c>
      <c r="G456">
        <v>1</v>
      </c>
      <c r="I456">
        <v>103</v>
      </c>
      <c r="K456">
        <v>18</v>
      </c>
      <c r="L456" t="s">
        <v>5282</v>
      </c>
      <c r="M456" t="s">
        <v>5771</v>
      </c>
      <c r="N456" s="4">
        <v>504201.68</v>
      </c>
      <c r="O456" s="4">
        <v>462184.87</v>
      </c>
      <c r="P456">
        <v>0</v>
      </c>
      <c r="Q456">
        <v>0</v>
      </c>
      <c r="R456">
        <v>0</v>
      </c>
      <c r="S456">
        <v>0</v>
      </c>
      <c r="T456">
        <v>4</v>
      </c>
      <c r="U456">
        <v>0</v>
      </c>
      <c r="V456">
        <v>4</v>
      </c>
      <c r="W456">
        <v>0</v>
      </c>
      <c r="X456">
        <v>0</v>
      </c>
      <c r="Y456">
        <v>0</v>
      </c>
      <c r="Z456" s="4">
        <v>600000</v>
      </c>
      <c r="AA456" s="4">
        <v>550000</v>
      </c>
    </row>
    <row r="457" spans="1:27" x14ac:dyDescent="0.25">
      <c r="A457" s="2" t="s">
        <v>3996</v>
      </c>
      <c r="B457" t="s">
        <v>5772</v>
      </c>
      <c r="C457">
        <v>1</v>
      </c>
      <c r="D457">
        <v>1</v>
      </c>
      <c r="E457">
        <v>1</v>
      </c>
      <c r="G457">
        <v>1</v>
      </c>
      <c r="I457">
        <v>103</v>
      </c>
      <c r="K457">
        <v>4</v>
      </c>
      <c r="L457" t="s">
        <v>5334</v>
      </c>
      <c r="M457" t="s">
        <v>5773</v>
      </c>
      <c r="N457" s="4">
        <v>423529.41</v>
      </c>
      <c r="O457" s="4">
        <v>357647.06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1</v>
      </c>
      <c r="W457">
        <v>0</v>
      </c>
      <c r="X457">
        <v>0</v>
      </c>
      <c r="Y457">
        <v>0</v>
      </c>
      <c r="Z457" s="4">
        <v>504000</v>
      </c>
      <c r="AA457" s="4">
        <v>425600</v>
      </c>
    </row>
    <row r="458" spans="1:27" x14ac:dyDescent="0.25">
      <c r="A458" s="2" t="s">
        <v>6574</v>
      </c>
      <c r="B458" t="s">
        <v>6575</v>
      </c>
      <c r="D458">
        <v>1</v>
      </c>
      <c r="E458">
        <v>1</v>
      </c>
      <c r="G458">
        <v>1</v>
      </c>
      <c r="I458">
        <v>103</v>
      </c>
      <c r="K458">
        <v>0</v>
      </c>
      <c r="L458" t="s">
        <v>5574</v>
      </c>
      <c r="M458" t="s">
        <v>6576</v>
      </c>
      <c r="N458">
        <v>1.1200000000000001</v>
      </c>
      <c r="O458">
        <v>1.1200000000000001</v>
      </c>
      <c r="P458">
        <v>1</v>
      </c>
      <c r="Q458">
        <v>0</v>
      </c>
      <c r="R458">
        <v>0</v>
      </c>
      <c r="S458">
        <v>0</v>
      </c>
      <c r="V458">
        <v>0</v>
      </c>
      <c r="Y458">
        <v>0</v>
      </c>
      <c r="Z458">
        <v>1.33</v>
      </c>
      <c r="AA458">
        <v>1.33</v>
      </c>
    </row>
    <row r="459" spans="1:27" x14ac:dyDescent="0.25">
      <c r="A459" s="2" t="s">
        <v>3998</v>
      </c>
      <c r="B459" t="s">
        <v>5774</v>
      </c>
      <c r="C459">
        <v>1</v>
      </c>
      <c r="D459">
        <v>1</v>
      </c>
      <c r="E459">
        <v>1</v>
      </c>
      <c r="G459">
        <v>1</v>
      </c>
      <c r="I459">
        <v>103</v>
      </c>
      <c r="K459">
        <v>5</v>
      </c>
      <c r="L459" t="s">
        <v>5275</v>
      </c>
      <c r="M459" t="s">
        <v>5775</v>
      </c>
      <c r="N459" s="4">
        <v>180672.27</v>
      </c>
      <c r="O459" s="4">
        <v>163865.54999999999</v>
      </c>
      <c r="P459">
        <v>0</v>
      </c>
      <c r="Q459">
        <v>0</v>
      </c>
      <c r="R459">
        <v>0</v>
      </c>
      <c r="S459">
        <v>0</v>
      </c>
      <c r="T459">
        <v>5</v>
      </c>
      <c r="U459">
        <v>0</v>
      </c>
      <c r="V459">
        <v>5</v>
      </c>
      <c r="W459">
        <v>0</v>
      </c>
      <c r="X459">
        <v>0</v>
      </c>
      <c r="Y459">
        <v>0</v>
      </c>
      <c r="Z459" s="4">
        <v>215000</v>
      </c>
      <c r="AA459" s="4">
        <v>195000</v>
      </c>
    </row>
    <row r="460" spans="1:27" x14ac:dyDescent="0.25">
      <c r="A460" s="2" t="s">
        <v>4000</v>
      </c>
      <c r="B460" t="s">
        <v>5776</v>
      </c>
      <c r="C460">
        <v>1</v>
      </c>
      <c r="D460">
        <v>1</v>
      </c>
      <c r="E460">
        <v>1</v>
      </c>
      <c r="G460">
        <v>1</v>
      </c>
      <c r="I460">
        <v>103</v>
      </c>
      <c r="K460">
        <v>5</v>
      </c>
      <c r="L460" t="s">
        <v>5275</v>
      </c>
      <c r="M460" t="s">
        <v>5777</v>
      </c>
      <c r="N460" s="4">
        <v>521008.4</v>
      </c>
      <c r="O460" s="4">
        <v>470588.24</v>
      </c>
      <c r="P460">
        <v>0</v>
      </c>
      <c r="Q460">
        <v>0</v>
      </c>
      <c r="R460">
        <v>0</v>
      </c>
      <c r="S460">
        <v>0</v>
      </c>
      <c r="T460">
        <v>3</v>
      </c>
      <c r="U460">
        <v>0</v>
      </c>
      <c r="V460">
        <v>3</v>
      </c>
      <c r="W460">
        <v>0</v>
      </c>
      <c r="X460">
        <v>0</v>
      </c>
      <c r="Y460">
        <v>0</v>
      </c>
      <c r="Z460" s="4">
        <v>620000</v>
      </c>
      <c r="AA460" s="4">
        <v>560000</v>
      </c>
    </row>
    <row r="461" spans="1:27" x14ac:dyDescent="0.25">
      <c r="A461" s="2" t="s">
        <v>4002</v>
      </c>
      <c r="B461" t="s">
        <v>6283</v>
      </c>
      <c r="C461">
        <v>1</v>
      </c>
      <c r="D461">
        <v>1</v>
      </c>
      <c r="E461">
        <v>1</v>
      </c>
      <c r="G461">
        <v>1</v>
      </c>
      <c r="I461">
        <v>103</v>
      </c>
      <c r="K461">
        <v>8</v>
      </c>
      <c r="L461" t="s">
        <v>5317</v>
      </c>
      <c r="M461" t="s">
        <v>6577</v>
      </c>
      <c r="N461" s="4">
        <v>310924.37</v>
      </c>
      <c r="O461" s="4">
        <v>268907.56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 s="4">
        <v>370000</v>
      </c>
      <c r="AA461" s="4">
        <v>320000</v>
      </c>
    </row>
    <row r="462" spans="1:27" x14ac:dyDescent="0.25">
      <c r="A462" s="2" t="s">
        <v>4004</v>
      </c>
      <c r="B462" t="s">
        <v>5778</v>
      </c>
      <c r="C462">
        <v>1</v>
      </c>
      <c r="D462">
        <v>1</v>
      </c>
      <c r="E462">
        <v>1</v>
      </c>
      <c r="G462">
        <v>1</v>
      </c>
      <c r="I462">
        <v>103</v>
      </c>
      <c r="K462">
        <v>8</v>
      </c>
      <c r="L462" t="s">
        <v>5317</v>
      </c>
      <c r="M462" t="s">
        <v>5779</v>
      </c>
      <c r="N462" s="4">
        <v>462184.87</v>
      </c>
      <c r="O462" s="4">
        <v>411764.71</v>
      </c>
      <c r="P462">
        <v>0</v>
      </c>
      <c r="Q462">
        <v>0</v>
      </c>
      <c r="R462">
        <v>0</v>
      </c>
      <c r="S462">
        <v>0</v>
      </c>
      <c r="T462">
        <v>5</v>
      </c>
      <c r="U462">
        <v>0</v>
      </c>
      <c r="V462">
        <v>5</v>
      </c>
      <c r="W462">
        <v>0</v>
      </c>
      <c r="X462">
        <v>0</v>
      </c>
      <c r="Y462">
        <v>0</v>
      </c>
      <c r="Z462" s="4">
        <v>550000</v>
      </c>
      <c r="AA462" s="4">
        <v>490000</v>
      </c>
    </row>
    <row r="463" spans="1:27" x14ac:dyDescent="0.25">
      <c r="A463" s="2" t="s">
        <v>4006</v>
      </c>
      <c r="B463" t="s">
        <v>5780</v>
      </c>
      <c r="C463">
        <v>1</v>
      </c>
      <c r="D463">
        <v>1</v>
      </c>
      <c r="E463">
        <v>1</v>
      </c>
      <c r="G463">
        <v>1</v>
      </c>
      <c r="I463">
        <v>103</v>
      </c>
      <c r="K463">
        <v>35</v>
      </c>
      <c r="L463" t="s">
        <v>5294</v>
      </c>
      <c r="M463" t="s">
        <v>5781</v>
      </c>
      <c r="N463" s="4">
        <v>294117.65000000002</v>
      </c>
      <c r="O463" s="4">
        <v>268907.56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0</v>
      </c>
      <c r="X463">
        <v>0</v>
      </c>
      <c r="Y463">
        <v>0</v>
      </c>
      <c r="Z463" s="4">
        <v>350000</v>
      </c>
      <c r="AA463" s="4">
        <v>320000</v>
      </c>
    </row>
    <row r="464" spans="1:27" x14ac:dyDescent="0.25">
      <c r="A464" s="2" t="s">
        <v>4008</v>
      </c>
      <c r="B464" t="s">
        <v>6578</v>
      </c>
      <c r="C464">
        <v>1</v>
      </c>
      <c r="D464">
        <v>1</v>
      </c>
      <c r="E464">
        <v>1</v>
      </c>
      <c r="G464">
        <v>1</v>
      </c>
      <c r="I464">
        <v>103</v>
      </c>
      <c r="K464">
        <v>8</v>
      </c>
      <c r="L464" t="s">
        <v>5317</v>
      </c>
      <c r="M464" t="s">
        <v>5782</v>
      </c>
      <c r="N464" s="4">
        <v>188235.29</v>
      </c>
      <c r="O464" s="4">
        <v>168067.23</v>
      </c>
      <c r="P464">
        <v>0</v>
      </c>
      <c r="Q464">
        <v>0</v>
      </c>
      <c r="R464">
        <v>0</v>
      </c>
      <c r="S464">
        <v>0</v>
      </c>
      <c r="T464">
        <v>2</v>
      </c>
      <c r="U464">
        <v>0</v>
      </c>
      <c r="V464">
        <v>2</v>
      </c>
      <c r="W464">
        <v>0</v>
      </c>
      <c r="X464">
        <v>0</v>
      </c>
      <c r="Y464">
        <v>0</v>
      </c>
      <c r="Z464" s="4">
        <v>224000</v>
      </c>
      <c r="AA464" s="4">
        <v>200000</v>
      </c>
    </row>
    <row r="465" spans="1:27" x14ac:dyDescent="0.25">
      <c r="A465" s="2" t="s">
        <v>4010</v>
      </c>
      <c r="B465" t="s">
        <v>5783</v>
      </c>
      <c r="C465">
        <v>1</v>
      </c>
      <c r="D465">
        <v>1</v>
      </c>
      <c r="E465">
        <v>1</v>
      </c>
      <c r="G465">
        <v>1</v>
      </c>
      <c r="I465">
        <v>103</v>
      </c>
      <c r="K465">
        <v>8</v>
      </c>
      <c r="L465" t="s">
        <v>5317</v>
      </c>
      <c r="M465" t="s">
        <v>5784</v>
      </c>
      <c r="N465" s="4">
        <v>344537.82</v>
      </c>
      <c r="O465" s="4">
        <v>294117.65000000002</v>
      </c>
      <c r="P465">
        <v>0</v>
      </c>
      <c r="Q465">
        <v>0</v>
      </c>
      <c r="R465">
        <v>0</v>
      </c>
      <c r="S465">
        <v>0</v>
      </c>
      <c r="T465">
        <v>4</v>
      </c>
      <c r="U465">
        <v>0</v>
      </c>
      <c r="V465">
        <v>4</v>
      </c>
      <c r="W465">
        <v>0</v>
      </c>
      <c r="X465">
        <v>0</v>
      </c>
      <c r="Y465">
        <v>0</v>
      </c>
      <c r="Z465" s="4">
        <v>410000</v>
      </c>
      <c r="AA465" s="4">
        <v>350000</v>
      </c>
    </row>
    <row r="466" spans="1:27" x14ac:dyDescent="0.25">
      <c r="A466" s="2" t="s">
        <v>4012</v>
      </c>
      <c r="B466" t="s">
        <v>5785</v>
      </c>
      <c r="C466">
        <v>1</v>
      </c>
      <c r="D466">
        <v>1</v>
      </c>
      <c r="E466">
        <v>1</v>
      </c>
      <c r="G466">
        <v>1</v>
      </c>
      <c r="I466">
        <v>103</v>
      </c>
      <c r="K466">
        <v>54</v>
      </c>
      <c r="L466" t="s">
        <v>5273</v>
      </c>
      <c r="M466" t="s">
        <v>5786</v>
      </c>
      <c r="N466" s="4">
        <v>1176470.5900000001</v>
      </c>
      <c r="O466" s="4">
        <v>1058823.53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0</v>
      </c>
      <c r="X466">
        <v>0</v>
      </c>
      <c r="Y466">
        <v>0</v>
      </c>
      <c r="Z466" s="4">
        <v>1400000</v>
      </c>
      <c r="AA466" s="4">
        <v>1260000</v>
      </c>
    </row>
    <row r="467" spans="1:27" x14ac:dyDescent="0.25">
      <c r="A467" s="2" t="s">
        <v>4014</v>
      </c>
      <c r="B467" t="s">
        <v>6579</v>
      </c>
      <c r="C467">
        <v>1</v>
      </c>
      <c r="D467">
        <v>1</v>
      </c>
      <c r="E467">
        <v>1</v>
      </c>
      <c r="G467">
        <v>1</v>
      </c>
      <c r="I467">
        <v>103</v>
      </c>
      <c r="K467">
        <v>12</v>
      </c>
      <c r="L467" t="s">
        <v>5279</v>
      </c>
      <c r="M467" t="s">
        <v>6580</v>
      </c>
      <c r="N467" s="4">
        <v>252100.84</v>
      </c>
      <c r="O467" s="4">
        <v>226890.76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s="4">
        <v>300000</v>
      </c>
      <c r="AA467" s="4">
        <v>270000</v>
      </c>
    </row>
    <row r="468" spans="1:27" x14ac:dyDescent="0.25">
      <c r="A468" s="2" t="s">
        <v>4016</v>
      </c>
      <c r="B468" t="s">
        <v>5787</v>
      </c>
      <c r="C468">
        <v>1</v>
      </c>
      <c r="D468">
        <v>1</v>
      </c>
      <c r="E468">
        <v>1</v>
      </c>
      <c r="G468">
        <v>1</v>
      </c>
      <c r="I468">
        <v>103</v>
      </c>
      <c r="M468" t="s">
        <v>5788</v>
      </c>
      <c r="N468" s="4">
        <v>254117.65</v>
      </c>
      <c r="O468" s="4">
        <v>225882.35</v>
      </c>
      <c r="P468">
        <v>0</v>
      </c>
      <c r="Q468">
        <v>0</v>
      </c>
      <c r="R468">
        <v>0</v>
      </c>
      <c r="S468">
        <v>0</v>
      </c>
      <c r="T468">
        <v>2</v>
      </c>
      <c r="U468">
        <v>0</v>
      </c>
      <c r="V468">
        <v>2</v>
      </c>
      <c r="W468">
        <v>0</v>
      </c>
      <c r="X468">
        <v>0</v>
      </c>
      <c r="Y468">
        <v>0</v>
      </c>
      <c r="Z468" s="4">
        <v>302400</v>
      </c>
      <c r="AA468" s="4">
        <v>268800</v>
      </c>
    </row>
    <row r="469" spans="1:27" x14ac:dyDescent="0.25">
      <c r="A469" s="2" t="s">
        <v>4018</v>
      </c>
      <c r="B469" t="s">
        <v>5789</v>
      </c>
      <c r="C469">
        <v>1</v>
      </c>
      <c r="D469">
        <v>1</v>
      </c>
      <c r="E469">
        <v>1</v>
      </c>
      <c r="G469">
        <v>1</v>
      </c>
      <c r="I469">
        <v>103</v>
      </c>
      <c r="K469">
        <v>12</v>
      </c>
      <c r="L469" t="s">
        <v>5279</v>
      </c>
      <c r="M469" t="s">
        <v>5790</v>
      </c>
      <c r="N469" s="4">
        <v>263529.40999999997</v>
      </c>
      <c r="O469" s="4">
        <v>235294.12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0</v>
      </c>
      <c r="X469">
        <v>0</v>
      </c>
      <c r="Y469">
        <v>0</v>
      </c>
      <c r="Z469" s="4">
        <v>313600</v>
      </c>
      <c r="AA469" s="4">
        <v>280000</v>
      </c>
    </row>
    <row r="470" spans="1:27" x14ac:dyDescent="0.25">
      <c r="A470" s="2" t="s">
        <v>4020</v>
      </c>
      <c r="B470" t="s">
        <v>5791</v>
      </c>
      <c r="C470">
        <v>1</v>
      </c>
      <c r="D470">
        <v>1</v>
      </c>
      <c r="E470">
        <v>1</v>
      </c>
      <c r="G470">
        <v>1</v>
      </c>
      <c r="I470">
        <v>103</v>
      </c>
      <c r="K470">
        <v>33</v>
      </c>
      <c r="L470" t="s">
        <v>5297</v>
      </c>
      <c r="M470" t="s">
        <v>5792</v>
      </c>
      <c r="N470" s="4">
        <v>352941.18</v>
      </c>
      <c r="O470" s="4">
        <v>310924.37</v>
      </c>
      <c r="P470">
        <v>0</v>
      </c>
      <c r="Q470">
        <v>0</v>
      </c>
      <c r="R470">
        <v>0</v>
      </c>
      <c r="S470">
        <v>0</v>
      </c>
      <c r="T470">
        <v>3</v>
      </c>
      <c r="U470">
        <v>0</v>
      </c>
      <c r="V470">
        <v>3</v>
      </c>
      <c r="W470">
        <v>0</v>
      </c>
      <c r="X470">
        <v>0</v>
      </c>
      <c r="Y470">
        <v>0</v>
      </c>
      <c r="Z470" s="4">
        <v>420000</v>
      </c>
      <c r="AA470" s="4">
        <v>370000</v>
      </c>
    </row>
    <row r="471" spans="1:27" x14ac:dyDescent="0.25">
      <c r="A471" s="2" t="s">
        <v>4022</v>
      </c>
      <c r="B471" t="s">
        <v>6581</v>
      </c>
      <c r="C471">
        <v>1</v>
      </c>
      <c r="D471">
        <v>1</v>
      </c>
      <c r="E471">
        <v>1</v>
      </c>
      <c r="G471">
        <v>1</v>
      </c>
      <c r="I471">
        <v>103</v>
      </c>
      <c r="K471">
        <v>35</v>
      </c>
      <c r="L471" t="s">
        <v>5294</v>
      </c>
      <c r="M471" t="s">
        <v>6582</v>
      </c>
      <c r="N471" s="4">
        <v>828235.29</v>
      </c>
      <c r="O471" s="4">
        <v>752941.18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s="4">
        <v>985600</v>
      </c>
      <c r="AA471" s="4">
        <v>896000</v>
      </c>
    </row>
    <row r="472" spans="1:27" x14ac:dyDescent="0.25">
      <c r="A472" s="2" t="s">
        <v>4024</v>
      </c>
      <c r="B472" t="s">
        <v>6583</v>
      </c>
      <c r="C472">
        <v>1</v>
      </c>
      <c r="D472">
        <v>1</v>
      </c>
      <c r="E472">
        <v>1</v>
      </c>
      <c r="G472">
        <v>1</v>
      </c>
      <c r="I472">
        <v>103</v>
      </c>
      <c r="K472">
        <v>4</v>
      </c>
      <c r="L472" t="s">
        <v>5334</v>
      </c>
      <c r="M472" t="s">
        <v>5793</v>
      </c>
      <c r="N472" s="4">
        <v>338823.53</v>
      </c>
      <c r="O472" s="4">
        <v>282352.94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0</v>
      </c>
      <c r="X472">
        <v>0</v>
      </c>
      <c r="Y472">
        <v>0</v>
      </c>
      <c r="Z472" s="4">
        <v>403200</v>
      </c>
      <c r="AA472" s="4">
        <v>336000</v>
      </c>
    </row>
    <row r="473" spans="1:27" x14ac:dyDescent="0.25">
      <c r="A473" s="2" t="s">
        <v>4026</v>
      </c>
      <c r="B473" t="s">
        <v>6584</v>
      </c>
      <c r="C473">
        <v>1</v>
      </c>
      <c r="D473">
        <v>1</v>
      </c>
      <c r="E473">
        <v>1</v>
      </c>
      <c r="G473">
        <v>1</v>
      </c>
      <c r="I473">
        <v>103</v>
      </c>
      <c r="K473">
        <v>4</v>
      </c>
      <c r="L473" t="s">
        <v>5334</v>
      </c>
      <c r="M473" t="s">
        <v>5794</v>
      </c>
      <c r="N473" s="4">
        <v>756302.52</v>
      </c>
      <c r="O473" s="4">
        <v>672268.91</v>
      </c>
      <c r="P473">
        <v>0</v>
      </c>
      <c r="Q473">
        <v>0</v>
      </c>
      <c r="R473">
        <v>0</v>
      </c>
      <c r="S473">
        <v>0</v>
      </c>
      <c r="T473">
        <v>3</v>
      </c>
      <c r="U473">
        <v>0</v>
      </c>
      <c r="V473">
        <v>3</v>
      </c>
      <c r="W473">
        <v>0</v>
      </c>
      <c r="X473">
        <v>0</v>
      </c>
      <c r="Y473">
        <v>0</v>
      </c>
      <c r="Z473" s="4">
        <v>900000</v>
      </c>
      <c r="AA473" s="4">
        <v>800000</v>
      </c>
    </row>
    <row r="474" spans="1:27" x14ac:dyDescent="0.25">
      <c r="A474" s="2" t="s">
        <v>4028</v>
      </c>
      <c r="B474" t="s">
        <v>6585</v>
      </c>
      <c r="C474">
        <v>1</v>
      </c>
      <c r="D474">
        <v>1</v>
      </c>
      <c r="E474">
        <v>1</v>
      </c>
      <c r="G474">
        <v>1</v>
      </c>
      <c r="I474">
        <v>103</v>
      </c>
      <c r="K474">
        <v>8</v>
      </c>
      <c r="L474" t="s">
        <v>5317</v>
      </c>
      <c r="M474" t="s">
        <v>5795</v>
      </c>
      <c r="N474" s="4">
        <v>1092436.97</v>
      </c>
      <c r="O474" s="4">
        <v>966386.55</v>
      </c>
      <c r="P474">
        <v>0</v>
      </c>
      <c r="Q474">
        <v>0</v>
      </c>
      <c r="R474">
        <v>0</v>
      </c>
      <c r="S474">
        <v>0</v>
      </c>
      <c r="T474">
        <v>3</v>
      </c>
      <c r="U474">
        <v>0</v>
      </c>
      <c r="V474">
        <v>3</v>
      </c>
      <c r="W474">
        <v>0</v>
      </c>
      <c r="X474">
        <v>0</v>
      </c>
      <c r="Y474">
        <v>0</v>
      </c>
      <c r="Z474" s="4">
        <v>1300000</v>
      </c>
      <c r="AA474" s="4">
        <v>1150000</v>
      </c>
    </row>
    <row r="475" spans="1:27" x14ac:dyDescent="0.25">
      <c r="A475" s="2" t="s">
        <v>4030</v>
      </c>
      <c r="B475" t="s">
        <v>5796</v>
      </c>
      <c r="C475">
        <v>1</v>
      </c>
      <c r="D475">
        <v>1</v>
      </c>
      <c r="E475">
        <v>1</v>
      </c>
      <c r="G475">
        <v>1</v>
      </c>
      <c r="I475">
        <v>103</v>
      </c>
      <c r="K475">
        <v>8</v>
      </c>
      <c r="L475" t="s">
        <v>5317</v>
      </c>
      <c r="M475" t="s">
        <v>5797</v>
      </c>
      <c r="N475" s="4">
        <v>282352.94</v>
      </c>
      <c r="O475" s="4">
        <v>252100.84</v>
      </c>
      <c r="P475">
        <v>0</v>
      </c>
      <c r="Q475">
        <v>0</v>
      </c>
      <c r="R475">
        <v>0</v>
      </c>
      <c r="S475">
        <v>0</v>
      </c>
      <c r="T475">
        <v>3</v>
      </c>
      <c r="U475">
        <v>0</v>
      </c>
      <c r="V475">
        <v>3</v>
      </c>
      <c r="W475">
        <v>0</v>
      </c>
      <c r="X475">
        <v>0</v>
      </c>
      <c r="Y475">
        <v>0</v>
      </c>
      <c r="Z475" s="4">
        <v>336000</v>
      </c>
      <c r="AA475" s="4">
        <v>300000</v>
      </c>
    </row>
    <row r="476" spans="1:27" x14ac:dyDescent="0.25">
      <c r="A476" s="2" t="s">
        <v>4032</v>
      </c>
      <c r="B476" t="s">
        <v>5798</v>
      </c>
      <c r="C476">
        <v>1</v>
      </c>
      <c r="D476">
        <v>1</v>
      </c>
      <c r="E476">
        <v>1</v>
      </c>
      <c r="G476">
        <v>1</v>
      </c>
      <c r="I476">
        <v>103</v>
      </c>
      <c r="K476">
        <v>14</v>
      </c>
      <c r="L476" t="s">
        <v>5799</v>
      </c>
      <c r="M476" t="s">
        <v>5800</v>
      </c>
      <c r="N476" s="4">
        <v>268907.56</v>
      </c>
      <c r="O476" s="4">
        <v>235294.12</v>
      </c>
      <c r="P476">
        <v>0</v>
      </c>
      <c r="Q476">
        <v>0</v>
      </c>
      <c r="R476">
        <v>0</v>
      </c>
      <c r="S476">
        <v>0</v>
      </c>
      <c r="T476">
        <v>2</v>
      </c>
      <c r="U476">
        <v>0</v>
      </c>
      <c r="V476">
        <v>2</v>
      </c>
      <c r="W476">
        <v>0</v>
      </c>
      <c r="X476">
        <v>0</v>
      </c>
      <c r="Y476">
        <v>0</v>
      </c>
      <c r="Z476" s="4">
        <v>320000</v>
      </c>
      <c r="AA476" s="4">
        <v>280000</v>
      </c>
    </row>
    <row r="477" spans="1:27" x14ac:dyDescent="0.25">
      <c r="A477" s="2" t="s">
        <v>6586</v>
      </c>
      <c r="B477" t="s">
        <v>6587</v>
      </c>
      <c r="C477">
        <v>1</v>
      </c>
      <c r="D477">
        <v>1</v>
      </c>
      <c r="E477">
        <v>1</v>
      </c>
      <c r="G477">
        <v>1</v>
      </c>
      <c r="I477">
        <v>103</v>
      </c>
      <c r="K477">
        <v>54</v>
      </c>
      <c r="L477" t="s">
        <v>5273</v>
      </c>
      <c r="M477" t="s">
        <v>6588</v>
      </c>
      <c r="N477" s="4">
        <v>705882.35</v>
      </c>
      <c r="O477" s="4">
        <v>611764.71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 s="4">
        <v>840000</v>
      </c>
      <c r="AA477" s="4">
        <v>728000</v>
      </c>
    </row>
    <row r="478" spans="1:27" x14ac:dyDescent="0.25">
      <c r="A478" s="2" t="s">
        <v>4034</v>
      </c>
      <c r="B478" t="s">
        <v>5801</v>
      </c>
      <c r="C478">
        <v>1</v>
      </c>
      <c r="D478">
        <v>1</v>
      </c>
      <c r="E478">
        <v>1</v>
      </c>
      <c r="G478">
        <v>1</v>
      </c>
      <c r="I478">
        <v>103</v>
      </c>
      <c r="K478">
        <v>8</v>
      </c>
      <c r="L478" t="s">
        <v>5317</v>
      </c>
      <c r="M478" t="s">
        <v>5802</v>
      </c>
      <c r="N478" s="4">
        <v>277310.92</v>
      </c>
      <c r="O478" s="4">
        <v>252100.84</v>
      </c>
      <c r="P478">
        <v>0</v>
      </c>
      <c r="Q478">
        <v>0</v>
      </c>
      <c r="R478">
        <v>0</v>
      </c>
      <c r="S478">
        <v>0</v>
      </c>
      <c r="T478">
        <v>9</v>
      </c>
      <c r="U478">
        <v>0</v>
      </c>
      <c r="V478">
        <v>9</v>
      </c>
      <c r="W478">
        <v>0</v>
      </c>
      <c r="X478">
        <v>0</v>
      </c>
      <c r="Y478">
        <v>0</v>
      </c>
      <c r="Z478" s="4">
        <v>330000</v>
      </c>
      <c r="AA478" s="4">
        <v>300000</v>
      </c>
    </row>
    <row r="479" spans="1:27" x14ac:dyDescent="0.25">
      <c r="A479" s="2" t="s">
        <v>4036</v>
      </c>
      <c r="B479" t="s">
        <v>5803</v>
      </c>
      <c r="C479">
        <v>1</v>
      </c>
      <c r="D479">
        <v>1</v>
      </c>
      <c r="E479">
        <v>1</v>
      </c>
      <c r="G479">
        <v>1</v>
      </c>
      <c r="I479">
        <v>103</v>
      </c>
      <c r="K479">
        <v>4</v>
      </c>
      <c r="L479" t="s">
        <v>5334</v>
      </c>
      <c r="M479" t="s">
        <v>5804</v>
      </c>
      <c r="N479" s="4">
        <v>588235.29</v>
      </c>
      <c r="O479" s="4">
        <v>529411.76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V479">
        <v>1</v>
      </c>
      <c r="W479">
        <v>0</v>
      </c>
      <c r="X479">
        <v>0</v>
      </c>
      <c r="Y479">
        <v>0</v>
      </c>
      <c r="Z479" s="4">
        <v>700000</v>
      </c>
      <c r="AA479" s="4">
        <v>630000</v>
      </c>
    </row>
    <row r="480" spans="1:27" x14ac:dyDescent="0.25">
      <c r="A480" s="2" t="s">
        <v>4038</v>
      </c>
      <c r="B480" t="s">
        <v>5796</v>
      </c>
      <c r="C480">
        <v>1</v>
      </c>
      <c r="D480">
        <v>1</v>
      </c>
      <c r="E480">
        <v>1</v>
      </c>
      <c r="G480">
        <v>1</v>
      </c>
      <c r="I480">
        <v>103</v>
      </c>
      <c r="K480">
        <v>8</v>
      </c>
      <c r="L480" t="s">
        <v>5317</v>
      </c>
      <c r="M480" t="s">
        <v>6589</v>
      </c>
      <c r="N480" s="4">
        <v>218487.39</v>
      </c>
      <c r="O480" s="4">
        <v>193277.31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-1</v>
      </c>
      <c r="W480">
        <v>0</v>
      </c>
      <c r="X480">
        <v>0</v>
      </c>
      <c r="Y480">
        <v>0</v>
      </c>
      <c r="Z480" s="4">
        <v>260000</v>
      </c>
      <c r="AA480" s="4">
        <v>230000</v>
      </c>
    </row>
    <row r="481" spans="1:27" x14ac:dyDescent="0.25">
      <c r="A481" s="2" t="s">
        <v>4040</v>
      </c>
      <c r="B481" t="s">
        <v>5805</v>
      </c>
      <c r="C481">
        <v>1</v>
      </c>
      <c r="D481">
        <v>1</v>
      </c>
      <c r="E481">
        <v>1</v>
      </c>
      <c r="G481">
        <v>1</v>
      </c>
      <c r="I481">
        <v>103</v>
      </c>
      <c r="K481">
        <v>5</v>
      </c>
      <c r="L481" t="s">
        <v>5275</v>
      </c>
      <c r="M481" t="s">
        <v>5806</v>
      </c>
      <c r="N481" s="4">
        <v>378151.26</v>
      </c>
      <c r="O481" s="4">
        <v>336134.45</v>
      </c>
      <c r="P481">
        <v>0</v>
      </c>
      <c r="Q481">
        <v>0</v>
      </c>
      <c r="R481">
        <v>0</v>
      </c>
      <c r="S481">
        <v>0</v>
      </c>
      <c r="T481">
        <v>3</v>
      </c>
      <c r="U481">
        <v>0</v>
      </c>
      <c r="V481">
        <v>3</v>
      </c>
      <c r="W481">
        <v>0</v>
      </c>
      <c r="X481">
        <v>0</v>
      </c>
      <c r="Y481">
        <v>0</v>
      </c>
      <c r="Z481" s="4">
        <v>450000</v>
      </c>
      <c r="AA481" s="4">
        <v>400000</v>
      </c>
    </row>
    <row r="482" spans="1:27" x14ac:dyDescent="0.25">
      <c r="A482" s="2" t="s">
        <v>4042</v>
      </c>
      <c r="B482" t="s">
        <v>5807</v>
      </c>
      <c r="C482">
        <v>1</v>
      </c>
      <c r="D482">
        <v>1</v>
      </c>
      <c r="E482">
        <v>1</v>
      </c>
      <c r="G482">
        <v>1</v>
      </c>
      <c r="I482">
        <v>103</v>
      </c>
      <c r="K482">
        <v>5</v>
      </c>
      <c r="L482" t="s">
        <v>5275</v>
      </c>
      <c r="M482" t="s">
        <v>5808</v>
      </c>
      <c r="N482" s="4">
        <v>361344.54</v>
      </c>
      <c r="O482" s="4">
        <v>327731.09000000003</v>
      </c>
      <c r="P482">
        <v>0</v>
      </c>
      <c r="Q482">
        <v>0</v>
      </c>
      <c r="R482">
        <v>0</v>
      </c>
      <c r="S482">
        <v>0</v>
      </c>
      <c r="T482">
        <v>2</v>
      </c>
      <c r="U482">
        <v>0</v>
      </c>
      <c r="V482">
        <v>2</v>
      </c>
      <c r="W482">
        <v>0</v>
      </c>
      <c r="X482">
        <v>0</v>
      </c>
      <c r="Y482">
        <v>0</v>
      </c>
      <c r="Z482" s="4">
        <v>430000</v>
      </c>
      <c r="AA482" s="4">
        <v>390000</v>
      </c>
    </row>
    <row r="483" spans="1:27" x14ac:dyDescent="0.25">
      <c r="A483" s="2" t="s">
        <v>4044</v>
      </c>
      <c r="B483" t="s">
        <v>6590</v>
      </c>
      <c r="C483">
        <v>1</v>
      </c>
      <c r="D483">
        <v>1</v>
      </c>
      <c r="E483">
        <v>1</v>
      </c>
      <c r="G483">
        <v>1</v>
      </c>
      <c r="I483">
        <v>103</v>
      </c>
      <c r="K483">
        <v>8</v>
      </c>
      <c r="L483" t="s">
        <v>5317</v>
      </c>
      <c r="M483" t="s">
        <v>6591</v>
      </c>
      <c r="N483" s="4">
        <v>193277.31</v>
      </c>
      <c r="O483" s="4">
        <v>172268.91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s="4">
        <v>230000</v>
      </c>
      <c r="AA483" s="4">
        <v>205000</v>
      </c>
    </row>
    <row r="484" spans="1:27" x14ac:dyDescent="0.25">
      <c r="A484" s="2" t="s">
        <v>4046</v>
      </c>
      <c r="B484" t="s">
        <v>5809</v>
      </c>
      <c r="C484">
        <v>1</v>
      </c>
      <c r="D484">
        <v>1</v>
      </c>
      <c r="E484">
        <v>1</v>
      </c>
      <c r="G484">
        <v>1</v>
      </c>
      <c r="I484">
        <v>103</v>
      </c>
      <c r="K484">
        <v>12</v>
      </c>
      <c r="L484" t="s">
        <v>5279</v>
      </c>
      <c r="M484" t="s">
        <v>5810</v>
      </c>
      <c r="N484" s="4">
        <v>411764.71</v>
      </c>
      <c r="O484" s="4">
        <v>378151.26</v>
      </c>
      <c r="P484">
        <v>0</v>
      </c>
      <c r="Q484">
        <v>0</v>
      </c>
      <c r="R484">
        <v>0</v>
      </c>
      <c r="S484">
        <v>0</v>
      </c>
      <c r="T484">
        <v>2</v>
      </c>
      <c r="U484">
        <v>0</v>
      </c>
      <c r="V484">
        <v>2</v>
      </c>
      <c r="W484">
        <v>0</v>
      </c>
      <c r="X484">
        <v>0</v>
      </c>
      <c r="Y484">
        <v>0</v>
      </c>
      <c r="Z484" s="4">
        <v>490000</v>
      </c>
      <c r="AA484" s="4">
        <v>450000</v>
      </c>
    </row>
    <row r="485" spans="1:27" x14ac:dyDescent="0.25">
      <c r="A485" s="2" t="s">
        <v>4048</v>
      </c>
      <c r="B485" t="s">
        <v>5365</v>
      </c>
      <c r="C485">
        <v>1</v>
      </c>
      <c r="D485">
        <v>1</v>
      </c>
      <c r="E485">
        <v>1</v>
      </c>
      <c r="G485">
        <v>1</v>
      </c>
      <c r="I485">
        <v>103</v>
      </c>
      <c r="K485">
        <v>35</v>
      </c>
      <c r="L485" t="s">
        <v>5294</v>
      </c>
      <c r="M485" t="s">
        <v>5811</v>
      </c>
      <c r="N485" s="4">
        <v>327731.09000000003</v>
      </c>
      <c r="O485" s="4">
        <v>294117.65000000002</v>
      </c>
      <c r="P485">
        <v>0</v>
      </c>
      <c r="Q485">
        <v>0</v>
      </c>
      <c r="R485">
        <v>0</v>
      </c>
      <c r="S485">
        <v>0</v>
      </c>
      <c r="T485">
        <v>2</v>
      </c>
      <c r="U485">
        <v>0</v>
      </c>
      <c r="V485">
        <v>2</v>
      </c>
      <c r="W485">
        <v>0</v>
      </c>
      <c r="X485">
        <v>0</v>
      </c>
      <c r="Y485">
        <v>0</v>
      </c>
      <c r="Z485" s="4">
        <v>390000</v>
      </c>
      <c r="AA485" s="4">
        <v>350000</v>
      </c>
    </row>
    <row r="486" spans="1:27" x14ac:dyDescent="0.25">
      <c r="A486" s="2" t="s">
        <v>4050</v>
      </c>
      <c r="B486" t="s">
        <v>5812</v>
      </c>
      <c r="C486">
        <v>1</v>
      </c>
      <c r="D486">
        <v>1</v>
      </c>
      <c r="E486">
        <v>1</v>
      </c>
      <c r="G486">
        <v>1</v>
      </c>
      <c r="I486">
        <v>103</v>
      </c>
      <c r="K486">
        <v>35</v>
      </c>
      <c r="L486" t="s">
        <v>5294</v>
      </c>
      <c r="M486" t="s">
        <v>5813</v>
      </c>
      <c r="N486" s="4">
        <v>235294.12</v>
      </c>
      <c r="O486" s="4">
        <v>210084.03</v>
      </c>
      <c r="P486">
        <v>0</v>
      </c>
      <c r="Q486">
        <v>0</v>
      </c>
      <c r="R486">
        <v>0</v>
      </c>
      <c r="S486">
        <v>0</v>
      </c>
      <c r="T486">
        <v>5</v>
      </c>
      <c r="U486">
        <v>0</v>
      </c>
      <c r="V486">
        <v>5</v>
      </c>
      <c r="W486">
        <v>0</v>
      </c>
      <c r="X486">
        <v>0</v>
      </c>
      <c r="Y486">
        <v>0</v>
      </c>
      <c r="Z486" s="4">
        <v>280000</v>
      </c>
      <c r="AA486" s="4">
        <v>250000</v>
      </c>
    </row>
    <row r="487" spans="1:27" x14ac:dyDescent="0.25">
      <c r="A487" s="2" t="s">
        <v>4052</v>
      </c>
      <c r="B487" t="s">
        <v>5814</v>
      </c>
      <c r="C487">
        <v>1</v>
      </c>
      <c r="D487">
        <v>1</v>
      </c>
      <c r="E487">
        <v>1</v>
      </c>
      <c r="G487">
        <v>1</v>
      </c>
      <c r="I487">
        <v>103</v>
      </c>
      <c r="K487">
        <v>8</v>
      </c>
      <c r="L487" t="s">
        <v>5317</v>
      </c>
      <c r="M487" t="s">
        <v>5815</v>
      </c>
      <c r="N487" s="4">
        <v>210084.03</v>
      </c>
      <c r="O487" s="4">
        <v>184873.95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2</v>
      </c>
      <c r="W487">
        <v>0</v>
      </c>
      <c r="X487">
        <v>0</v>
      </c>
      <c r="Y487">
        <v>0</v>
      </c>
      <c r="Z487" s="4">
        <v>250000</v>
      </c>
      <c r="AA487" s="4">
        <v>220000</v>
      </c>
    </row>
    <row r="488" spans="1:27" x14ac:dyDescent="0.25">
      <c r="A488" s="2" t="s">
        <v>4054</v>
      </c>
      <c r="B488" t="s">
        <v>5571</v>
      </c>
      <c r="C488">
        <v>1</v>
      </c>
      <c r="D488">
        <v>1</v>
      </c>
      <c r="E488">
        <v>1</v>
      </c>
      <c r="G488">
        <v>1</v>
      </c>
      <c r="I488">
        <v>103</v>
      </c>
      <c r="K488">
        <v>8</v>
      </c>
      <c r="L488" t="s">
        <v>5317</v>
      </c>
      <c r="M488" t="s">
        <v>5816</v>
      </c>
      <c r="N488" s="4">
        <v>218487.39</v>
      </c>
      <c r="O488" s="4">
        <v>193277.31</v>
      </c>
      <c r="P488">
        <v>0</v>
      </c>
      <c r="Q488">
        <v>0</v>
      </c>
      <c r="R488">
        <v>0</v>
      </c>
      <c r="S488">
        <v>0</v>
      </c>
      <c r="T488">
        <v>4</v>
      </c>
      <c r="U488">
        <v>0</v>
      </c>
      <c r="V488">
        <v>4</v>
      </c>
      <c r="W488">
        <v>0</v>
      </c>
      <c r="X488">
        <v>0</v>
      </c>
      <c r="Y488">
        <v>0</v>
      </c>
      <c r="Z488" s="4">
        <v>260000</v>
      </c>
      <c r="AA488" s="4">
        <v>230000</v>
      </c>
    </row>
    <row r="489" spans="1:27" x14ac:dyDescent="0.25">
      <c r="A489" s="2" t="s">
        <v>4056</v>
      </c>
      <c r="B489" t="s">
        <v>5817</v>
      </c>
      <c r="C489">
        <v>1</v>
      </c>
      <c r="D489">
        <v>1</v>
      </c>
      <c r="E489">
        <v>1</v>
      </c>
      <c r="G489">
        <v>1</v>
      </c>
      <c r="I489">
        <v>103</v>
      </c>
      <c r="K489">
        <v>35</v>
      </c>
      <c r="L489" t="s">
        <v>5294</v>
      </c>
      <c r="M489" t="s">
        <v>5818</v>
      </c>
      <c r="N489" s="4">
        <v>428571.43</v>
      </c>
      <c r="O489" s="4">
        <v>386554.62</v>
      </c>
      <c r="P489">
        <v>0</v>
      </c>
      <c r="Q489">
        <v>0</v>
      </c>
      <c r="R489">
        <v>0</v>
      </c>
      <c r="S489">
        <v>0</v>
      </c>
      <c r="T489">
        <v>2</v>
      </c>
      <c r="U489">
        <v>0</v>
      </c>
      <c r="V489">
        <v>2</v>
      </c>
      <c r="W489">
        <v>0</v>
      </c>
      <c r="X489">
        <v>0</v>
      </c>
      <c r="Y489">
        <v>0</v>
      </c>
      <c r="Z489" s="4">
        <v>510000</v>
      </c>
      <c r="AA489" s="4">
        <v>460000</v>
      </c>
    </row>
    <row r="490" spans="1:27" x14ac:dyDescent="0.25">
      <c r="A490" s="2" t="s">
        <v>4058</v>
      </c>
      <c r="B490" t="s">
        <v>5819</v>
      </c>
      <c r="C490">
        <v>1</v>
      </c>
      <c r="D490">
        <v>1</v>
      </c>
      <c r="E490">
        <v>1</v>
      </c>
      <c r="G490">
        <v>1</v>
      </c>
      <c r="I490">
        <v>103</v>
      </c>
      <c r="K490">
        <v>59</v>
      </c>
      <c r="L490" t="s">
        <v>5285</v>
      </c>
      <c r="M490" t="s">
        <v>5820</v>
      </c>
      <c r="N490" s="4">
        <v>294117.65000000002</v>
      </c>
      <c r="O490" s="4">
        <v>260504.2</v>
      </c>
      <c r="P490">
        <v>0</v>
      </c>
      <c r="Q490">
        <v>0</v>
      </c>
      <c r="R490">
        <v>0</v>
      </c>
      <c r="S490">
        <v>0</v>
      </c>
      <c r="T490">
        <v>2</v>
      </c>
      <c r="U490">
        <v>0</v>
      </c>
      <c r="V490">
        <v>2</v>
      </c>
      <c r="W490">
        <v>0</v>
      </c>
      <c r="X490">
        <v>0</v>
      </c>
      <c r="Y490">
        <v>0</v>
      </c>
      <c r="Z490" s="4">
        <v>350000</v>
      </c>
      <c r="AA490" s="4">
        <v>310000</v>
      </c>
    </row>
    <row r="491" spans="1:27" x14ac:dyDescent="0.25">
      <c r="A491" s="2" t="s">
        <v>4060</v>
      </c>
      <c r="B491" t="s">
        <v>5821</v>
      </c>
      <c r="C491">
        <v>1</v>
      </c>
      <c r="D491">
        <v>1</v>
      </c>
      <c r="E491">
        <v>1</v>
      </c>
      <c r="G491">
        <v>1</v>
      </c>
      <c r="I491">
        <v>103</v>
      </c>
      <c r="K491">
        <v>59</v>
      </c>
      <c r="L491" t="s">
        <v>5285</v>
      </c>
      <c r="M491" t="s">
        <v>5822</v>
      </c>
      <c r="N491" s="4">
        <v>394957.98</v>
      </c>
      <c r="O491" s="4">
        <v>361344.54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</v>
      </c>
      <c r="W491">
        <v>0</v>
      </c>
      <c r="X491">
        <v>0</v>
      </c>
      <c r="Y491">
        <v>0</v>
      </c>
      <c r="Z491" s="4">
        <v>470000</v>
      </c>
      <c r="AA491" s="4">
        <v>430000</v>
      </c>
    </row>
    <row r="492" spans="1:27" x14ac:dyDescent="0.25">
      <c r="A492" s="2" t="s">
        <v>4062</v>
      </c>
      <c r="B492" t="s">
        <v>5823</v>
      </c>
      <c r="C492">
        <v>1</v>
      </c>
      <c r="D492">
        <v>1</v>
      </c>
      <c r="E492">
        <v>1</v>
      </c>
      <c r="G492">
        <v>1</v>
      </c>
      <c r="I492">
        <v>103</v>
      </c>
      <c r="K492">
        <v>4</v>
      </c>
      <c r="L492" t="s">
        <v>5334</v>
      </c>
      <c r="M492" t="s">
        <v>5824</v>
      </c>
      <c r="N492" s="4">
        <v>310924.37</v>
      </c>
      <c r="O492" s="4">
        <v>277310.92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1</v>
      </c>
      <c r="W492">
        <v>0</v>
      </c>
      <c r="X492">
        <v>0</v>
      </c>
      <c r="Y492">
        <v>0</v>
      </c>
      <c r="Z492" s="4">
        <v>370000</v>
      </c>
      <c r="AA492" s="4">
        <v>330000</v>
      </c>
    </row>
    <row r="493" spans="1:27" x14ac:dyDescent="0.25">
      <c r="A493" s="2" t="s">
        <v>4064</v>
      </c>
      <c r="B493" t="s">
        <v>6592</v>
      </c>
      <c r="C493">
        <v>1</v>
      </c>
      <c r="D493">
        <v>1</v>
      </c>
      <c r="E493">
        <v>1</v>
      </c>
      <c r="G493">
        <v>1</v>
      </c>
      <c r="I493">
        <v>103</v>
      </c>
      <c r="K493">
        <v>4</v>
      </c>
      <c r="L493" t="s">
        <v>5334</v>
      </c>
      <c r="M493" t="s">
        <v>5825</v>
      </c>
      <c r="N493" s="4">
        <v>361344.54</v>
      </c>
      <c r="O493" s="4">
        <v>319327.73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1</v>
      </c>
      <c r="W493">
        <v>0</v>
      </c>
      <c r="X493">
        <v>0</v>
      </c>
      <c r="Y493">
        <v>0</v>
      </c>
      <c r="Z493" s="4">
        <v>430000</v>
      </c>
      <c r="AA493" s="4">
        <v>380000</v>
      </c>
    </row>
    <row r="494" spans="1:27" x14ac:dyDescent="0.25">
      <c r="A494" s="2" t="s">
        <v>4066</v>
      </c>
      <c r="B494" t="s">
        <v>5826</v>
      </c>
      <c r="C494">
        <v>1</v>
      </c>
      <c r="D494">
        <v>1</v>
      </c>
      <c r="E494">
        <v>1</v>
      </c>
      <c r="G494">
        <v>1</v>
      </c>
      <c r="I494">
        <v>103</v>
      </c>
      <c r="K494">
        <v>29</v>
      </c>
      <c r="L494" t="s">
        <v>5291</v>
      </c>
      <c r="M494" t="s">
        <v>5827</v>
      </c>
      <c r="N494" s="4">
        <v>436974.79</v>
      </c>
      <c r="O494" s="4">
        <v>394957.98</v>
      </c>
      <c r="P494">
        <v>0</v>
      </c>
      <c r="Q494">
        <v>0</v>
      </c>
      <c r="R494">
        <v>0</v>
      </c>
      <c r="S494">
        <v>0</v>
      </c>
      <c r="T494">
        <v>3</v>
      </c>
      <c r="U494">
        <v>0</v>
      </c>
      <c r="V494">
        <v>3</v>
      </c>
      <c r="W494">
        <v>0</v>
      </c>
      <c r="X494">
        <v>0</v>
      </c>
      <c r="Y494">
        <v>0</v>
      </c>
      <c r="Z494" s="4">
        <v>520000</v>
      </c>
      <c r="AA494" s="4">
        <v>470000</v>
      </c>
    </row>
    <row r="495" spans="1:27" x14ac:dyDescent="0.25">
      <c r="A495" s="2" t="s">
        <v>4068</v>
      </c>
      <c r="B495" t="s">
        <v>5828</v>
      </c>
      <c r="C495">
        <v>1</v>
      </c>
      <c r="D495">
        <v>1</v>
      </c>
      <c r="E495">
        <v>1</v>
      </c>
      <c r="G495">
        <v>1</v>
      </c>
      <c r="I495">
        <v>103</v>
      </c>
      <c r="K495">
        <v>8</v>
      </c>
      <c r="L495" t="s">
        <v>5317</v>
      </c>
      <c r="M495" t="s">
        <v>5829</v>
      </c>
      <c r="N495" s="4">
        <v>210084.03</v>
      </c>
      <c r="O495" s="4">
        <v>189075.63</v>
      </c>
      <c r="P495">
        <v>0</v>
      </c>
      <c r="Q495">
        <v>0</v>
      </c>
      <c r="R495">
        <v>0</v>
      </c>
      <c r="S495">
        <v>0</v>
      </c>
      <c r="T495">
        <v>15</v>
      </c>
      <c r="U495">
        <v>0</v>
      </c>
      <c r="V495">
        <v>15</v>
      </c>
      <c r="W495">
        <v>0</v>
      </c>
      <c r="X495">
        <v>0</v>
      </c>
      <c r="Y495">
        <v>0</v>
      </c>
      <c r="Z495" s="4">
        <v>250000</v>
      </c>
      <c r="AA495" s="4">
        <v>225000</v>
      </c>
    </row>
    <row r="496" spans="1:27" x14ac:dyDescent="0.25">
      <c r="A496" s="2" t="s">
        <v>4070</v>
      </c>
      <c r="B496" t="s">
        <v>5830</v>
      </c>
      <c r="C496">
        <v>1</v>
      </c>
      <c r="D496">
        <v>1</v>
      </c>
      <c r="E496">
        <v>1</v>
      </c>
      <c r="G496">
        <v>1</v>
      </c>
      <c r="I496">
        <v>103</v>
      </c>
      <c r="K496">
        <v>12</v>
      </c>
      <c r="L496" t="s">
        <v>5279</v>
      </c>
      <c r="M496">
        <v>8000090</v>
      </c>
      <c r="N496" s="4">
        <v>453781.51</v>
      </c>
      <c r="O496" s="4">
        <v>403361.34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V496">
        <v>1</v>
      </c>
      <c r="W496">
        <v>0</v>
      </c>
      <c r="X496">
        <v>0</v>
      </c>
      <c r="Y496">
        <v>0</v>
      </c>
      <c r="Z496" s="4">
        <v>540000</v>
      </c>
      <c r="AA496" s="4">
        <v>480000</v>
      </c>
    </row>
    <row r="497" spans="1:27" x14ac:dyDescent="0.25">
      <c r="A497" s="2" t="s">
        <v>4072</v>
      </c>
      <c r="B497" t="s">
        <v>5831</v>
      </c>
      <c r="C497">
        <v>1</v>
      </c>
      <c r="D497">
        <v>1</v>
      </c>
      <c r="E497">
        <v>1</v>
      </c>
      <c r="G497">
        <v>1</v>
      </c>
      <c r="I497">
        <v>103</v>
      </c>
      <c r="K497">
        <v>5</v>
      </c>
      <c r="L497" t="s">
        <v>5275</v>
      </c>
      <c r="M497" t="s">
        <v>5832</v>
      </c>
      <c r="N497" s="4">
        <v>546218.49</v>
      </c>
      <c r="O497" s="4">
        <v>462184.87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0</v>
      </c>
      <c r="Y497">
        <v>0</v>
      </c>
      <c r="Z497" s="4">
        <v>650000</v>
      </c>
      <c r="AA497" s="4">
        <v>550000</v>
      </c>
    </row>
    <row r="498" spans="1:27" x14ac:dyDescent="0.25">
      <c r="A498" s="2" t="s">
        <v>4074</v>
      </c>
      <c r="B498" t="s">
        <v>5833</v>
      </c>
      <c r="C498">
        <v>1</v>
      </c>
      <c r="D498">
        <v>1</v>
      </c>
      <c r="E498">
        <v>1</v>
      </c>
      <c r="G498">
        <v>1</v>
      </c>
      <c r="I498">
        <v>103</v>
      </c>
      <c r="K498">
        <v>33</v>
      </c>
      <c r="L498" t="s">
        <v>5297</v>
      </c>
      <c r="M498" t="s">
        <v>5834</v>
      </c>
      <c r="N498" s="4">
        <v>394957.98</v>
      </c>
      <c r="O498" s="4">
        <v>352941.18</v>
      </c>
      <c r="P498">
        <v>0</v>
      </c>
      <c r="Q498">
        <v>0</v>
      </c>
      <c r="R498">
        <v>0</v>
      </c>
      <c r="S498">
        <v>0</v>
      </c>
      <c r="T498">
        <v>2</v>
      </c>
      <c r="U498">
        <v>0</v>
      </c>
      <c r="V498">
        <v>2</v>
      </c>
      <c r="W498">
        <v>0</v>
      </c>
      <c r="X498">
        <v>0</v>
      </c>
      <c r="Y498">
        <v>0</v>
      </c>
      <c r="Z498" s="4">
        <v>470000</v>
      </c>
      <c r="AA498" s="4">
        <v>420000</v>
      </c>
    </row>
    <row r="499" spans="1:27" x14ac:dyDescent="0.25">
      <c r="A499" s="2" t="s">
        <v>4076</v>
      </c>
      <c r="B499" t="s">
        <v>5835</v>
      </c>
      <c r="C499">
        <v>1</v>
      </c>
      <c r="D499">
        <v>1</v>
      </c>
      <c r="E499">
        <v>1</v>
      </c>
      <c r="G499">
        <v>1</v>
      </c>
      <c r="I499">
        <v>103</v>
      </c>
      <c r="K499">
        <v>8</v>
      </c>
      <c r="L499" t="s">
        <v>5317</v>
      </c>
      <c r="M499" t="s">
        <v>5836</v>
      </c>
      <c r="N499" s="4">
        <v>478991.6</v>
      </c>
      <c r="O499" s="4">
        <v>436974.79</v>
      </c>
      <c r="P499">
        <v>0</v>
      </c>
      <c r="Q499">
        <v>0</v>
      </c>
      <c r="R499">
        <v>0</v>
      </c>
      <c r="S499">
        <v>0</v>
      </c>
      <c r="T499">
        <v>3</v>
      </c>
      <c r="U499">
        <v>0</v>
      </c>
      <c r="V499">
        <v>3</v>
      </c>
      <c r="W499">
        <v>0</v>
      </c>
      <c r="X499">
        <v>0</v>
      </c>
      <c r="Y499">
        <v>0</v>
      </c>
      <c r="Z499" s="4">
        <v>570000</v>
      </c>
      <c r="AA499" s="4">
        <v>520000</v>
      </c>
    </row>
    <row r="500" spans="1:27" x14ac:dyDescent="0.25">
      <c r="A500" s="2" t="s">
        <v>6593</v>
      </c>
      <c r="B500" t="s">
        <v>6594</v>
      </c>
      <c r="C500">
        <v>1</v>
      </c>
      <c r="D500">
        <v>1</v>
      </c>
      <c r="E500">
        <v>1</v>
      </c>
      <c r="G500">
        <v>1</v>
      </c>
      <c r="I500">
        <v>103</v>
      </c>
      <c r="K500">
        <v>38</v>
      </c>
      <c r="L500" t="s">
        <v>5723</v>
      </c>
      <c r="M500" t="s">
        <v>6595</v>
      </c>
      <c r="N500" s="4">
        <v>1260504.2</v>
      </c>
      <c r="O500" s="4">
        <v>1134453.78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1</v>
      </c>
      <c r="W500">
        <v>0</v>
      </c>
      <c r="X500">
        <v>0</v>
      </c>
      <c r="Y500">
        <v>0</v>
      </c>
      <c r="Z500" s="4">
        <v>1500000</v>
      </c>
      <c r="AA500" s="4">
        <v>1350000</v>
      </c>
    </row>
    <row r="501" spans="1:27" x14ac:dyDescent="0.25">
      <c r="A501" s="2" t="s">
        <v>6596</v>
      </c>
      <c r="B501" t="s">
        <v>6597</v>
      </c>
      <c r="C501">
        <v>1</v>
      </c>
      <c r="D501">
        <v>1</v>
      </c>
      <c r="E501">
        <v>1</v>
      </c>
      <c r="G501">
        <v>1</v>
      </c>
      <c r="I501">
        <v>103</v>
      </c>
      <c r="K501">
        <v>38</v>
      </c>
      <c r="L501" t="s">
        <v>5723</v>
      </c>
      <c r="M501" t="s">
        <v>6598</v>
      </c>
      <c r="N501" s="4">
        <v>1260504.2</v>
      </c>
      <c r="O501" s="4">
        <v>1134453.78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1</v>
      </c>
      <c r="W501">
        <v>0</v>
      </c>
      <c r="X501">
        <v>0</v>
      </c>
      <c r="Y501">
        <v>0</v>
      </c>
      <c r="Z501" s="4">
        <v>1500000</v>
      </c>
      <c r="AA501" s="4">
        <v>1350000</v>
      </c>
    </row>
    <row r="502" spans="1:27" x14ac:dyDescent="0.25">
      <c r="A502" s="2" t="s">
        <v>6599</v>
      </c>
      <c r="B502" t="s">
        <v>6600</v>
      </c>
      <c r="C502">
        <v>1</v>
      </c>
      <c r="D502">
        <v>1</v>
      </c>
      <c r="E502">
        <v>1</v>
      </c>
      <c r="G502">
        <v>1</v>
      </c>
      <c r="I502">
        <v>103</v>
      </c>
      <c r="K502">
        <v>38</v>
      </c>
      <c r="L502" t="s">
        <v>5723</v>
      </c>
      <c r="M502" t="s">
        <v>6601</v>
      </c>
      <c r="N502" s="4">
        <v>1260504.2</v>
      </c>
      <c r="O502" s="4">
        <v>1134453.78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2</v>
      </c>
      <c r="W502">
        <v>0</v>
      </c>
      <c r="X502">
        <v>0</v>
      </c>
      <c r="Y502">
        <v>0</v>
      </c>
      <c r="Z502" s="4">
        <v>1500000</v>
      </c>
      <c r="AA502" s="4">
        <v>1350000</v>
      </c>
    </row>
    <row r="503" spans="1:27" x14ac:dyDescent="0.25">
      <c r="B503" t="s">
        <v>5837</v>
      </c>
      <c r="T503">
        <v>976</v>
      </c>
      <c r="U503">
        <v>7</v>
      </c>
      <c r="V503">
        <v>969</v>
      </c>
      <c r="W503">
        <v>0</v>
      </c>
      <c r="X503">
        <v>0</v>
      </c>
      <c r="Y503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ARR1</vt:lpstr>
      <vt:lpstr>ARR2</vt:lpstr>
      <vt:lpstr>ARR3</vt:lpstr>
      <vt:lpstr>ARR4</vt:lpstr>
      <vt:lpstr>DBIMGLINK</vt:lpstr>
      <vt:lpstr>ALT1</vt:lpstr>
      <vt:lpstr>ALT2</vt:lpstr>
      <vt:lpstr>ALT3</vt:lpstr>
      <vt:lpstr>ALTT</vt:lpstr>
      <vt:lpstr>DBIMGPC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George</cp:lastModifiedBy>
  <dcterms:created xsi:type="dcterms:W3CDTF">2021-08-14T14:59:32Z</dcterms:created>
  <dcterms:modified xsi:type="dcterms:W3CDTF">2022-02-10T21:09:47Z</dcterms:modified>
</cp:coreProperties>
</file>